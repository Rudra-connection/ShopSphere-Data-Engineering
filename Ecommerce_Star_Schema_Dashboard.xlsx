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KPI1_Net_Revenue" sheetId="2" state="visible" r:id="rId4"/>
    <sheet name="KPI2_Top_Customers" sheetId="3" state="visible" r:id="rId5"/>
    <sheet name="KPI3_Segments" sheetId="4" state="visible" r:id="rId6"/>
    <sheet name="KPI4_MoM_by_Channel" sheetId="5" state="visible" r:id="rId7"/>
    <sheet name="KPI5_Return_Rate" sheetId="6" state="visible" r:id="rId8"/>
    <sheet name="KPI6_Supplier_Scorecard" sheetId="7" state="visible" r:id="rId9"/>
    <sheet name="KPI7_Repeat_Rate" sheetId="8" state="visible" r:id="rId10"/>
    <sheet name="KPI8_Payment_Recon" sheetId="9" state="visible" r:id="rId11"/>
    <sheet name="KPI9_Margin_Risk" sheetId="10" state="visible" r:id="rId12"/>
    <sheet name="Data_Profiling" sheetId="11" state="visible" r:id="rId13"/>
    <sheet name="Data_Model" sheetId="12" state="visible" r:id="rId14"/>
    <sheet name="Assumptions_README" sheetId="13" state="visible" r:id="rId15"/>
    <sheet name="AI_Usage_Log" sheetId="14" state="visible" r:id="rId16"/>
    <sheet name="Curated_Items" sheetId="15" state="visible" r:id="rId17"/>
    <sheet name="DIM_CUSTOMERS" sheetId="16" state="visible" r:id="rId18"/>
    <sheet name="DIM_SUPPLIERS" sheetId="17" state="visible" r:id="rId19"/>
    <sheet name="DIM_PRODUCTS" sheetId="18" state="visible" r:id="rId20"/>
    <sheet name="DIM_DATE" sheetId="19" state="visible" r:id="rId21"/>
    <sheet name="FACT_ORDERS" sheetId="20" state="visible" r:id="rId22"/>
    <sheet name="FACT_PAYMENTS" sheetId="21" state="visible" r:id="rId23"/>
    <sheet name="FACT_RETURNS" sheetId="22" state="visible" r:id="rId24"/>
  </sheets>
  <definedNames>
    <definedName function="false" hidden="true" localSheetId="8" name="_xlnm._FilterDatabase" vbProcedure="false">KPI8_Payment_Recon!$A$4:$I$332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<sst xmlns="http://schemas.openxmlformats.org/spreadsheetml/2006/main" count="19234" uniqueCount="2689">
  <si>
    <t xml:space="preserve">E-commerce Performance Dashboard</t>
  </si>
  <si>
    <t xml:space="preserve">Order data 2020-10-29 → 2025-12-01 · Realised sales = Completed + Returned orders · Amounts in currency units as recorded</t>
  </si>
  <si>
    <t xml:space="preserve">Net revenue</t>
  </si>
  <si>
    <t xml:space="preserve">Refunds (approved)</t>
  </si>
  <si>
    <t xml:space="preserve">Orders</t>
  </si>
  <si>
    <t xml:space="preserve">Repeat rate (90d)</t>
  </si>
  <si>
    <t xml:space="preserve">Orders with payment issue</t>
  </si>
  <si>
    <t xml:space="preserve">Est. loss on below-cost sales</t>
  </si>
  <si>
    <t xml:space="preserve">Net revenue by month (KPI 1)</t>
  </si>
  <si>
    <t xml:space="preserve">Net revenue by category (KPI 1)</t>
  </si>
  <si>
    <t xml:space="preserve">Net revenue by channel, 2024–25 (KPI 4)</t>
  </si>
  <si>
    <t xml:space="preserve">Average order value by segment (KPI 3)</t>
  </si>
  <si>
    <t xml:space="preserve">Top 10 customers by net LTV (KPI 2)</t>
  </si>
  <si>
    <t xml:space="preserve">Top 10 supplier composite score (KPI 6)</t>
  </si>
  <si>
    <t xml:space="preserve">Product return rate — highest 10 (KPI 5)</t>
  </si>
  <si>
    <t xml:space="preserve">Payment reconciliation flags (KPI 8)</t>
  </si>
  <si>
    <t xml:space="preserve">Key assumptions: see Assumptions_README sheet. Dashboard tiles and KPI 1 are live formulas on Curated_Items; other KPI tables are pipeline outputs (pipeline.py) with formulas for totals, scores and MoM.</t>
  </si>
  <si>
    <t xml:space="preserve">KPI 1 · Net revenue by product category, per month</t>
  </si>
  <si>
    <t xml:space="preserve">Net revenue = line revenue after discount − approved refunds, attributed to ORDER month. Only Completed + Returned orders (Cancelled/Pending excluded). Live SUMIFS on Curated_Items.</t>
  </si>
  <si>
    <t xml:space="preserve">Month</t>
  </si>
  <si>
    <t xml:space="preserve">Electronics</t>
  </si>
  <si>
    <t xml:space="preserve">Fashion</t>
  </si>
  <si>
    <t xml:space="preserve">Grocery</t>
  </si>
  <si>
    <t xml:space="preserve">Home &amp; Kitchen</t>
  </si>
  <si>
    <t xml:space="preserve">Sports</t>
  </si>
  <si>
    <t xml:space="preserve">Unknown</t>
  </si>
  <si>
    <t xml:space="preserve">Total</t>
  </si>
  <si>
    <t xml:space="preserve">2020-10</t>
  </si>
  <si>
    <t xml:space="preserve">2020-12</t>
  </si>
  <si>
    <t xml:space="preserve">2021-05</t>
  </si>
  <si>
    <t xml:space="preserve">2021-09</t>
  </si>
  <si>
    <t xml:space="preserve">2022-10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</si>
  <si>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</si>
  <si>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</si>
  <si>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</si>
  <si>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</si>
  <si>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</si>
  <si>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</si>
  <si>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</si>
  <si>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</si>
  <si>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</si>
  <si>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</si>
  <si>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</si>
  <si>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</si>
  <si>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</si>
  <si>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</si>
  <si>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</si>
  <si>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</si>
  <si>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</si>
  <si>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</si>
  <si>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</si>
  <si>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</si>
  <si>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</si>
  <si>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</si>
  <si>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2025-12</t>
  </si>
  <si>
    <t xml:space="preserve">Check vs pipeline</t>
  </si>
  <si>
    <t xml:space="preserve">Difference</t>
  </si>
  <si>
    <t xml:space="preserve">KPI 2 · Top 10 customers by net lifetime value</t>
  </si>
  <si>
    <t xml:space="preserve">Completed orders only, net of approved refunds. Orders with unknown customer (key −1) cannot be attributed and are excluded from the ranking; their value is shown as a memo line.</t>
  </si>
  <si>
    <t xml:space="preserve">rank</t>
  </si>
  <si>
    <t xml:space="preserve">customer_id</t>
  </si>
  <si>
    <t xml:space="preserve">full_name</t>
  </si>
  <si>
    <t xml:space="preserve">customer_segment</t>
  </si>
  <si>
    <t xml:space="preserve">city</t>
  </si>
  <si>
    <t xml:space="preserve">orders</t>
  </si>
  <si>
    <t xml:space="preserve">gross_spend</t>
  </si>
  <si>
    <t xml:space="preserve">refunds</t>
  </si>
  <si>
    <t xml:space="preserve">net_ltv</t>
  </si>
  <si>
    <t xml:space="preserve">C0118</t>
  </si>
  <si>
    <t xml:space="preserve">Utkarsh Bhat</t>
  </si>
  <si>
    <t xml:space="preserve">Gold</t>
  </si>
  <si>
    <t xml:space="preserve">Hyderabad</t>
  </si>
  <si>
    <t xml:space="preserve">C0107</t>
  </si>
  <si>
    <t xml:space="preserve">Eesha Sethi</t>
  </si>
  <si>
    <t xml:space="preserve">Silver</t>
  </si>
  <si>
    <t xml:space="preserve">Kolkata</t>
  </si>
  <si>
    <t xml:space="preserve">C0061</t>
  </si>
  <si>
    <t xml:space="preserve">Yadavi Bhakta</t>
  </si>
  <si>
    <t xml:space="preserve">Platinum</t>
  </si>
  <si>
    <t xml:space="preserve">Chennai</t>
  </si>
  <si>
    <t xml:space="preserve">C0148</t>
  </si>
  <si>
    <t xml:space="preserve">Ucchal Thaker</t>
  </si>
  <si>
    <t xml:space="preserve">Bronze</t>
  </si>
  <si>
    <t xml:space="preserve">Jaipur</t>
  </si>
  <si>
    <t xml:space="preserve">C0142</t>
  </si>
  <si>
    <t xml:space="preserve">Zansi Prasad</t>
  </si>
  <si>
    <t xml:space="preserve">Ahmedabad</t>
  </si>
  <si>
    <t xml:space="preserve">C0001</t>
  </si>
  <si>
    <t xml:space="preserve">Isaac Bakshi</t>
  </si>
  <si>
    <t xml:space="preserve">Bangalore</t>
  </si>
  <si>
    <t xml:space="preserve">C0085</t>
  </si>
  <si>
    <t xml:space="preserve">Chakrika Koshy</t>
  </si>
  <si>
    <t xml:space="preserve">C0033</t>
  </si>
  <si>
    <t xml:space="preserve">Hamsini Rao</t>
  </si>
  <si>
    <t xml:space="preserve">Lucknow</t>
  </si>
  <si>
    <t xml:space="preserve">C0129</t>
  </si>
  <si>
    <t xml:space="preserve">Siddharth Bains</t>
  </si>
  <si>
    <t xml:space="preserve">New Delhi</t>
  </si>
  <si>
    <t xml:space="preserve">C0037</t>
  </si>
  <si>
    <t xml:space="preserve">Gautam Rana</t>
  </si>
  <si>
    <t xml:space="preserve">Memo: completed-order net revenue with unknown customer (excluded)</t>
  </si>
  <si>
    <t xml:space="preserve">KPI 3 · Standardized customer segment profile</t>
  </si>
  <si>
    <t xml:space="preserve">customer_count = customers in the dimension per segment (placeholder UNKNOWN row excluded). AOV = completed-order net revenue ÷ distinct completed orders for customers in that segment.</t>
  </si>
  <si>
    <t xml:space="preserve">segment</t>
  </si>
  <si>
    <t xml:space="preserve">customer_count</t>
  </si>
  <si>
    <t xml:space="preserve">ordering_customers</t>
  </si>
  <si>
    <t xml:space="preserve">revenue</t>
  </si>
  <si>
    <t xml:space="preserve">avg_order_value</t>
  </si>
  <si>
    <t xml:space="preserve">KPI 4 · Month-over-month order volume &amp; net revenue growth by channel</t>
  </si>
  <si>
    <t xml:space="preserve">Window: LAG() over month within channel (SQL equivalent in README). Dense window Jan-2024 → Dec-2025 (7 orders before 2024 are too sparse for MoM). MoM shows "n/a" when the prior month is zero. Net revenue as per KPI 1.</t>
  </si>
  <si>
    <t xml:space="preserve">Channel</t>
  </si>
  <si>
    <t xml:space="preserve">Orders MoM %</t>
  </si>
  <si>
    <t xml:space="preserve">Net revenue MoM %</t>
  </si>
  <si>
    <t xml:space="preserve">App</t>
  </si>
  <si>
    <t xml:space="preserve">Store</t>
  </si>
  <si>
    <t xml:space="preserve">Web</t>
  </si>
  <si>
    <t xml:space="preserve">n/a</t>
  </si>
  <si>
    <t xml:space="preserve">2025-11</t>
  </si>
  <si>
    <t xml:space="preserve">KPI 5 · Product return rate — top 10 and bottom 10</t>
  </si>
  <si>
    <t xml:space="preserve">Return rate = returned qty ÷ ordered qty (Completed+Returned lines). Returned qty = full line quantity of APPROVED returns (the returns table has no partial quantities). Minimum volume threshold: 30 ordered units (19 of 69 products qualify). Ties broken by higher volume.</t>
  </si>
  <si>
    <t xml:space="preserve">Top 10 highest return rate</t>
  </si>
  <si>
    <t xml:space="preserve">product_id</t>
  </si>
  <si>
    <t xml:space="preserve">product_name</t>
  </si>
  <si>
    <t xml:space="preserve">category</t>
  </si>
  <si>
    <t xml:space="preserve">ordered_qty</t>
  </si>
  <si>
    <t xml:space="preserve">returned_qty</t>
  </si>
  <si>
    <t xml:space="preserve">return_rate</t>
  </si>
  <si>
    <t xml:space="preserve">P040</t>
  </si>
  <si>
    <t xml:space="preserve">Footwear Item 40</t>
  </si>
  <si>
    <t xml:space="preserve">P021</t>
  </si>
  <si>
    <t xml:space="preserve">Fitness Item 21</t>
  </si>
  <si>
    <t xml:space="preserve">P042</t>
  </si>
  <si>
    <t xml:space="preserve">Staples Item 42</t>
  </si>
  <si>
    <t xml:space="preserve">P065</t>
  </si>
  <si>
    <t xml:space="preserve">Footwear Item 65</t>
  </si>
  <si>
    <t xml:space="preserve">P044</t>
  </si>
  <si>
    <t xml:space="preserve">Beverages Item 44</t>
  </si>
  <si>
    <t xml:space="preserve">P049</t>
  </si>
  <si>
    <t xml:space="preserve">Beverages Item 49</t>
  </si>
  <si>
    <t xml:space="preserve">P007</t>
  </si>
  <si>
    <t xml:space="preserve">Outdoor Item 7</t>
  </si>
  <si>
    <t xml:space="preserve">P054</t>
  </si>
  <si>
    <t xml:space="preserve">Fitness Item 54</t>
  </si>
  <si>
    <t xml:space="preserve">P061</t>
  </si>
  <si>
    <t xml:space="preserve">Furniture Item 61</t>
  </si>
  <si>
    <t xml:space="preserve">P031</t>
  </si>
  <si>
    <t xml:space="preserve">Accessories Item 31</t>
  </si>
  <si>
    <t xml:space="preserve">Bottom 10 lowest return rate</t>
  </si>
  <si>
    <t xml:space="preserve">P012</t>
  </si>
  <si>
    <t xml:space="preserve">Menswear Item 12</t>
  </si>
  <si>
    <t xml:space="preserve">P068</t>
  </si>
  <si>
    <t xml:space="preserve">Staples Item 68</t>
  </si>
  <si>
    <t xml:space="preserve">P002</t>
  </si>
  <si>
    <t xml:space="preserve">Furniture Item 2</t>
  </si>
  <si>
    <t xml:space="preserve">P016</t>
  </si>
  <si>
    <t xml:space="preserve">Footwear Item 16</t>
  </si>
  <si>
    <t xml:space="preserve">P041</t>
  </si>
  <si>
    <t xml:space="preserve">Cookware Item 41</t>
  </si>
  <si>
    <t xml:space="preserve">P055</t>
  </si>
  <si>
    <t xml:space="preserve">Staples Item 55</t>
  </si>
  <si>
    <t xml:space="preserve">P004</t>
  </si>
  <si>
    <t xml:space="preserve">Appliances Item 4</t>
  </si>
  <si>
    <t xml:space="preserve">P037</t>
  </si>
  <si>
    <t xml:space="preserve">Mobiles Item 37</t>
  </si>
  <si>
    <t xml:space="preserve">KPI 6 · Supplier performance scorecard</t>
  </si>
  <si>
    <t xml:space="preserve">Composite (0–100) = 40% revenue (min-max) + 30% return performance (1 − min-max of avg product return rate) + 30% quality (rating_normalized ÷ 5). Ratings given on a 0–10 scale (raw &gt; 5) were halved. Weights are inputs (blue) – scores recalculate.</t>
  </si>
  <si>
    <t xml:space="preserve">Weights:</t>
  </si>
  <si>
    <t xml:space="preserve">Revenue</t>
  </si>
  <si>
    <t xml:space="preserve">Returns</t>
  </si>
  <si>
    <t xml:space="preserve">Quality</t>
  </si>
  <si>
    <t xml:space="preserve">Rank</t>
  </si>
  <si>
    <t xml:space="preserve">Supplier</t>
  </si>
  <si>
    <t xml:space="preserve">ID</t>
  </si>
  <si>
    <t xml:space="preserve">Country</t>
  </si>
  <si>
    <t xml:space="preserve">Rating (raw)</t>
  </si>
  <si>
    <t xml:space="preserve">Rating (norm. /5)</t>
  </si>
  <si>
    <t xml:space="preserve">Products sold</t>
  </si>
  <si>
    <t xml:space="preserve">Avg product return rate</t>
  </si>
  <si>
    <t xml:space="preserve">Revenue score</t>
  </si>
  <si>
    <t xml:space="preserve">Return score</t>
  </si>
  <si>
    <t xml:space="preserve">Composite score</t>
  </si>
  <si>
    <t xml:space="preserve">Biswas, Karpe And Radhakrishnan</t>
  </si>
  <si>
    <t xml:space="preserve">S007</t>
  </si>
  <si>
    <t xml:space="preserve">Lalla, Ganesh And Oommen</t>
  </si>
  <si>
    <t xml:space="preserve">S006</t>
  </si>
  <si>
    <t xml:space="preserve">Germany</t>
  </si>
  <si>
    <t xml:space="preserve">Chaudhari, Sandal And Desai</t>
  </si>
  <si>
    <t xml:space="preserve">S015</t>
  </si>
  <si>
    <t xml:space="preserve">India</t>
  </si>
  <si>
    <t xml:space="preserve">Amble, Prashad And Jha</t>
  </si>
  <si>
    <t xml:space="preserve">S004</t>
  </si>
  <si>
    <t xml:space="preserve">Dhar-Gopal</t>
  </si>
  <si>
    <t xml:space="preserve">S005</t>
  </si>
  <si>
    <t xml:space="preserve">Baral, Din And Bhalla</t>
  </si>
  <si>
    <t xml:space="preserve">S001</t>
  </si>
  <si>
    <t xml:space="preserve">Amble, Virk And Dalal</t>
  </si>
  <si>
    <t xml:space="preserve">S018</t>
  </si>
  <si>
    <t xml:space="preserve">Vietnam</t>
  </si>
  <si>
    <t xml:space="preserve">Saini, Doctor And Char</t>
  </si>
  <si>
    <t xml:space="preserve">S009</t>
  </si>
  <si>
    <t xml:space="preserve">Bahl, Mander And Chada</t>
  </si>
  <si>
    <t xml:space="preserve">S003</t>
  </si>
  <si>
    <t xml:space="preserve">Raj-Palla</t>
  </si>
  <si>
    <t xml:space="preserve">S014</t>
  </si>
  <si>
    <t xml:space="preserve">Babu And Sons</t>
  </si>
  <si>
    <t xml:space="preserve">S008</t>
  </si>
  <si>
    <t xml:space="preserve">Zacharia, Agarwal And Sankar</t>
  </si>
  <si>
    <t xml:space="preserve">S012</t>
  </si>
  <si>
    <t xml:space="preserve">Chacko Llc</t>
  </si>
  <si>
    <t xml:space="preserve">S016</t>
  </si>
  <si>
    <t xml:space="preserve">Barad, Wali And Thakur</t>
  </si>
  <si>
    <t xml:space="preserve">S010</t>
  </si>
  <si>
    <t xml:space="preserve">Bassi-Wagle</t>
  </si>
  <si>
    <t xml:space="preserve">S013</t>
  </si>
  <si>
    <t xml:space="preserve">China</t>
  </si>
  <si>
    <t xml:space="preserve">Subramaniam Ltd</t>
  </si>
  <si>
    <t xml:space="preserve">S011</t>
  </si>
  <si>
    <t xml:space="preserve">Varughese Group</t>
  </si>
  <si>
    <t xml:space="preserve">S002</t>
  </si>
  <si>
    <t xml:space="preserve">Rege, Kurian And Gulati</t>
  </si>
  <si>
    <t xml:space="preserve">S017</t>
  </si>
  <si>
    <t xml:space="preserve">KPI 7 · Customer repeat-purchase rate (90 days)</t>
  </si>
  <si>
    <t xml:space="preserve">Share of customers with ≥1 additional distinct completed order within 90 days of their first completed order. Customers with unknown key excluded. "Eligible" excludes customers whose 90-day window had not yet closed at the data end date.</t>
  </si>
  <si>
    <t xml:space="preserve">Customers with ≥1 completed order</t>
  </si>
  <si>
    <t xml:space="preserve">Repeat buyers (≤90 days)</t>
  </si>
  <si>
    <t xml:space="preserve">Repeat-purchase rate (all customers)</t>
  </si>
  <si>
    <t xml:space="preserve">Customers with a closed 90-day window</t>
  </si>
  <si>
    <t xml:space="preserve">Repeat buyers among those</t>
  </si>
  <si>
    <t xml:space="preserve">Repeat-purchase rate (eligible only)</t>
  </si>
  <si>
    <t xml:space="preserve">Data end date: 2025-12-01</t>
  </si>
  <si>
    <t xml:space="preserve">KPI 8 · Payment reconciliation &amp; anomaly report</t>
  </si>
  <si>
    <t xml:space="preserve">Order total = Σ line net_amount (all statuses). Paid = Σ payments with status Success. Variance beyond ±1 flags Under/Over-payment. Flags can combine. Orders in payments but absent from FACT_ORDERS are "Orphan".</t>
  </si>
  <si>
    <t xml:space="preserve">Order</t>
  </si>
  <si>
    <t xml:space="preserve">Status</t>
  </si>
  <si>
    <t xml:space="preserve">Order total</t>
  </si>
  <si>
    <t xml:space="preserve">Payment rows</t>
  </si>
  <si>
    <t xml:space="preserve">Success rows</t>
  </si>
  <si>
    <t xml:space="preserve">Paid (Success)</t>
  </si>
  <si>
    <t xml:space="preserve">Payment statuses</t>
  </si>
  <si>
    <t xml:space="preserve">Flag</t>
  </si>
  <si>
    <t xml:space="preserve">Variance</t>
  </si>
  <si>
    <t xml:space="preserve">O00001</t>
  </si>
  <si>
    <t xml:space="preserve">Completed</t>
  </si>
  <si>
    <t xml:space="preserve">Success</t>
  </si>
  <si>
    <t xml:space="preserve">OK</t>
  </si>
  <si>
    <t xml:space="preserve">O00002</t>
  </si>
  <si>
    <t xml:space="preserve">Cancelled</t>
  </si>
  <si>
    <t xml:space="preserve">Refunded</t>
  </si>
  <si>
    <t xml:space="preserve">No successful payment</t>
  </si>
  <si>
    <t xml:space="preserve">O00003</t>
  </si>
  <si>
    <t xml:space="preserve">Pending</t>
  </si>
  <si>
    <t xml:space="preserve">Underpaid</t>
  </si>
  <si>
    <t xml:space="preserve">O00004</t>
  </si>
  <si>
    <t xml:space="preserve">Overpaid</t>
  </si>
  <si>
    <t xml:space="preserve">O00005</t>
  </si>
  <si>
    <t xml:space="preserve">Paid but order Cancelled</t>
  </si>
  <si>
    <t xml:space="preserve">O00006</t>
  </si>
  <si>
    <t xml:space="preserve">Orphan payment (order not in FACT_ORDERS)</t>
  </si>
  <si>
    <t xml:space="preserve">O00007</t>
  </si>
  <si>
    <t xml:space="preserve">No payment row</t>
  </si>
  <si>
    <t xml:space="preserve">O00008</t>
  </si>
  <si>
    <t xml:space="preserve">Conflicting payment statuses</t>
  </si>
  <si>
    <t xml:space="preserve">O00009</t>
  </si>
  <si>
    <t xml:space="preserve">O00010</t>
  </si>
  <si>
    <t xml:space="preserve">O00011</t>
  </si>
  <si>
    <t xml:space="preserve">O00012</t>
  </si>
  <si>
    <t xml:space="preserve">Failed</t>
  </si>
  <si>
    <t xml:space="preserve">O00013</t>
  </si>
  <si>
    <t xml:space="preserve">O00014</t>
  </si>
  <si>
    <t xml:space="preserve">Returned</t>
  </si>
  <si>
    <t xml:space="preserve">O00015</t>
  </si>
  <si>
    <t xml:space="preserve">O00016</t>
  </si>
  <si>
    <t xml:space="preserve">O00017</t>
  </si>
  <si>
    <t xml:space="preserve">O00018</t>
  </si>
  <si>
    <t xml:space="preserve">O00019</t>
  </si>
  <si>
    <t xml:space="preserve">O00020</t>
  </si>
  <si>
    <t xml:space="preserve">O00021</t>
  </si>
  <si>
    <t xml:space="preserve">O00022</t>
  </si>
  <si>
    <t xml:space="preserve">Underpaid; Paid but order Cancelled</t>
  </si>
  <si>
    <t xml:space="preserve">O00023</t>
  </si>
  <si>
    <t xml:space="preserve">O00024</t>
  </si>
  <si>
    <t xml:space="preserve">O00025</t>
  </si>
  <si>
    <t xml:space="preserve">O00026</t>
  </si>
  <si>
    <t xml:space="preserve">O00027</t>
  </si>
  <si>
    <t xml:space="preserve">O00028</t>
  </si>
  <si>
    <t xml:space="preserve">O00029</t>
  </si>
  <si>
    <t xml:space="preserve">Overpaid; Paid but order Cancelled</t>
  </si>
  <si>
    <t xml:space="preserve">O00030</t>
  </si>
  <si>
    <t xml:space="preserve">O00031</t>
  </si>
  <si>
    <t xml:space="preserve">O00032</t>
  </si>
  <si>
    <t xml:space="preserve">O00033</t>
  </si>
  <si>
    <t xml:space="preserve">O00034</t>
  </si>
  <si>
    <t xml:space="preserve">O00035</t>
  </si>
  <si>
    <t xml:space="preserve">O00036</t>
  </si>
  <si>
    <t xml:space="preserve">O00037</t>
  </si>
  <si>
    <t xml:space="preserve">O00038</t>
  </si>
  <si>
    <t xml:space="preserve">O00039</t>
  </si>
  <si>
    <t xml:space="preserve">O00040</t>
  </si>
  <si>
    <t xml:space="preserve">O00041</t>
  </si>
  <si>
    <t xml:space="preserve">O00042</t>
  </si>
  <si>
    <t xml:space="preserve">O00043</t>
  </si>
  <si>
    <t xml:space="preserve">Pending/Success</t>
  </si>
  <si>
    <t xml:space="preserve">Overpaid; Conflicting payment statuses; Paid but order Cancelled</t>
  </si>
  <si>
    <t xml:space="preserve">O00044</t>
  </si>
  <si>
    <t xml:space="preserve">O00045</t>
  </si>
  <si>
    <t xml:space="preserve">O00046</t>
  </si>
  <si>
    <t xml:space="preserve">O00047</t>
  </si>
  <si>
    <t xml:space="preserve">O00048</t>
  </si>
  <si>
    <t xml:space="preserve">O00049</t>
  </si>
  <si>
    <t xml:space="preserve">O00050</t>
  </si>
  <si>
    <t xml:space="preserve">O00051</t>
  </si>
  <si>
    <t xml:space="preserve">O00052</t>
  </si>
  <si>
    <t xml:space="preserve">O00053</t>
  </si>
  <si>
    <t xml:space="preserve">O00054</t>
  </si>
  <si>
    <t xml:space="preserve">O00055</t>
  </si>
  <si>
    <t xml:space="preserve">O00056</t>
  </si>
  <si>
    <t xml:space="preserve">O00057</t>
  </si>
  <si>
    <t xml:space="preserve">O00058</t>
  </si>
  <si>
    <t xml:space="preserve">O00059</t>
  </si>
  <si>
    <t xml:space="preserve">O00060</t>
  </si>
  <si>
    <t xml:space="preserve">O00061</t>
  </si>
  <si>
    <t xml:space="preserve">O00062</t>
  </si>
  <si>
    <t xml:space="preserve">O00063</t>
  </si>
  <si>
    <t xml:space="preserve">O00064</t>
  </si>
  <si>
    <t xml:space="preserve">O00065</t>
  </si>
  <si>
    <t xml:space="preserve">O00066</t>
  </si>
  <si>
    <t xml:space="preserve">O00067</t>
  </si>
  <si>
    <t xml:space="preserve">O00068</t>
  </si>
  <si>
    <t xml:space="preserve">O00069</t>
  </si>
  <si>
    <t xml:space="preserve">O00070</t>
  </si>
  <si>
    <t xml:space="preserve">O00071</t>
  </si>
  <si>
    <t xml:space="preserve">O00072</t>
  </si>
  <si>
    <t xml:space="preserve">O00073</t>
  </si>
  <si>
    <t xml:space="preserve">O00074</t>
  </si>
  <si>
    <t xml:space="preserve">O00075</t>
  </si>
  <si>
    <t xml:space="preserve">O00076</t>
  </si>
  <si>
    <t xml:space="preserve">O00077</t>
  </si>
  <si>
    <t xml:space="preserve">O00078</t>
  </si>
  <si>
    <t xml:space="preserve">O00079</t>
  </si>
  <si>
    <t xml:space="preserve">O00080</t>
  </si>
  <si>
    <t xml:space="preserve">O00081</t>
  </si>
  <si>
    <t xml:space="preserve">O00082</t>
  </si>
  <si>
    <t xml:space="preserve">O00083</t>
  </si>
  <si>
    <t xml:space="preserve">O00084</t>
  </si>
  <si>
    <t xml:space="preserve">O00085</t>
  </si>
  <si>
    <t xml:space="preserve">O00086</t>
  </si>
  <si>
    <t xml:space="preserve">O00087</t>
  </si>
  <si>
    <t xml:space="preserve">O00088</t>
  </si>
  <si>
    <t xml:space="preserve">O00089</t>
  </si>
  <si>
    <t xml:space="preserve">O00090</t>
  </si>
  <si>
    <t xml:space="preserve">O00091</t>
  </si>
  <si>
    <t xml:space="preserve">O00092</t>
  </si>
  <si>
    <t xml:space="preserve">O00093</t>
  </si>
  <si>
    <t xml:space="preserve">O00094</t>
  </si>
  <si>
    <t xml:space="preserve">O00095</t>
  </si>
  <si>
    <t xml:space="preserve">O00096</t>
  </si>
  <si>
    <t xml:space="preserve">O00097</t>
  </si>
  <si>
    <t xml:space="preserve">O00098</t>
  </si>
  <si>
    <t xml:space="preserve">O00099</t>
  </si>
  <si>
    <t xml:space="preserve">O00100</t>
  </si>
  <si>
    <t xml:space="preserve">O00101</t>
  </si>
  <si>
    <t xml:space="preserve">O00102</t>
  </si>
  <si>
    <t xml:space="preserve">O00103</t>
  </si>
  <si>
    <t xml:space="preserve">O00104</t>
  </si>
  <si>
    <t xml:space="preserve">O00105</t>
  </si>
  <si>
    <t xml:space="preserve">O00106</t>
  </si>
  <si>
    <t xml:space="preserve">O00107</t>
  </si>
  <si>
    <t xml:space="preserve">O00108</t>
  </si>
  <si>
    <t xml:space="preserve">O00109</t>
  </si>
  <si>
    <t xml:space="preserve">O00110</t>
  </si>
  <si>
    <t xml:space="preserve">O00111</t>
  </si>
  <si>
    <t xml:space="preserve">O00112</t>
  </si>
  <si>
    <t xml:space="preserve">O00113</t>
  </si>
  <si>
    <t xml:space="preserve">O00114</t>
  </si>
  <si>
    <t xml:space="preserve">O00115</t>
  </si>
  <si>
    <t xml:space="preserve">O00116</t>
  </si>
  <si>
    <t xml:space="preserve">O00117</t>
  </si>
  <si>
    <t xml:space="preserve">O00118</t>
  </si>
  <si>
    <t xml:space="preserve">O00119</t>
  </si>
  <si>
    <t xml:space="preserve">O00120</t>
  </si>
  <si>
    <t xml:space="preserve">O00121</t>
  </si>
  <si>
    <t xml:space="preserve">O00122</t>
  </si>
  <si>
    <t xml:space="preserve">O00123</t>
  </si>
  <si>
    <t xml:space="preserve">O00124</t>
  </si>
  <si>
    <t xml:space="preserve">O00125</t>
  </si>
  <si>
    <t xml:space="preserve">O00126</t>
  </si>
  <si>
    <t xml:space="preserve">O00127</t>
  </si>
  <si>
    <t xml:space="preserve">O00128</t>
  </si>
  <si>
    <t xml:space="preserve">O00129</t>
  </si>
  <si>
    <t xml:space="preserve">O00130</t>
  </si>
  <si>
    <t xml:space="preserve">O00131</t>
  </si>
  <si>
    <t xml:space="preserve">O00132</t>
  </si>
  <si>
    <t xml:space="preserve">O00133</t>
  </si>
  <si>
    <t xml:space="preserve">O00134</t>
  </si>
  <si>
    <t xml:space="preserve">O00135</t>
  </si>
  <si>
    <t xml:space="preserve">O00136</t>
  </si>
  <si>
    <t xml:space="preserve">O00137</t>
  </si>
  <si>
    <t xml:space="preserve">O00138</t>
  </si>
  <si>
    <t xml:space="preserve">O00139</t>
  </si>
  <si>
    <t xml:space="preserve">O00140</t>
  </si>
  <si>
    <t xml:space="preserve">O00141</t>
  </si>
  <si>
    <t xml:space="preserve">O00142</t>
  </si>
  <si>
    <t xml:space="preserve">O00143</t>
  </si>
  <si>
    <t xml:space="preserve">O00144</t>
  </si>
  <si>
    <t xml:space="preserve">O00145</t>
  </si>
  <si>
    <t xml:space="preserve">O00146</t>
  </si>
  <si>
    <t xml:space="preserve">O00147</t>
  </si>
  <si>
    <t xml:space="preserve">O00148</t>
  </si>
  <si>
    <t xml:space="preserve">O00149</t>
  </si>
  <si>
    <t xml:space="preserve">O00150</t>
  </si>
  <si>
    <t xml:space="preserve">O00151</t>
  </si>
  <si>
    <t xml:space="preserve">O00152</t>
  </si>
  <si>
    <t xml:space="preserve">O00153</t>
  </si>
  <si>
    <t xml:space="preserve">O00154</t>
  </si>
  <si>
    <t xml:space="preserve">O00155</t>
  </si>
  <si>
    <t xml:space="preserve">O00156</t>
  </si>
  <si>
    <t xml:space="preserve">O00157</t>
  </si>
  <si>
    <t xml:space="preserve">O00158</t>
  </si>
  <si>
    <t xml:space="preserve">O00159</t>
  </si>
  <si>
    <t xml:space="preserve">O00160</t>
  </si>
  <si>
    <t xml:space="preserve">O00161</t>
  </si>
  <si>
    <t xml:space="preserve">O00162</t>
  </si>
  <si>
    <t xml:space="preserve">O00163</t>
  </si>
  <si>
    <t xml:space="preserve">O00164</t>
  </si>
  <si>
    <t xml:space="preserve">O00165</t>
  </si>
  <si>
    <t xml:space="preserve">O00166</t>
  </si>
  <si>
    <t xml:space="preserve">O00167</t>
  </si>
  <si>
    <t xml:space="preserve">O00168</t>
  </si>
  <si>
    <t xml:space="preserve">O00169</t>
  </si>
  <si>
    <t xml:space="preserve">O00170</t>
  </si>
  <si>
    <t xml:space="preserve">O00171</t>
  </si>
  <si>
    <t xml:space="preserve">O00172</t>
  </si>
  <si>
    <t xml:space="preserve">O00173</t>
  </si>
  <si>
    <t xml:space="preserve">O00174</t>
  </si>
  <si>
    <t xml:space="preserve">O00175</t>
  </si>
  <si>
    <t xml:space="preserve">O00176</t>
  </si>
  <si>
    <t xml:space="preserve">O00177</t>
  </si>
  <si>
    <t xml:space="preserve">O00178</t>
  </si>
  <si>
    <t xml:space="preserve">O00179</t>
  </si>
  <si>
    <t xml:space="preserve">O00180</t>
  </si>
  <si>
    <t xml:space="preserve">O00181</t>
  </si>
  <si>
    <t xml:space="preserve">O00182</t>
  </si>
  <si>
    <t xml:space="preserve">O00183</t>
  </si>
  <si>
    <t xml:space="preserve">O00184</t>
  </si>
  <si>
    <t xml:space="preserve">O00185</t>
  </si>
  <si>
    <t xml:space="preserve">O00186</t>
  </si>
  <si>
    <t xml:space="preserve">O00187</t>
  </si>
  <si>
    <t xml:space="preserve">O00188</t>
  </si>
  <si>
    <t xml:space="preserve">O00189</t>
  </si>
  <si>
    <t xml:space="preserve">O00190</t>
  </si>
  <si>
    <t xml:space="preserve">O00191</t>
  </si>
  <si>
    <t xml:space="preserve">O00192</t>
  </si>
  <si>
    <t xml:space="preserve">O00193</t>
  </si>
  <si>
    <t xml:space="preserve">O00194</t>
  </si>
  <si>
    <t xml:space="preserve">O00195</t>
  </si>
  <si>
    <t xml:space="preserve">O00196</t>
  </si>
  <si>
    <t xml:space="preserve">O00197</t>
  </si>
  <si>
    <t xml:space="preserve">O00198</t>
  </si>
  <si>
    <t xml:space="preserve">O00199</t>
  </si>
  <si>
    <t xml:space="preserve">O00200</t>
  </si>
  <si>
    <t xml:space="preserve">O00201</t>
  </si>
  <si>
    <t xml:space="preserve">O00202</t>
  </si>
  <si>
    <t xml:space="preserve">O00203</t>
  </si>
  <si>
    <t xml:space="preserve">O00204</t>
  </si>
  <si>
    <t xml:space="preserve">O00205</t>
  </si>
  <si>
    <t xml:space="preserve">O00206</t>
  </si>
  <si>
    <t xml:space="preserve">O00207</t>
  </si>
  <si>
    <t xml:space="preserve">O00208</t>
  </si>
  <si>
    <t xml:space="preserve">O00209</t>
  </si>
  <si>
    <t xml:space="preserve">O00210</t>
  </si>
  <si>
    <t xml:space="preserve">O00211</t>
  </si>
  <si>
    <t xml:space="preserve">O00212</t>
  </si>
  <si>
    <t xml:space="preserve">O00213</t>
  </si>
  <si>
    <t xml:space="preserve">O00214</t>
  </si>
  <si>
    <t xml:space="preserve">O00215</t>
  </si>
  <si>
    <t xml:space="preserve">O00216</t>
  </si>
  <si>
    <t xml:space="preserve">O00217</t>
  </si>
  <si>
    <t xml:space="preserve">O00218</t>
  </si>
  <si>
    <t xml:space="preserve">O00219</t>
  </si>
  <si>
    <t xml:space="preserve">O00220</t>
  </si>
  <si>
    <t xml:space="preserve">O00221</t>
  </si>
  <si>
    <t xml:space="preserve">O00222</t>
  </si>
  <si>
    <t xml:space="preserve">O00223</t>
  </si>
  <si>
    <t xml:space="preserve">O00224</t>
  </si>
  <si>
    <t xml:space="preserve">O00225</t>
  </si>
  <si>
    <t xml:space="preserve">O00226</t>
  </si>
  <si>
    <t xml:space="preserve">O00227</t>
  </si>
  <si>
    <t xml:space="preserve">O00228</t>
  </si>
  <si>
    <t xml:space="preserve">O00229</t>
  </si>
  <si>
    <t xml:space="preserve">O00230</t>
  </si>
  <si>
    <t xml:space="preserve">O00231</t>
  </si>
  <si>
    <t xml:space="preserve">O00232</t>
  </si>
  <si>
    <t xml:space="preserve">O00233</t>
  </si>
  <si>
    <t xml:space="preserve">O00234</t>
  </si>
  <si>
    <t xml:space="preserve">O00235</t>
  </si>
  <si>
    <t xml:space="preserve">O00236</t>
  </si>
  <si>
    <t xml:space="preserve">O00237</t>
  </si>
  <si>
    <t xml:space="preserve">O00238</t>
  </si>
  <si>
    <t xml:space="preserve">O00239</t>
  </si>
  <si>
    <t xml:space="preserve">O00240</t>
  </si>
  <si>
    <t xml:space="preserve">O00241</t>
  </si>
  <si>
    <t xml:space="preserve">O00242</t>
  </si>
  <si>
    <t xml:space="preserve">O00243</t>
  </si>
  <si>
    <t xml:space="preserve">O00244</t>
  </si>
  <si>
    <t xml:space="preserve">O00245</t>
  </si>
  <si>
    <t xml:space="preserve">O00246</t>
  </si>
  <si>
    <t xml:space="preserve">O00247</t>
  </si>
  <si>
    <t xml:space="preserve">O00248</t>
  </si>
  <si>
    <t xml:space="preserve">O00249</t>
  </si>
  <si>
    <t xml:space="preserve">O00250</t>
  </si>
  <si>
    <t xml:space="preserve">O00251</t>
  </si>
  <si>
    <t xml:space="preserve">O00252</t>
  </si>
  <si>
    <t xml:space="preserve">O00253</t>
  </si>
  <si>
    <t xml:space="preserve">O00254</t>
  </si>
  <si>
    <t xml:space="preserve">O00255</t>
  </si>
  <si>
    <t xml:space="preserve">O00256</t>
  </si>
  <si>
    <t xml:space="preserve">O00257</t>
  </si>
  <si>
    <t xml:space="preserve">O00258</t>
  </si>
  <si>
    <t xml:space="preserve">O00259</t>
  </si>
  <si>
    <t xml:space="preserve">O00260</t>
  </si>
  <si>
    <t xml:space="preserve">O00261</t>
  </si>
  <si>
    <t xml:space="preserve">O00262</t>
  </si>
  <si>
    <t xml:space="preserve">O00263</t>
  </si>
  <si>
    <t xml:space="preserve">O00264</t>
  </si>
  <si>
    <t xml:space="preserve">O00265</t>
  </si>
  <si>
    <t xml:space="preserve">O00266</t>
  </si>
  <si>
    <t xml:space="preserve">O00267</t>
  </si>
  <si>
    <t xml:space="preserve">O00268</t>
  </si>
  <si>
    <t xml:space="preserve">O00269</t>
  </si>
  <si>
    <t xml:space="preserve">O00270</t>
  </si>
  <si>
    <t xml:space="preserve">O00271</t>
  </si>
  <si>
    <t xml:space="preserve">O00272</t>
  </si>
  <si>
    <t xml:space="preserve">O00273</t>
  </si>
  <si>
    <t xml:space="preserve">O00274</t>
  </si>
  <si>
    <t xml:space="preserve">O00275</t>
  </si>
  <si>
    <t xml:space="preserve">O00276</t>
  </si>
  <si>
    <t xml:space="preserve">O00277</t>
  </si>
  <si>
    <t xml:space="preserve">O00278</t>
  </si>
  <si>
    <t xml:space="preserve">O00279</t>
  </si>
  <si>
    <t xml:space="preserve">O00280</t>
  </si>
  <si>
    <t xml:space="preserve">O00281</t>
  </si>
  <si>
    <t xml:space="preserve">O00282</t>
  </si>
  <si>
    <t xml:space="preserve">O00283</t>
  </si>
  <si>
    <t xml:space="preserve">O00284</t>
  </si>
  <si>
    <t xml:space="preserve">O00285</t>
  </si>
  <si>
    <t xml:space="preserve">O00286</t>
  </si>
  <si>
    <t xml:space="preserve">O00287</t>
  </si>
  <si>
    <t xml:space="preserve">O00288</t>
  </si>
  <si>
    <t xml:space="preserve">O00289</t>
  </si>
  <si>
    <t xml:space="preserve">O00290</t>
  </si>
  <si>
    <t xml:space="preserve">O00291</t>
  </si>
  <si>
    <t xml:space="preserve">O00292</t>
  </si>
  <si>
    <t xml:space="preserve">O00293</t>
  </si>
  <si>
    <t xml:space="preserve">O00294</t>
  </si>
  <si>
    <t xml:space="preserve">O00295</t>
  </si>
  <si>
    <t xml:space="preserve">O00296</t>
  </si>
  <si>
    <t xml:space="preserve">Conflicting payment statuses; Paid but order Cancelled</t>
  </si>
  <si>
    <t xml:space="preserve">O00297</t>
  </si>
  <si>
    <t xml:space="preserve">O00298</t>
  </si>
  <si>
    <t xml:space="preserve">O00299</t>
  </si>
  <si>
    <t xml:space="preserve">O00300</t>
  </si>
  <si>
    <t xml:space="preserve">O00301</t>
  </si>
  <si>
    <t xml:space="preserve">O00302</t>
  </si>
  <si>
    <t xml:space="preserve">O00303</t>
  </si>
  <si>
    <t xml:space="preserve">O00304</t>
  </si>
  <si>
    <t xml:space="preserve">O00305</t>
  </si>
  <si>
    <t xml:space="preserve">O00306</t>
  </si>
  <si>
    <t xml:space="preserve">O00307</t>
  </si>
  <si>
    <t xml:space="preserve">O00308</t>
  </si>
  <si>
    <t xml:space="preserve">O00309</t>
  </si>
  <si>
    <t xml:space="preserve">O00310</t>
  </si>
  <si>
    <t xml:space="preserve">O00311</t>
  </si>
  <si>
    <t xml:space="preserve">O00312</t>
  </si>
  <si>
    <t xml:space="preserve">O00313</t>
  </si>
  <si>
    <t xml:space="preserve">O00314</t>
  </si>
  <si>
    <t xml:space="preserve">O00315</t>
  </si>
  <si>
    <t xml:space="preserve">O00316</t>
  </si>
  <si>
    <t xml:space="preserve">O00317</t>
  </si>
  <si>
    <t xml:space="preserve">O00318</t>
  </si>
  <si>
    <t xml:space="preserve">O00319</t>
  </si>
  <si>
    <t xml:space="preserve">O00320</t>
  </si>
  <si>
    <t xml:space="preserve">O90749</t>
  </si>
  <si>
    <t xml:space="preserve">O93042</t>
  </si>
  <si>
    <t xml:space="preserve">O93525</t>
  </si>
  <si>
    <t xml:space="preserve">O94502</t>
  </si>
  <si>
    <t xml:space="preserve">O94535</t>
  </si>
  <si>
    <t xml:space="preserve">O97158</t>
  </si>
  <si>
    <t xml:space="preserve">O97748</t>
  </si>
  <si>
    <t xml:space="preserve">O98217</t>
  </si>
  <si>
    <t xml:space="preserve">Stretch · Margin risk report (products sold at a loss)</t>
  </si>
  <si>
    <t xml:space="preserve">Line is "at a loss" when unit_price × (1 − discount%) &lt; product cost_price. Revenue exposed = net_amount of those lines; est. loss = (cost − effective price) × qty. Unknown product and zero-price lines excluded.</t>
  </si>
  <si>
    <t xml:space="preserve">Lines at a loss</t>
  </si>
  <si>
    <t xml:space="preserve">of 758</t>
  </si>
  <si>
    <t xml:space="preserve">Quantity exposed</t>
  </si>
  <si>
    <t xml:space="preserve">Revenue exposed</t>
  </si>
  <si>
    <t xml:space="preserve">of margin-eligible revenue</t>
  </si>
  <si>
    <t xml:space="preserve">Estimated loss</t>
  </si>
  <si>
    <t xml:space="preserve">lines</t>
  </si>
  <si>
    <t xml:space="preserve">qty_exposed</t>
  </si>
  <si>
    <t xml:space="preserve">revenue_exposed</t>
  </si>
  <si>
    <t xml:space="preserve">est_loss</t>
  </si>
  <si>
    <t xml:space="preserve">avg_cost</t>
  </si>
  <si>
    <t xml:space="preserve">avg_eff_price</t>
  </si>
  <si>
    <t xml:space="preserve">P013</t>
  </si>
  <si>
    <t xml:space="preserve">Appliances Item 13</t>
  </si>
  <si>
    <t xml:space="preserve">P039</t>
  </si>
  <si>
    <t xml:space="preserve">Fitness Item 39 (Revised)</t>
  </si>
  <si>
    <t xml:space="preserve">P060</t>
  </si>
  <si>
    <t xml:space="preserve">Staples Item 60 (Revised)</t>
  </si>
  <si>
    <t xml:space="preserve">P001</t>
  </si>
  <si>
    <t xml:space="preserve">Accessories Item 1 (Revised)</t>
  </si>
  <si>
    <t xml:space="preserve">P020</t>
  </si>
  <si>
    <t xml:space="preserve">Beverages Item 20</t>
  </si>
  <si>
    <t xml:space="preserve">P028</t>
  </si>
  <si>
    <t xml:space="preserve">Appliances Item 28</t>
  </si>
  <si>
    <t xml:space="preserve">P006</t>
  </si>
  <si>
    <t xml:space="preserve">Furniture Item 6</t>
  </si>
  <si>
    <t xml:space="preserve">P051</t>
  </si>
  <si>
    <t xml:space="preserve">Footwear Item 51</t>
  </si>
  <si>
    <t xml:space="preserve">P027</t>
  </si>
  <si>
    <t xml:space="preserve">Appliances Item 27</t>
  </si>
  <si>
    <t xml:space="preserve">P010</t>
  </si>
  <si>
    <t xml:space="preserve">Accessories Item 10</t>
  </si>
  <si>
    <t xml:space="preserve">P056</t>
  </si>
  <si>
    <t xml:space="preserve">Audio Item 56</t>
  </si>
  <si>
    <t xml:space="preserve">P008</t>
  </si>
  <si>
    <t xml:space="preserve">P034</t>
  </si>
  <si>
    <t xml:space="preserve">Fitness Item 34</t>
  </si>
  <si>
    <t xml:space="preserve">P063</t>
  </si>
  <si>
    <t xml:space="preserve">Beverages Item 63</t>
  </si>
  <si>
    <t xml:space="preserve">P059</t>
  </si>
  <si>
    <t xml:space="preserve">P057</t>
  </si>
  <si>
    <t xml:space="preserve">Team Sports Item 57</t>
  </si>
  <si>
    <t xml:space="preserve">P036</t>
  </si>
  <si>
    <t xml:space="preserve">Staples Item 36</t>
  </si>
  <si>
    <t xml:space="preserve">P019</t>
  </si>
  <si>
    <t xml:space="preserve">Beverages Item 19</t>
  </si>
  <si>
    <t xml:space="preserve">P023</t>
  </si>
  <si>
    <t xml:space="preserve">Footwear Item 23</t>
  </si>
  <si>
    <t xml:space="preserve">P062</t>
  </si>
  <si>
    <t xml:space="preserve">Cookware Item 62</t>
  </si>
  <si>
    <t xml:space="preserve">P053</t>
  </si>
  <si>
    <t xml:space="preserve">Outdoor Item 53</t>
  </si>
  <si>
    <t xml:space="preserve">P005</t>
  </si>
  <si>
    <t xml:space="preserve">Staples Item 5</t>
  </si>
  <si>
    <t xml:space="preserve">Data profiling &amp; cleansing report</t>
  </si>
  <si>
    <t xml:space="preserve">Issues found, rule applied, and before/after counts. "Before/After" = records (or columns) affected before the rule vs remaining after.</t>
  </si>
  <si>
    <t xml:space="preserve">Table</t>
  </si>
  <si>
    <t xml:space="preserve">Issue found</t>
  </si>
  <si>
    <t xml:space="preserve">Rule applied</t>
  </si>
  <si>
    <t xml:space="preserve">Before</t>
  </si>
  <si>
    <t xml:space="preserve">After</t>
  </si>
  <si>
    <t xml:space="preserve">FACT_ORDERS</t>
  </si>
  <si>
    <t xml:space="preserve">16,365 empty spill-over columns (Column1..ColumnN) in the sheet</t>
  </si>
  <si>
    <t xml:space="preserve">Dropped all unnamed empty columns</t>
  </si>
  <si>
    <t xml:space="preserve">Channel labels (Web/App/Store) checked for case/space variants</t>
  </si>
  <si>
    <t xml:space="preserve">Trim + title-case; 3 distinct values remain</t>
  </si>
  <si>
    <t xml:space="preserve">Order lines with unknown customer (key -1)</t>
  </si>
  <si>
    <t xml:space="preserve">Kept for revenue KPIs; excluded from customer-level KPIs (2,3,7); reported separately</t>
  </si>
  <si>
    <t xml:space="preserve">Order lines with unknown product (key -1)</t>
  </si>
  <si>
    <t xml:space="preserve">Kept; category = "Unknown"; excluded from product/supplier KPIs (5,6,9)</t>
  </si>
  <si>
    <t xml:space="preserve">Order lines with unit_price = 0</t>
  </si>
  <si>
    <t xml:space="preserve">Revenue kept as recorded (0); excluded from margin KPI</t>
  </si>
  <si>
    <t xml:space="preserve">gross - discount = net integrity check</t>
  </si>
  <si>
    <t xml:space="preserve">All rows pass</t>
  </si>
  <si>
    <t xml:space="preserve">FACT_RETURNS</t>
  </si>
  <si>
    <t xml:space="preserve">Returns with return date earlier than order date (return_before_order)</t>
  </si>
  <si>
    <t xml:space="preserve">Flagged; kept because refunds are attributed to the ORDER month, not the return month</t>
  </si>
  <si>
    <t xml:space="preserve">Returns with status Rejected / Pending</t>
  </si>
  <si>
    <t xml:space="preserve">Excluded: only Approved returns reduce revenue or count as returned quantity</t>
  </si>
  <si>
    <t xml:space="preserve">Approved returns with NULL refund_amount</t>
  </si>
  <si>
    <t xml:space="preserve">Imputed as full line net_amount</t>
  </si>
  <si>
    <t xml:space="preserve">Refunds larger than the line net_amount</t>
  </si>
  <si>
    <t xml:space="preserve">Capped at line net_amount</t>
  </si>
  <si>
    <t xml:space="preserve">DIM_PRODUCTS</t>
  </si>
  <si>
    <t xml:space="preserve">Duplicate product_id / conflicting records; "(Revised)" name suffix on 4 products</t>
  </si>
  <si>
    <t xml:space="preserve">product_id is unique (0 duplicates); suffix kept as-is, no merge needed</t>
  </si>
  <si>
    <t xml:space="preserve">Category labels</t>
  </si>
  <si>
    <t xml:space="preserve">Trim/title-case; 5 real categories + Unknown</t>
  </si>
  <si>
    <t xml:space="preserve">Products with NULL/0 unit_price</t>
  </si>
  <si>
    <t xml:space="preserve">Kept; line price taken from FACT_ORDERS (already imputed)</t>
  </si>
  <si>
    <t xml:space="preserve">DIM_CUSTOMERS</t>
  </si>
  <si>
    <t xml:space="preserve">Segment labels</t>
  </si>
  <si>
    <t xml:space="preserve">Trim/title-case; Bronze/Silver/Gold/Platinum + Unknown placeholder</t>
  </si>
  <si>
    <t xml:space="preserve">SCD history</t>
  </si>
  <si>
    <t xml:space="preserve">Every customer has one is_current row (no history yet); Type-2 columns retained</t>
  </si>
  <si>
    <t xml:space="preserve">DIM_SUPPLIERS</t>
  </si>
  <si>
    <t xml:space="preserve">Ratings on mixed 5/10 scale</t>
  </si>
  <si>
    <t xml:space="preserve">rating_normalized = raw/2 when raw&gt;5 (verified vs supplied column)</t>
  </si>
  <si>
    <t xml:space="preserve">Cancelled and Pending lines</t>
  </si>
  <si>
    <t xml:space="preserve">Excluded from revenue KPIs (not realised)</t>
  </si>
  <si>
    <t xml:space="preserve">FACT_PAYMENTS</t>
  </si>
  <si>
    <t xml:space="preserve">10 payment rows (8 orders) reference orders absent from FACT_ORDERS (is_orphan_order = TRUE; customer −1)</t>
  </si>
  <si>
    <t xml:space="preserve">Kept and reported as "Orphan payment" in KPI 8</t>
  </si>
  <si>
    <t xml:space="preserve">8 orders have no payment row; 88 orders have no Success payment; 5 orders have mixed statuses</t>
  </si>
  <si>
    <t xml:space="preserve">Flagged in KPI 8, not corrected</t>
  </si>
  <si>
    <t xml:space="preserve">29 of 59 returns carry return_before_order = TRUE (return date precedes order date)</t>
  </si>
  <si>
    <t xml:space="preserve">Flagged only; refunds attributed to order month so the date conflict does not affect KPIs</t>
  </si>
  <si>
    <t xml:space="preserve">11 products have cost_price above list unit_price; 3 products have NULL/0 list price</t>
  </si>
  <si>
    <t xml:space="preserve">Handled at line level in KPI 9 (effective price vs cost)</t>
  </si>
  <si>
    <t xml:space="preserve">Row counts (curated)</t>
  </si>
  <si>
    <t xml:space="preserve">Rows</t>
  </si>
  <si>
    <t xml:space="preserve">DIM_DATE</t>
  </si>
  <si>
    <t xml:space="preserve">Data model (star schema) &amp; SCD approach</t>
  </si>
  <si>
    <t xml:space="preserve">Design</t>
  </si>
  <si>
    <t xml:space="preserve">Notes</t>
  </si>
  <si>
    <t xml:space="preserve">Grain: order line. FKs → DIM_CUSTOMERS, DIM_PRODUCTS, DIM_DATE (order_date_key). Measures: quantity, unit_price, discount_pct, gross/discount/net amount. Degenerate dims: order_id, channel, order_status.</t>
  </si>
  <si>
    <t xml:space="preserve">Unknown member key −1 for orphaned customer/product references</t>
  </si>
  <si>
    <t xml:space="preserve">Grain: return event on an order line. FK → FACT_ORDERS (fact_order_key), DIM_DATE. Measure: refund_amount.</t>
  </si>
  <si>
    <t xml:space="preserve">Only Approved rows reduce revenue</t>
  </si>
  <si>
    <t xml:space="preserve">Grain: payment attempt. Joins to orders on order_id (degenerate). FK → DIM_CUSTOMERS, DIM_DATE.</t>
  </si>
  <si>
    <t xml:space="preserve">is_orphan_order marks payments without a matching order</t>
  </si>
  <si>
    <t xml:space="preserve">SCD Type 2: surrogate customer_key, natural key customer_id, effective_from/effective_to, is_current. Segment/city changes insert a new row and close the old one (effective_to = new effective_from − 1 day).</t>
  </si>
  <si>
    <t xml:space="preserve">Currently 1 row per customer (no history yet). Facts store the surrogate key valid at order time; KPIs on current attributes join through customer_id + is_current.</t>
  </si>
  <si>
    <t xml:space="preserve">Type 1 (overwrite). FK supplier_key → DIM_SUPPLIERS. Category standardized.</t>
  </si>
  <si>
    <t xml:space="preserve">Type 1. rating_raw kept for audit, rating_normalized on a 0–5 scale.</t>
  </si>
  <si>
    <t xml:space="preserve">Calendar dimension keyed yyyymmdd; −1 for unknown.</t>
  </si>
  <si>
    <t xml:space="preserve">Full DDL: schema.sql (delivered alongside this workbook).</t>
  </si>
  <si>
    <t xml:space="preserve">Assumptions, edge-case decisions &amp; trade-offs</t>
  </si>
  <si>
    <t xml:space="preserve">#</t>
  </si>
  <si>
    <t xml:space="preserve">Assumption / decision</t>
  </si>
  <si>
    <t xml:space="preserve">A1</t>
  </si>
  <si>
    <t xml:space="preserve">Realised sales = order_status Completed or Returned. Cancelled and Pending lines are excluded from revenue KPIs (1, 4, 5, 6, 9 uses all lines). KPI 2, 3, 7 use Completed only, as specified.</t>
  </si>
  <si>
    <t xml:space="preserve">A2</t>
  </si>
  <si>
    <t xml:space="preserve">Refunds: only Approved returns reduce revenue. Return quantity = full line quantity (no partial-quantity field). NULL refund on an approved return → full line net; refunds above line net are capped.</t>
  </si>
  <si>
    <t xml:space="preserve">A3</t>
  </si>
  <si>
    <t xml:space="preserve">Refunds are attributed to the ORDER month (not return month) because 29 of 59 returns have return dates before the order date.</t>
  </si>
  <si>
    <t xml:space="preserve">A4</t>
  </si>
  <si>
    <t xml:space="preserve">Unknown customer (key −1, 37 lines): kept in revenue KPIs, excluded from customer KPIs (2, 3, 7); value reported as memo in KPI 2.</t>
  </si>
  <si>
    <t xml:space="preserve">A5</t>
  </si>
  <si>
    <t xml:space="preserve">Unknown product (key −1, 8 lines): category "Unknown" in KPI 1; excluded from product and supplier KPIs. No duplicate product_ids exist, so no merge was needed; "(Revised)" names kept as-is.</t>
  </si>
  <si>
    <t xml:space="preserve">A6</t>
  </si>
  <si>
    <t xml:space="preserve">KPI 5 threshold: ≥30 ordered units (19 of 69 products qualify; a lower bar lets 1–2 unit products reach 50%+). Tie-break by higher volume. Many products have 0% return, so the bottom 10 is a tie on 0% broken by volume.</t>
  </si>
  <si>
    <t xml:space="preserve">A7</t>
  </si>
  <si>
    <t xml:space="preserve">KPI 6 weights 40/30/30 are editable in the sheet. Revenue and return rate min-max scaled across suppliers. Unknown supplier excluded.</t>
  </si>
  <si>
    <t xml:space="preserve">A8</t>
  </si>
  <si>
    <t xml:space="preserve">KPI 7: "within 90 days" = ≤90 days from first completed order date, different order_id. Both all-customer and eligible-only (window closed before 2025-12-01) rates shown.</t>
  </si>
  <si>
    <t xml:space="preserve">A9</t>
  </si>
  <si>
    <t xml:space="preserve">KPI 8: tolerance ±1 currency unit. Only Success rows count as paid; Refunded/Failed/Pending do not. Cancelled orders with a Success payment are flagged.</t>
  </si>
  <si>
    <t xml:space="preserve">A10</t>
  </si>
  <si>
    <t xml:space="preserve">KPI 4: MoM computed on Jan-2024 → Dec-2025 with zero-filled gaps; Nov/Dec-2025 contain very few orders so late growth rates are noisy.</t>
  </si>
  <si>
    <t xml:space="preserve">A11</t>
  </si>
  <si>
    <t xml:space="preserve">Source workbook is already a curated star schema (not raw CSVs); "raw → curated" therefore covers structural cleanup (16,365 empty columns), integrity checks and business-rule derivation, not re-keying.</t>
  </si>
  <si>
    <t xml:space="preserve">A12</t>
  </si>
  <si>
    <t xml:space="preserve">Trade-off: KPI 1 and dashboard tiles are live formulas; KPIs needing window logic, ranking or multi-table joins are pipeline.py outputs to keep the workbook auditable and fast.</t>
  </si>
  <si>
    <t xml:space="preserve">AI usage log</t>
  </si>
  <si>
    <t xml:space="preserve">Tool</t>
  </si>
  <si>
    <t xml:space="preserve">Sample prompt</t>
  </si>
  <si>
    <t xml:space="preserve">How output was validated</t>
  </si>
  <si>
    <t xml:space="preserve">Claude (Sonnet 5.5)</t>
  </si>
  <si>
    <t xml:space="preserve">"Create the dashboard in this Excel and build the 8 KPIs (+ stretch) with data-quality handling."</t>
  </si>
  <si>
    <t xml:space="preserve">Profiled every sheet first; reconciled KPI 1 formula total to pipeline total (difference = 0); checked gross−discount=net on all 767 lines; spot-checked order O00001 payment vs order total.</t>
  </si>
  <si>
    <t xml:space="preserve">"Resolve return refunds exceeding line net / NULL refunds before computing net revenue."</t>
  </si>
  <si>
    <t xml:space="preserve">Counted affected rows (4 capped, 1 imputed) and confirmed no refund &gt; net after the rule.</t>
  </si>
  <si>
    <t xml:space="preserve">"Compute supplier composite score with normalized ratings."</t>
  </si>
  <si>
    <t xml:space="preserve">Verified rating_normalized = raw/2 when raw&gt;5 for all 3 affected suppliers; score recalculates from editable weights.</t>
  </si>
  <si>
    <t xml:space="preserve">Curated order-line fact (raw → curated)</t>
  </si>
  <si>
    <t xml:space="preserve">One row per order line. Net revenue and the "recognized" flag are live formulas; refunds = Approved returns only (capped at line net). Recognized = Completed + Returned orders (assumption A1).</t>
  </si>
  <si>
    <t xml:space="preserve">order_item_id</t>
  </si>
  <si>
    <t xml:space="preserve">order_id</t>
  </si>
  <si>
    <t xml:space="preserve">order_date</t>
  </si>
  <si>
    <t xml:space="preserve">order_month</t>
  </si>
  <si>
    <t xml:space="preserve">channel</t>
  </si>
  <si>
    <t xml:space="preserve">order_status</t>
  </si>
  <si>
    <t xml:space="preserve">quantity</t>
  </si>
  <si>
    <t xml:space="preserve">unit_price</t>
  </si>
  <si>
    <t xml:space="preserve">discount_pct</t>
  </si>
  <si>
    <t xml:space="preserve">gross_amount</t>
  </si>
  <si>
    <t xml:space="preserve">discount_amount</t>
  </si>
  <si>
    <t xml:space="preserve">net_amount</t>
  </si>
  <si>
    <t xml:space="preserve">refund_amt</t>
  </si>
  <si>
    <t xml:space="preserve">net_revenue</t>
  </si>
  <si>
    <t xml:space="preserve">recognized</t>
  </si>
  <si>
    <t xml:space="preserve">OI000001</t>
  </si>
  <si>
    <t xml:space="preserve">C0101</t>
  </si>
  <si>
    <t xml:space="preserve">P009</t>
  </si>
  <si>
    <t xml:space="preserve">OI000002</t>
  </si>
  <si>
    <t xml:space="preserve">OI000003</t>
  </si>
  <si>
    <t xml:space="preserve">P015</t>
  </si>
  <si>
    <t xml:space="preserve">OI000004</t>
  </si>
  <si>
    <t xml:space="preserve">OI000005</t>
  </si>
  <si>
    <t xml:space="preserve">P070</t>
  </si>
  <si>
    <t xml:space="preserve">OI000006</t>
  </si>
  <si>
    <t xml:space="preserve">OI000007</t>
  </si>
  <si>
    <t xml:space="preserve">C0139</t>
  </si>
  <si>
    <t xml:space="preserve">OI000008</t>
  </si>
  <si>
    <t xml:space="preserve">P018</t>
  </si>
  <si>
    <t xml:space="preserve">OI000009</t>
  </si>
  <si>
    <t xml:space="preserve">OI000010</t>
  </si>
  <si>
    <t xml:space="preserve">OI000011</t>
  </si>
  <si>
    <t xml:space="preserve">C0060</t>
  </si>
  <si>
    <t xml:space="preserve">OI000012</t>
  </si>
  <si>
    <t xml:space="preserve">OI000013</t>
  </si>
  <si>
    <t xml:space="preserve">OI000014</t>
  </si>
  <si>
    <t xml:space="preserve">P030</t>
  </si>
  <si>
    <t xml:space="preserve">OI000015</t>
  </si>
  <si>
    <t xml:space="preserve">C0025</t>
  </si>
  <si>
    <t xml:space="preserve">OI000017</t>
  </si>
  <si>
    <t xml:space="preserve">OI000018</t>
  </si>
  <si>
    <t xml:space="preserve">C0070</t>
  </si>
  <si>
    <t xml:space="preserve">OI000019</t>
  </si>
  <si>
    <t xml:space="preserve">OI000020</t>
  </si>
  <si>
    <t xml:space="preserve">OI000021</t>
  </si>
  <si>
    <t xml:space="preserve">UNKNOWN</t>
  </si>
  <si>
    <t xml:space="preserve">OI000022</t>
  </si>
  <si>
    <t xml:space="preserve">P032</t>
  </si>
  <si>
    <t xml:space="preserve">OI000023</t>
  </si>
  <si>
    <t xml:space="preserve">OI000024</t>
  </si>
  <si>
    <t xml:space="preserve">C0003</t>
  </si>
  <si>
    <t xml:space="preserve">P050</t>
  </si>
  <si>
    <t xml:space="preserve">OI000025</t>
  </si>
  <si>
    <t xml:space="preserve">OI000026</t>
  </si>
  <si>
    <t xml:space="preserve">C0029</t>
  </si>
  <si>
    <t xml:space="preserve">OI000027</t>
  </si>
  <si>
    <t xml:space="preserve">OI000028</t>
  </si>
  <si>
    <t xml:space="preserve">OI000029</t>
  </si>
  <si>
    <t xml:space="preserve">OI000030</t>
  </si>
  <si>
    <t xml:space="preserve">OI000031</t>
  </si>
  <si>
    <t xml:space="preserve">OI000032</t>
  </si>
  <si>
    <t xml:space="preserve">C0121</t>
  </si>
  <si>
    <t xml:space="preserve">OI000033</t>
  </si>
  <si>
    <t xml:space="preserve">OI000034</t>
  </si>
  <si>
    <t xml:space="preserve">P064</t>
  </si>
  <si>
    <t xml:space="preserve">OI000035</t>
  </si>
  <si>
    <t xml:space="preserve">C0088</t>
  </si>
  <si>
    <t xml:space="preserve">OI000036</t>
  </si>
  <si>
    <t xml:space="preserve">OI000037</t>
  </si>
  <si>
    <t xml:space="preserve">P029</t>
  </si>
  <si>
    <t xml:space="preserve">OI000038</t>
  </si>
  <si>
    <t xml:space="preserve">C0095</t>
  </si>
  <si>
    <t xml:space="preserve">P011</t>
  </si>
  <si>
    <t xml:space="preserve">OI000039</t>
  </si>
  <si>
    <t xml:space="preserve">OI000040</t>
  </si>
  <si>
    <t xml:space="preserve">P067</t>
  </si>
  <si>
    <t xml:space="preserve">OI000041</t>
  </si>
  <si>
    <t xml:space="preserve">P058</t>
  </si>
  <si>
    <t xml:space="preserve">OI000042</t>
  </si>
  <si>
    <t xml:space="preserve">C0098</t>
  </si>
  <si>
    <t xml:space="preserve">OI000043</t>
  </si>
  <si>
    <t xml:space="preserve">OI000044</t>
  </si>
  <si>
    <t xml:space="preserve">OI000045</t>
  </si>
  <si>
    <t xml:space="preserve">OI000046</t>
  </si>
  <si>
    <t xml:space="preserve">C0031</t>
  </si>
  <si>
    <t xml:space="preserve">OI000047</t>
  </si>
  <si>
    <t xml:space="preserve">C0020</t>
  </si>
  <si>
    <t xml:space="preserve">OI000048</t>
  </si>
  <si>
    <t xml:space="preserve">OI000049</t>
  </si>
  <si>
    <t xml:space="preserve">OI000050</t>
  </si>
  <si>
    <t xml:space="preserve">C0123</t>
  </si>
  <si>
    <t xml:space="preserve">OI000051</t>
  </si>
  <si>
    <t xml:space="preserve">C0005</t>
  </si>
  <si>
    <t xml:space="preserve">OI000052</t>
  </si>
  <si>
    <t xml:space="preserve">OI000053</t>
  </si>
  <si>
    <t xml:space="preserve">C0083</t>
  </si>
  <si>
    <t xml:space="preserve">P069</t>
  </si>
  <si>
    <t xml:space="preserve">OI000054</t>
  </si>
  <si>
    <t xml:space="preserve">C0077</t>
  </si>
  <si>
    <t xml:space="preserve">OI000055</t>
  </si>
  <si>
    <t xml:space="preserve">OI000056</t>
  </si>
  <si>
    <t xml:space="preserve">P017</t>
  </si>
  <si>
    <t xml:space="preserve">OI000057</t>
  </si>
  <si>
    <t xml:space="preserve">OI000059</t>
  </si>
  <si>
    <t xml:space="preserve">C0004</t>
  </si>
  <si>
    <t xml:space="preserve">OI000060</t>
  </si>
  <si>
    <t xml:space="preserve">OI000061</t>
  </si>
  <si>
    <t xml:space="preserve">OI000062</t>
  </si>
  <si>
    <t xml:space="preserve">C0130</t>
  </si>
  <si>
    <t xml:space="preserve">OI000063</t>
  </si>
  <si>
    <t xml:space="preserve">OI000064</t>
  </si>
  <si>
    <t xml:space="preserve">OI000065</t>
  </si>
  <si>
    <t xml:space="preserve">C0135</t>
  </si>
  <si>
    <t xml:space="preserve">OI000066</t>
  </si>
  <si>
    <t xml:space="preserve">OI000067</t>
  </si>
  <si>
    <t xml:space="preserve">OI000068</t>
  </si>
  <si>
    <t xml:space="preserve">OI000069</t>
  </si>
  <si>
    <t xml:space="preserve">OI000070</t>
  </si>
  <si>
    <t xml:space="preserve">OI000071</t>
  </si>
  <si>
    <t xml:space="preserve">C0112</t>
  </si>
  <si>
    <t xml:space="preserve">OI000072</t>
  </si>
  <si>
    <t xml:space="preserve">C0047</t>
  </si>
  <si>
    <t xml:space="preserve">OI000073</t>
  </si>
  <si>
    <t xml:space="preserve">OI000074</t>
  </si>
  <si>
    <t xml:space="preserve">C0042</t>
  </si>
  <si>
    <t xml:space="preserve">P024</t>
  </si>
  <si>
    <t xml:space="preserve">OI000075</t>
  </si>
  <si>
    <t xml:space="preserve">OI000076</t>
  </si>
  <si>
    <t xml:space="preserve">P038</t>
  </si>
  <si>
    <t xml:space="preserve">OI000077</t>
  </si>
  <si>
    <t xml:space="preserve">OI000078</t>
  </si>
  <si>
    <t xml:space="preserve">OI000079</t>
  </si>
  <si>
    <t xml:space="preserve">OI000080</t>
  </si>
  <si>
    <t xml:space="preserve">C0065</t>
  </si>
  <si>
    <t xml:space="preserve">OI000081</t>
  </si>
  <si>
    <t xml:space="preserve">OI000082</t>
  </si>
  <si>
    <t xml:space="preserve">C0067</t>
  </si>
  <si>
    <t xml:space="preserve">OI000083</t>
  </si>
  <si>
    <t xml:space="preserve">OI000084</t>
  </si>
  <si>
    <t xml:space="preserve">OI000085</t>
  </si>
  <si>
    <t xml:space="preserve">OI000086</t>
  </si>
  <si>
    <t xml:space="preserve">OI000087</t>
  </si>
  <si>
    <t xml:space="preserve">OI000088</t>
  </si>
  <si>
    <t xml:space="preserve">OI000089</t>
  </si>
  <si>
    <t xml:space="preserve">OI000090</t>
  </si>
  <si>
    <t xml:space="preserve">OI000091</t>
  </si>
  <si>
    <t xml:space="preserve">OI000093</t>
  </si>
  <si>
    <t xml:space="preserve">C0117</t>
  </si>
  <si>
    <t xml:space="preserve">OI000094</t>
  </si>
  <si>
    <t xml:space="preserve">P048</t>
  </si>
  <si>
    <t xml:space="preserve">OI000095</t>
  </si>
  <si>
    <t xml:space="preserve">C0054</t>
  </si>
  <si>
    <t xml:space="preserve">OI000096</t>
  </si>
  <si>
    <t xml:space="preserve">OI000097</t>
  </si>
  <si>
    <t xml:space="preserve">OI000098</t>
  </si>
  <si>
    <t xml:space="preserve">C0045</t>
  </si>
  <si>
    <t xml:space="preserve">OI000100</t>
  </si>
  <si>
    <t xml:space="preserve">OI000101</t>
  </si>
  <si>
    <t xml:space="preserve">OI000102</t>
  </si>
  <si>
    <t xml:space="preserve">C0078</t>
  </si>
  <si>
    <t xml:space="preserve">OI000103</t>
  </si>
  <si>
    <t xml:space="preserve">OI000104</t>
  </si>
  <si>
    <t xml:space="preserve">C0097</t>
  </si>
  <si>
    <t xml:space="preserve">OI000105</t>
  </si>
  <si>
    <t xml:space="preserve">C0066</t>
  </si>
  <si>
    <t xml:space="preserve">P047</t>
  </si>
  <si>
    <t xml:space="preserve">OI000106</t>
  </si>
  <si>
    <t xml:space="preserve">C0079</t>
  </si>
  <si>
    <t xml:space="preserve">OI000107</t>
  </si>
  <si>
    <t xml:space="preserve">OI000108</t>
  </si>
  <si>
    <t xml:space="preserve">OI000109</t>
  </si>
  <si>
    <t xml:space="preserve">OI000110</t>
  </si>
  <si>
    <t xml:space="preserve">OI000111</t>
  </si>
  <si>
    <t xml:space="preserve">C0119</t>
  </si>
  <si>
    <t xml:space="preserve">OI000112</t>
  </si>
  <si>
    <t xml:space="preserve">OI000113</t>
  </si>
  <si>
    <t xml:space="preserve">C0149</t>
  </si>
  <si>
    <t xml:space="preserve">OI000114</t>
  </si>
  <si>
    <t xml:space="preserve">OI000115</t>
  </si>
  <si>
    <t xml:space="preserve">OI000116</t>
  </si>
  <si>
    <t xml:space="preserve">OI000117</t>
  </si>
  <si>
    <t xml:space="preserve">P052</t>
  </si>
  <si>
    <t xml:space="preserve">OI000118</t>
  </si>
  <si>
    <t xml:space="preserve">OI000119</t>
  </si>
  <si>
    <t xml:space="preserve">OI000120</t>
  </si>
  <si>
    <t xml:space="preserve">C0032</t>
  </si>
  <si>
    <t xml:space="preserve">OI000121</t>
  </si>
  <si>
    <t xml:space="preserve">OI000122</t>
  </si>
  <si>
    <t xml:space="preserve">C0002</t>
  </si>
  <si>
    <t xml:space="preserve">OI000123</t>
  </si>
  <si>
    <t xml:space="preserve">OI000124</t>
  </si>
  <si>
    <t xml:space="preserve">OI000125</t>
  </si>
  <si>
    <t xml:space="preserve">OI000126</t>
  </si>
  <si>
    <t xml:space="preserve">C0111</t>
  </si>
  <si>
    <t xml:space="preserve">OI000127</t>
  </si>
  <si>
    <t xml:space="preserve">OI000128</t>
  </si>
  <si>
    <t xml:space="preserve">C0035</t>
  </si>
  <si>
    <t xml:space="preserve">OI000129</t>
  </si>
  <si>
    <t xml:space="preserve">OI000130</t>
  </si>
  <si>
    <t xml:space="preserve">P035</t>
  </si>
  <si>
    <t xml:space="preserve">OI000131</t>
  </si>
  <si>
    <t xml:space="preserve">C0124</t>
  </si>
  <si>
    <t xml:space="preserve">OI000132</t>
  </si>
  <si>
    <t xml:space="preserve">C0071</t>
  </si>
  <si>
    <t xml:space="preserve">OI000133</t>
  </si>
  <si>
    <t xml:space="preserve">OI000134</t>
  </si>
  <si>
    <t xml:space="preserve">C0059</t>
  </si>
  <si>
    <t xml:space="preserve">P043</t>
  </si>
  <si>
    <t xml:space="preserve">OI000135</t>
  </si>
  <si>
    <t xml:space="preserve">OI000136</t>
  </si>
  <si>
    <t xml:space="preserve">OI000137</t>
  </si>
  <si>
    <t xml:space="preserve">OI000138</t>
  </si>
  <si>
    <t xml:space="preserve">P046</t>
  </si>
  <si>
    <t xml:space="preserve">OI000139</t>
  </si>
  <si>
    <t xml:space="preserve">C0176</t>
  </si>
  <si>
    <t xml:space="preserve">OI000140</t>
  </si>
  <si>
    <t xml:space="preserve">OI000141</t>
  </si>
  <si>
    <t xml:space="preserve">C0109</t>
  </si>
  <si>
    <t xml:space="preserve">OI000142</t>
  </si>
  <si>
    <t xml:space="preserve">OI000143</t>
  </si>
  <si>
    <t xml:space="preserve">OI000144</t>
  </si>
  <si>
    <t xml:space="preserve">OI000145</t>
  </si>
  <si>
    <t xml:space="preserve">C0007</t>
  </si>
  <si>
    <t xml:space="preserve">P022</t>
  </si>
  <si>
    <t xml:space="preserve">OI000146</t>
  </si>
  <si>
    <t xml:space="preserve">OI000147</t>
  </si>
  <si>
    <t xml:space="preserve">OI000148</t>
  </si>
  <si>
    <t xml:space="preserve">OI000149</t>
  </si>
  <si>
    <t xml:space="preserve">P066</t>
  </si>
  <si>
    <t xml:space="preserve">OI000150</t>
  </si>
  <si>
    <t xml:space="preserve">OI000151</t>
  </si>
  <si>
    <t xml:space="preserve">OI000153</t>
  </si>
  <si>
    <t xml:space="preserve">C0091</t>
  </si>
  <si>
    <t xml:space="preserve">OI000154</t>
  </si>
  <si>
    <t xml:space="preserve">OI000155</t>
  </si>
  <si>
    <t xml:space="preserve">C0019</t>
  </si>
  <si>
    <t xml:space="preserve">OI000156</t>
  </si>
  <si>
    <t xml:space="preserve">P033</t>
  </si>
  <si>
    <t xml:space="preserve">OI000157</t>
  </si>
  <si>
    <t xml:space="preserve">C0136</t>
  </si>
  <si>
    <t xml:space="preserve">OI000158</t>
  </si>
  <si>
    <t xml:space="preserve">OI000159</t>
  </si>
  <si>
    <t xml:space="preserve">OI000160</t>
  </si>
  <si>
    <t xml:space="preserve">OI000162</t>
  </si>
  <si>
    <t xml:space="preserve">OI000163</t>
  </si>
  <si>
    <t xml:space="preserve">OI000164</t>
  </si>
  <si>
    <t xml:space="preserve">OI000165</t>
  </si>
  <si>
    <t xml:space="preserve">OI000166</t>
  </si>
  <si>
    <t xml:space="preserve">C0099</t>
  </si>
  <si>
    <t xml:space="preserve">OI000167</t>
  </si>
  <si>
    <t xml:space="preserve">OI000168</t>
  </si>
  <si>
    <t xml:space="preserve">OI000169</t>
  </si>
  <si>
    <t xml:space="preserve">OI000171</t>
  </si>
  <si>
    <t xml:space="preserve">OI000172</t>
  </si>
  <si>
    <t xml:space="preserve">C0138</t>
  </si>
  <si>
    <t xml:space="preserve">OI000174</t>
  </si>
  <si>
    <t xml:space="preserve">OI000175</t>
  </si>
  <si>
    <t xml:space="preserve">OI000176</t>
  </si>
  <si>
    <t xml:space="preserve">OI000177</t>
  </si>
  <si>
    <t xml:space="preserve">OI000178</t>
  </si>
  <si>
    <t xml:space="preserve">OI000179</t>
  </si>
  <si>
    <t xml:space="preserve">OI000180</t>
  </si>
  <si>
    <t xml:space="preserve">C0174</t>
  </si>
  <si>
    <t xml:space="preserve">OI000181</t>
  </si>
  <si>
    <t xml:space="preserve">P014</t>
  </si>
  <si>
    <t xml:space="preserve">OI000182</t>
  </si>
  <si>
    <t xml:space="preserve">C0143</t>
  </si>
  <si>
    <t xml:space="preserve">OI000184</t>
  </si>
  <si>
    <t xml:space="preserve">OI000185</t>
  </si>
  <si>
    <t xml:space="preserve">C0145</t>
  </si>
  <si>
    <t xml:space="preserve">OI000186</t>
  </si>
  <si>
    <t xml:space="preserve">OI000187</t>
  </si>
  <si>
    <t xml:space="preserve">C0040</t>
  </si>
  <si>
    <t xml:space="preserve">OI000188</t>
  </si>
  <si>
    <t xml:space="preserve">OI000189</t>
  </si>
  <si>
    <t xml:space="preserve">OI000190</t>
  </si>
  <si>
    <t xml:space="preserve">OI000191</t>
  </si>
  <si>
    <t xml:space="preserve">OI000192</t>
  </si>
  <si>
    <t xml:space="preserve">C0073</t>
  </si>
  <si>
    <t xml:space="preserve">OI000193</t>
  </si>
  <si>
    <t xml:space="preserve">OI000194</t>
  </si>
  <si>
    <t xml:space="preserve">OI000195</t>
  </si>
  <si>
    <t xml:space="preserve">OI000196</t>
  </si>
  <si>
    <t xml:space="preserve">OI000197</t>
  </si>
  <si>
    <t xml:space="preserve">OI000198</t>
  </si>
  <si>
    <t xml:space="preserve">OI000199</t>
  </si>
  <si>
    <t xml:space="preserve">OI000200</t>
  </si>
  <si>
    <t xml:space="preserve">OI000201</t>
  </si>
  <si>
    <t xml:space="preserve">OI000202</t>
  </si>
  <si>
    <t xml:space="preserve">OI000203</t>
  </si>
  <si>
    <t xml:space="preserve">OI000204</t>
  </si>
  <si>
    <t xml:space="preserve">OI000205</t>
  </si>
  <si>
    <t xml:space="preserve">C0010</t>
  </si>
  <si>
    <t xml:space="preserve">OI000206</t>
  </si>
  <si>
    <t xml:space="preserve">OI000207</t>
  </si>
  <si>
    <t xml:space="preserve">OI000208</t>
  </si>
  <si>
    <t xml:space="preserve">P025</t>
  </si>
  <si>
    <t xml:space="preserve">OI000209</t>
  </si>
  <si>
    <t xml:space="preserve">C0092</t>
  </si>
  <si>
    <t xml:space="preserve">OI000210</t>
  </si>
  <si>
    <t xml:space="preserve">OI000211</t>
  </si>
  <si>
    <t xml:space="preserve">OI000212</t>
  </si>
  <si>
    <t xml:space="preserve">C0023</t>
  </si>
  <si>
    <t xml:space="preserve">OI000213</t>
  </si>
  <si>
    <t xml:space="preserve">OI000214</t>
  </si>
  <si>
    <t xml:space="preserve">OI000215</t>
  </si>
  <si>
    <t xml:space="preserve">C0125</t>
  </si>
  <si>
    <t xml:space="preserve">OI000216</t>
  </si>
  <si>
    <t xml:space="preserve">OI000217</t>
  </si>
  <si>
    <t xml:space="preserve">OI000218</t>
  </si>
  <si>
    <t xml:space="preserve">C0090</t>
  </si>
  <si>
    <t xml:space="preserve">OI000219</t>
  </si>
  <si>
    <t xml:space="preserve">OI000220</t>
  </si>
  <si>
    <t xml:space="preserve">OI000221</t>
  </si>
  <si>
    <t xml:space="preserve">OI000222</t>
  </si>
  <si>
    <t xml:space="preserve">C0018</t>
  </si>
  <si>
    <t xml:space="preserve">OI000223</t>
  </si>
  <si>
    <t xml:space="preserve">OI000224</t>
  </si>
  <si>
    <t xml:space="preserve">OI000225</t>
  </si>
  <si>
    <t xml:space="preserve">OI000226</t>
  </si>
  <si>
    <t xml:space="preserve">OI000227</t>
  </si>
  <si>
    <t xml:space="preserve">C0064</t>
  </si>
  <si>
    <t xml:space="preserve">OI000228</t>
  </si>
  <si>
    <t xml:space="preserve">OI000229</t>
  </si>
  <si>
    <t xml:space="preserve">C0175</t>
  </si>
  <si>
    <t xml:space="preserve">OI000230</t>
  </si>
  <si>
    <t xml:space="preserve">C0044</t>
  </si>
  <si>
    <t xml:space="preserve">OI000231</t>
  </si>
  <si>
    <t xml:space="preserve">OI000232</t>
  </si>
  <si>
    <t xml:space="preserve">C0102</t>
  </si>
  <si>
    <t xml:space="preserve">OI000233</t>
  </si>
  <si>
    <t xml:space="preserve">OI000234</t>
  </si>
  <si>
    <t xml:space="preserve">OI000235</t>
  </si>
  <si>
    <t xml:space="preserve">C0062</t>
  </si>
  <si>
    <t xml:space="preserve">OI000236</t>
  </si>
  <si>
    <t xml:space="preserve">P026</t>
  </si>
  <si>
    <t xml:space="preserve">OI000237</t>
  </si>
  <si>
    <t xml:space="preserve">OI000238</t>
  </si>
  <si>
    <t xml:space="preserve">C0144</t>
  </si>
  <si>
    <t xml:space="preserve">OI000239</t>
  </si>
  <si>
    <t xml:space="preserve">C0122</t>
  </si>
  <si>
    <t xml:space="preserve">OI000240</t>
  </si>
  <si>
    <t xml:space="preserve">C0170</t>
  </si>
  <si>
    <t xml:space="preserve">OI000241</t>
  </si>
  <si>
    <t xml:space="preserve">OI000242</t>
  </si>
  <si>
    <t xml:space="preserve">C0114</t>
  </si>
  <si>
    <t xml:space="preserve">OI000243</t>
  </si>
  <si>
    <t xml:space="preserve">OI000244</t>
  </si>
  <si>
    <t xml:space="preserve">OI000245</t>
  </si>
  <si>
    <t xml:space="preserve">C0027</t>
  </si>
  <si>
    <t xml:space="preserve">OI000246</t>
  </si>
  <si>
    <t xml:space="preserve">OI000247</t>
  </si>
  <si>
    <t xml:space="preserve">C0082</t>
  </si>
  <si>
    <t xml:space="preserve">OI000248</t>
  </si>
  <si>
    <t xml:space="preserve">OI000249</t>
  </si>
  <si>
    <t xml:space="preserve">OI000250</t>
  </si>
  <si>
    <t xml:space="preserve">OI000251</t>
  </si>
  <si>
    <t xml:space="preserve">C0072</t>
  </si>
  <si>
    <t xml:space="preserve">OI000252</t>
  </si>
  <si>
    <t xml:space="preserve">OI000253</t>
  </si>
  <si>
    <t xml:space="preserve">OI000254</t>
  </si>
  <si>
    <t xml:space="preserve">OI000255</t>
  </si>
  <si>
    <t xml:space="preserve">OI000256</t>
  </si>
  <si>
    <t xml:space="preserve">OI000257</t>
  </si>
  <si>
    <t xml:space="preserve">OI000258</t>
  </si>
  <si>
    <t xml:space="preserve">C0006</t>
  </si>
  <si>
    <t xml:space="preserve">OI000259</t>
  </si>
  <si>
    <t xml:space="preserve">OI000260</t>
  </si>
  <si>
    <t xml:space="preserve">C0046</t>
  </si>
  <si>
    <t xml:space="preserve">OI000261</t>
  </si>
  <si>
    <t xml:space="preserve">OI000262</t>
  </si>
  <si>
    <t xml:space="preserve">OI000263</t>
  </si>
  <si>
    <t xml:space="preserve">OI000264</t>
  </si>
  <si>
    <t xml:space="preserve">OI000265</t>
  </si>
  <si>
    <t xml:space="preserve">OI000266</t>
  </si>
  <si>
    <t xml:space="preserve">OI000267</t>
  </si>
  <si>
    <t xml:space="preserve">C0177</t>
  </si>
  <si>
    <t xml:space="preserve">OI000268</t>
  </si>
  <si>
    <t xml:space="preserve">OI000269</t>
  </si>
  <si>
    <t xml:space="preserve">OI000270</t>
  </si>
  <si>
    <t xml:space="preserve">OI000271</t>
  </si>
  <si>
    <t xml:space="preserve">OI000272</t>
  </si>
  <si>
    <t xml:space="preserve">OI000273</t>
  </si>
  <si>
    <t xml:space="preserve">OI000274</t>
  </si>
  <si>
    <t xml:space="preserve">OI000275</t>
  </si>
  <si>
    <t xml:space="preserve">OI000276</t>
  </si>
  <si>
    <t xml:space="preserve">OI000277</t>
  </si>
  <si>
    <t xml:space="preserve">OI000278</t>
  </si>
  <si>
    <t xml:space="preserve">OI000279</t>
  </si>
  <si>
    <t xml:space="preserve">OI000280</t>
  </si>
  <si>
    <t xml:space="preserve">OI000281</t>
  </si>
  <si>
    <t xml:space="preserve">OI000283</t>
  </si>
  <si>
    <t xml:space="preserve">OI000284</t>
  </si>
  <si>
    <t xml:space="preserve">OI000285</t>
  </si>
  <si>
    <t xml:space="preserve">OI000286</t>
  </si>
  <si>
    <t xml:space="preserve">OI000287</t>
  </si>
  <si>
    <t xml:space="preserve">OI000288</t>
  </si>
  <si>
    <t xml:space="preserve">OI000289</t>
  </si>
  <si>
    <t xml:space="preserve">OI000291</t>
  </si>
  <si>
    <t xml:space="preserve">OI000292</t>
  </si>
  <si>
    <t xml:space="preserve">OI000293</t>
  </si>
  <si>
    <t xml:space="preserve">OI000294</t>
  </si>
  <si>
    <t xml:space="preserve">OI000295</t>
  </si>
  <si>
    <t xml:space="preserve">C0106</t>
  </si>
  <si>
    <t xml:space="preserve">OI000296</t>
  </si>
  <si>
    <t xml:space="preserve">OI000297</t>
  </si>
  <si>
    <t xml:space="preserve">OI000298</t>
  </si>
  <si>
    <t xml:space="preserve">OI000299</t>
  </si>
  <si>
    <t xml:space="preserve">P045</t>
  </si>
  <si>
    <t xml:space="preserve">OI000300</t>
  </si>
  <si>
    <t xml:space="preserve">OI000301</t>
  </si>
  <si>
    <t xml:space="preserve">OI000302</t>
  </si>
  <si>
    <t xml:space="preserve">OI000303</t>
  </si>
  <si>
    <t xml:space="preserve">OI000304</t>
  </si>
  <si>
    <t xml:space="preserve">OI000306</t>
  </si>
  <si>
    <t xml:space="preserve">C0146</t>
  </si>
  <si>
    <t xml:space="preserve">OI000307</t>
  </si>
  <si>
    <t xml:space="preserve">OI000308</t>
  </si>
  <si>
    <t xml:space="preserve">C0069</t>
  </si>
  <si>
    <t xml:space="preserve">OI000309</t>
  </si>
  <si>
    <t xml:space="preserve">OI000310</t>
  </si>
  <si>
    <t xml:space="preserve">C0013</t>
  </si>
  <si>
    <t xml:space="preserve">OI000311</t>
  </si>
  <si>
    <t xml:space="preserve">OI000312</t>
  </si>
  <si>
    <t xml:space="preserve">OI000313</t>
  </si>
  <si>
    <t xml:space="preserve">OI000314</t>
  </si>
  <si>
    <t xml:space="preserve">OI000315</t>
  </si>
  <si>
    <t xml:space="preserve">OI000316</t>
  </si>
  <si>
    <t xml:space="preserve">OI000317</t>
  </si>
  <si>
    <t xml:space="preserve">OI000318</t>
  </si>
  <si>
    <t xml:space="preserve">OI000319</t>
  </si>
  <si>
    <t xml:space="preserve">OI000320</t>
  </si>
  <si>
    <t xml:space="preserve">OI000321</t>
  </si>
  <si>
    <t xml:space="preserve">OI000322</t>
  </si>
  <si>
    <t xml:space="preserve">OI000323</t>
  </si>
  <si>
    <t xml:space="preserve">OI000324</t>
  </si>
  <si>
    <t xml:space="preserve">OI000325</t>
  </si>
  <si>
    <t xml:space="preserve">C0041</t>
  </si>
  <si>
    <t xml:space="preserve">OI000326</t>
  </si>
  <si>
    <t xml:space="preserve">OI000327</t>
  </si>
  <si>
    <t xml:space="preserve">OI000328</t>
  </si>
  <si>
    <t xml:space="preserve">OI000329</t>
  </si>
  <si>
    <t xml:space="preserve">C0103</t>
  </si>
  <si>
    <t xml:space="preserve">OI000330</t>
  </si>
  <si>
    <t xml:space="preserve">OI000331</t>
  </si>
  <si>
    <t xml:space="preserve">OI000332</t>
  </si>
  <si>
    <t xml:space="preserve">OI000333</t>
  </si>
  <si>
    <t xml:space="preserve">OI000334</t>
  </si>
  <si>
    <t xml:space="preserve">OI000335</t>
  </si>
  <si>
    <t xml:space="preserve">C0173</t>
  </si>
  <si>
    <t xml:space="preserve">OI000336</t>
  </si>
  <si>
    <t xml:space="preserve">OI000337</t>
  </si>
  <si>
    <t xml:space="preserve">C0132</t>
  </si>
  <si>
    <t xml:space="preserve">OI000338</t>
  </si>
  <si>
    <t xml:space="preserve">C0021</t>
  </si>
  <si>
    <t xml:space="preserve">OI000339</t>
  </si>
  <si>
    <t xml:space="preserve">OI000340</t>
  </si>
  <si>
    <t xml:space="preserve">C0113</t>
  </si>
  <si>
    <t xml:space="preserve">OI000341</t>
  </si>
  <si>
    <t xml:space="preserve">OI000342</t>
  </si>
  <si>
    <t xml:space="preserve">C0052</t>
  </si>
  <si>
    <t xml:space="preserve">OI000343</t>
  </si>
  <si>
    <t xml:space="preserve">OI000344</t>
  </si>
  <si>
    <t xml:space="preserve">OI000345</t>
  </si>
  <si>
    <t xml:space="preserve">OI000346</t>
  </si>
  <si>
    <t xml:space="preserve">OI000347</t>
  </si>
  <si>
    <t xml:space="preserve">OI000348</t>
  </si>
  <si>
    <t xml:space="preserve">OI000349</t>
  </si>
  <si>
    <t xml:space="preserve">OI000350</t>
  </si>
  <si>
    <t xml:space="preserve">OI000351</t>
  </si>
  <si>
    <t xml:space="preserve">OI000352</t>
  </si>
  <si>
    <t xml:space="preserve">OI000353</t>
  </si>
  <si>
    <t xml:space="preserve">C0050</t>
  </si>
  <si>
    <t xml:space="preserve">OI000354</t>
  </si>
  <si>
    <t xml:space="preserve">OI000355</t>
  </si>
  <si>
    <t xml:space="preserve">OI000356</t>
  </si>
  <si>
    <t xml:space="preserve">OI000357</t>
  </si>
  <si>
    <t xml:space="preserve">OI000358</t>
  </si>
  <si>
    <t xml:space="preserve">C0105</t>
  </si>
  <si>
    <t xml:space="preserve">OI000359</t>
  </si>
  <si>
    <t xml:space="preserve">OI000360</t>
  </si>
  <si>
    <t xml:space="preserve">OI000361</t>
  </si>
  <si>
    <t xml:space="preserve">C0034</t>
  </si>
  <si>
    <t xml:space="preserve">OI000362</t>
  </si>
  <si>
    <t xml:space="preserve">OI000363</t>
  </si>
  <si>
    <t xml:space="preserve">C0009</t>
  </si>
  <si>
    <t xml:space="preserve">OI000364</t>
  </si>
  <si>
    <t xml:space="preserve">OI000366</t>
  </si>
  <si>
    <t xml:space="preserve">OI000367</t>
  </si>
  <si>
    <t xml:space="preserve">OI000368</t>
  </si>
  <si>
    <t xml:space="preserve">OI000369</t>
  </si>
  <si>
    <t xml:space="preserve">OI000370</t>
  </si>
  <si>
    <t xml:space="preserve">OI000371</t>
  </si>
  <si>
    <t xml:space="preserve">OI000372</t>
  </si>
  <si>
    <t xml:space="preserve">C0068</t>
  </si>
  <si>
    <t xml:space="preserve">OI000373</t>
  </si>
  <si>
    <t xml:space="preserve">OI000374</t>
  </si>
  <si>
    <t xml:space="preserve">OI000375</t>
  </si>
  <si>
    <t xml:space="preserve">OI000376</t>
  </si>
  <si>
    <t xml:space="preserve">C0049</t>
  </si>
  <si>
    <t xml:space="preserve">OI000378</t>
  </si>
  <si>
    <t xml:space="preserve">C0131</t>
  </si>
  <si>
    <t xml:space="preserve">OI000379</t>
  </si>
  <si>
    <t xml:space="preserve">OI000380</t>
  </si>
  <si>
    <t xml:space="preserve">OI000381</t>
  </si>
  <si>
    <t xml:space="preserve">C0026</t>
  </si>
  <si>
    <t xml:space="preserve">OI000382</t>
  </si>
  <si>
    <t xml:space="preserve">OI000383</t>
  </si>
  <si>
    <t xml:space="preserve">OI000384</t>
  </si>
  <si>
    <t xml:space="preserve">C0089</t>
  </si>
  <si>
    <t xml:space="preserve">OI000385</t>
  </si>
  <si>
    <t xml:space="preserve">OI000387</t>
  </si>
  <si>
    <t xml:space="preserve">OI000388</t>
  </si>
  <si>
    <t xml:space="preserve">OI000389</t>
  </si>
  <si>
    <t xml:space="preserve">OI000390</t>
  </si>
  <si>
    <t xml:space="preserve">OI000391</t>
  </si>
  <si>
    <t xml:space="preserve">C0036</t>
  </si>
  <si>
    <t xml:space="preserve">OI000393</t>
  </si>
  <si>
    <t xml:space="preserve">OI000394</t>
  </si>
  <si>
    <t xml:space="preserve">OI000395</t>
  </si>
  <si>
    <t xml:space="preserve">OI000396</t>
  </si>
  <si>
    <t xml:space="preserve">OI000397</t>
  </si>
  <si>
    <t xml:space="preserve">OI000398</t>
  </si>
  <si>
    <t xml:space="preserve">OI000399</t>
  </si>
  <si>
    <t xml:space="preserve">OI000400</t>
  </si>
  <si>
    <t xml:space="preserve">OI000401</t>
  </si>
  <si>
    <t xml:space="preserve">OI000402</t>
  </si>
  <si>
    <t xml:space="preserve">OI000403</t>
  </si>
  <si>
    <t xml:space="preserve">OI000404</t>
  </si>
  <si>
    <t xml:space="preserve">OI000405</t>
  </si>
  <si>
    <t xml:space="preserve">OI000406</t>
  </si>
  <si>
    <t xml:space="preserve">OI000407</t>
  </si>
  <si>
    <t xml:space="preserve">OI000408</t>
  </si>
  <si>
    <t xml:space="preserve">OI000409</t>
  </si>
  <si>
    <t xml:space="preserve">OI000410</t>
  </si>
  <si>
    <t xml:space="preserve">OI000411</t>
  </si>
  <si>
    <t xml:space="preserve">OI000412</t>
  </si>
  <si>
    <t xml:space="preserve">OI000413</t>
  </si>
  <si>
    <t xml:space="preserve">OI000414</t>
  </si>
  <si>
    <t xml:space="preserve">OI000415</t>
  </si>
  <si>
    <t xml:space="preserve">OI000416</t>
  </si>
  <si>
    <t xml:space="preserve">OI000417</t>
  </si>
  <si>
    <t xml:space="preserve">OI000418</t>
  </si>
  <si>
    <t xml:space="preserve">OI000419</t>
  </si>
  <si>
    <t xml:space="preserve">OI000420</t>
  </si>
  <si>
    <t xml:space="preserve">OI000421</t>
  </si>
  <si>
    <t xml:space="preserve">OI000422</t>
  </si>
  <si>
    <t xml:space="preserve">OI000423</t>
  </si>
  <si>
    <t xml:space="preserve">OI000424</t>
  </si>
  <si>
    <t xml:space="preserve">C0128</t>
  </si>
  <si>
    <t xml:space="preserve">OI000425</t>
  </si>
  <si>
    <t xml:space="preserve">OI000426</t>
  </si>
  <si>
    <t xml:space="preserve">OI000427</t>
  </si>
  <si>
    <t xml:space="preserve">OI000428</t>
  </si>
  <si>
    <t xml:space="preserve">OI000429</t>
  </si>
  <si>
    <t xml:space="preserve">OI000430</t>
  </si>
  <si>
    <t xml:space="preserve">OI000432</t>
  </si>
  <si>
    <t xml:space="preserve">OI000433</t>
  </si>
  <si>
    <t xml:space="preserve">OI000434</t>
  </si>
  <si>
    <t xml:space="preserve">OI000435</t>
  </si>
  <si>
    <t xml:space="preserve">OI000436</t>
  </si>
  <si>
    <t xml:space="preserve">OI000437</t>
  </si>
  <si>
    <t xml:space="preserve">OI000439</t>
  </si>
  <si>
    <t xml:space="preserve">OI000440</t>
  </si>
  <si>
    <t xml:space="preserve">C0014</t>
  </si>
  <si>
    <t xml:space="preserve">OI000441</t>
  </si>
  <si>
    <t xml:space="preserve">OI000442</t>
  </si>
  <si>
    <t xml:space="preserve">OI000443</t>
  </si>
  <si>
    <t xml:space="preserve">OI000444</t>
  </si>
  <si>
    <t xml:space="preserve">OI000445</t>
  </si>
  <si>
    <t xml:space="preserve">OI000446</t>
  </si>
  <si>
    <t xml:space="preserve">OI000447</t>
  </si>
  <si>
    <t xml:space="preserve">OI000448</t>
  </si>
  <si>
    <t xml:space="preserve">OI000449</t>
  </si>
  <si>
    <t xml:space="preserve">OI000450</t>
  </si>
  <si>
    <t xml:space="preserve">OI000451</t>
  </si>
  <si>
    <t xml:space="preserve">OI000452</t>
  </si>
  <si>
    <t xml:space="preserve">OI000453</t>
  </si>
  <si>
    <t xml:space="preserve">OI000454</t>
  </si>
  <si>
    <t xml:space="preserve">OI000455</t>
  </si>
  <si>
    <t xml:space="preserve">C0115</t>
  </si>
  <si>
    <t xml:space="preserve">OI000457</t>
  </si>
  <si>
    <t xml:space="preserve">OI000458</t>
  </si>
  <si>
    <t xml:space="preserve">OI000459</t>
  </si>
  <si>
    <t xml:space="preserve">OI000460</t>
  </si>
  <si>
    <t xml:space="preserve">OI000461</t>
  </si>
  <si>
    <t xml:space="preserve">OI000462</t>
  </si>
  <si>
    <t xml:space="preserve">OI000463</t>
  </si>
  <si>
    <t xml:space="preserve">OI000464</t>
  </si>
  <si>
    <t xml:space="preserve">OI000465</t>
  </si>
  <si>
    <t xml:space="preserve">OI000466</t>
  </si>
  <si>
    <t xml:space="preserve">OI000467</t>
  </si>
  <si>
    <t xml:space="preserve">OI000468</t>
  </si>
  <si>
    <t xml:space="preserve">OI000469</t>
  </si>
  <si>
    <t xml:space="preserve">OI000470</t>
  </si>
  <si>
    <t xml:space="preserve">OI000471</t>
  </si>
  <si>
    <t xml:space="preserve">OI000472</t>
  </si>
  <si>
    <t xml:space="preserve">OI000473</t>
  </si>
  <si>
    <t xml:space="preserve">C0028</t>
  </si>
  <si>
    <t xml:space="preserve">OI000474</t>
  </si>
  <si>
    <t xml:space="preserve">OI000476</t>
  </si>
  <si>
    <t xml:space="preserve">OI000477</t>
  </si>
  <si>
    <t xml:space="preserve">OI000478</t>
  </si>
  <si>
    <t xml:space="preserve">OI000479</t>
  </si>
  <si>
    <t xml:space="preserve">OI000480</t>
  </si>
  <si>
    <t xml:space="preserve">OI000481</t>
  </si>
  <si>
    <t xml:space="preserve">OI000482</t>
  </si>
  <si>
    <t xml:space="preserve">OI000483</t>
  </si>
  <si>
    <t xml:space="preserve">OI000484</t>
  </si>
  <si>
    <t xml:space="preserve">OI000485</t>
  </si>
  <si>
    <t xml:space="preserve">OI000487</t>
  </si>
  <si>
    <t xml:space="preserve">OI000488</t>
  </si>
  <si>
    <t xml:space="preserve">OI000489</t>
  </si>
  <si>
    <t xml:space="preserve">OI000490</t>
  </si>
  <si>
    <t xml:space="preserve">OI000491</t>
  </si>
  <si>
    <t xml:space="preserve">OI000492</t>
  </si>
  <si>
    <t xml:space="preserve">OI000493</t>
  </si>
  <si>
    <t xml:space="preserve">OI000494</t>
  </si>
  <si>
    <t xml:space="preserve">OI000495</t>
  </si>
  <si>
    <t xml:space="preserve">OI000496</t>
  </si>
  <si>
    <t xml:space="preserve">OI000497</t>
  </si>
  <si>
    <t xml:space="preserve">OI000498</t>
  </si>
  <si>
    <t xml:space="preserve">OI000499</t>
  </si>
  <si>
    <t xml:space="preserve">OI000500</t>
  </si>
  <si>
    <t xml:space="preserve">OI000501</t>
  </si>
  <si>
    <t xml:space="preserve">OI000502</t>
  </si>
  <si>
    <t xml:space="preserve">OI000503</t>
  </si>
  <si>
    <t xml:space="preserve">C0096</t>
  </si>
  <si>
    <t xml:space="preserve">OI000504</t>
  </si>
  <si>
    <t xml:space="preserve">OI000505</t>
  </si>
  <si>
    <t xml:space="preserve">OI000506</t>
  </si>
  <si>
    <t xml:space="preserve">OI000507</t>
  </si>
  <si>
    <t xml:space="preserve">OI000508</t>
  </si>
  <si>
    <t xml:space="preserve">OI000509</t>
  </si>
  <si>
    <t xml:space="preserve">OI000510</t>
  </si>
  <si>
    <t xml:space="preserve">OI000511</t>
  </si>
  <si>
    <t xml:space="preserve">OI000512</t>
  </si>
  <si>
    <t xml:space="preserve">OI000513</t>
  </si>
  <si>
    <t xml:space="preserve">OI000514</t>
  </si>
  <si>
    <t xml:space="preserve">OI000515</t>
  </si>
  <si>
    <t xml:space="preserve">OI000516</t>
  </si>
  <si>
    <t xml:space="preserve">OI000517</t>
  </si>
  <si>
    <t xml:space="preserve">C0104</t>
  </si>
  <si>
    <t xml:space="preserve">OI000518</t>
  </si>
  <si>
    <t xml:space="preserve">OI000519</t>
  </si>
  <si>
    <t xml:space="preserve">OI000520</t>
  </si>
  <si>
    <t xml:space="preserve">OI000521</t>
  </si>
  <si>
    <t xml:space="preserve">OI000522</t>
  </si>
  <si>
    <t xml:space="preserve">OI000523</t>
  </si>
  <si>
    <t xml:space="preserve">OI000524</t>
  </si>
  <si>
    <t xml:space="preserve">OI000525</t>
  </si>
  <si>
    <t xml:space="preserve">OI000526</t>
  </si>
  <si>
    <t xml:space="preserve">OI000527</t>
  </si>
  <si>
    <t xml:space="preserve">OI000528</t>
  </si>
  <si>
    <t xml:space="preserve">OI000529</t>
  </si>
  <si>
    <t xml:space="preserve">OI000530</t>
  </si>
  <si>
    <t xml:space="preserve">OI000531</t>
  </si>
  <si>
    <t xml:space="preserve">2022-02</t>
  </si>
  <si>
    <t xml:space="preserve">OI000532</t>
  </si>
  <si>
    <t xml:space="preserve">OI000533</t>
  </si>
  <si>
    <t xml:space="preserve">OI000534</t>
  </si>
  <si>
    <t xml:space="preserve">OI000535</t>
  </si>
  <si>
    <t xml:space="preserve">C0127</t>
  </si>
  <si>
    <t xml:space="preserve">OI000536</t>
  </si>
  <si>
    <t xml:space="preserve">OI000537</t>
  </si>
  <si>
    <t xml:space="preserve">OI000538</t>
  </si>
  <si>
    <t xml:space="preserve">OI000539</t>
  </si>
  <si>
    <t xml:space="preserve">OI000540</t>
  </si>
  <si>
    <t xml:space="preserve">OI000541</t>
  </si>
  <si>
    <t xml:space="preserve">OI000542</t>
  </si>
  <si>
    <t xml:space="preserve">OI000543</t>
  </si>
  <si>
    <t xml:space="preserve">OI000544</t>
  </si>
  <si>
    <t xml:space="preserve">OI000545</t>
  </si>
  <si>
    <t xml:space="preserve">OI000546</t>
  </si>
  <si>
    <t xml:space="preserve">OI000548</t>
  </si>
  <si>
    <t xml:space="preserve">OI000549</t>
  </si>
  <si>
    <t xml:space="preserve">OI000550</t>
  </si>
  <si>
    <t xml:space="preserve">OI000551</t>
  </si>
  <si>
    <t xml:space="preserve">OI000552</t>
  </si>
  <si>
    <t xml:space="preserve">C0087</t>
  </si>
  <si>
    <t xml:space="preserve">OI000553</t>
  </si>
  <si>
    <t xml:space="preserve">OI000554</t>
  </si>
  <si>
    <t xml:space="preserve">OI000555</t>
  </si>
  <si>
    <t xml:space="preserve">OI000556</t>
  </si>
  <si>
    <t xml:space="preserve">OI000557</t>
  </si>
  <si>
    <t xml:space="preserve">OI000558</t>
  </si>
  <si>
    <t xml:space="preserve">OI000559</t>
  </si>
  <si>
    <t xml:space="preserve">C0017</t>
  </si>
  <si>
    <t xml:space="preserve">OI000560</t>
  </si>
  <si>
    <t xml:space="preserve">C0110</t>
  </si>
  <si>
    <t xml:space="preserve">OI000561</t>
  </si>
  <si>
    <t xml:space="preserve">OI000562</t>
  </si>
  <si>
    <t xml:space="preserve">OI000563</t>
  </si>
  <si>
    <t xml:space="preserve">OI000564</t>
  </si>
  <si>
    <t xml:space="preserve">OI000565</t>
  </si>
  <si>
    <t xml:space="preserve">OI000566</t>
  </si>
  <si>
    <t xml:space="preserve">OI000567</t>
  </si>
  <si>
    <t xml:space="preserve">OI000568</t>
  </si>
  <si>
    <t xml:space="preserve">OI000569</t>
  </si>
  <si>
    <t xml:space="preserve">OI000570</t>
  </si>
  <si>
    <t xml:space="preserve">OI000571</t>
  </si>
  <si>
    <t xml:space="preserve">OI000572</t>
  </si>
  <si>
    <t xml:space="preserve">OI000573</t>
  </si>
  <si>
    <t xml:space="preserve">C0150</t>
  </si>
  <si>
    <t xml:space="preserve">OI000574</t>
  </si>
  <si>
    <t xml:space="preserve">OI000575</t>
  </si>
  <si>
    <t xml:space="preserve">OI000576</t>
  </si>
  <si>
    <t xml:space="preserve">OI000577</t>
  </si>
  <si>
    <t xml:space="preserve">OI000578</t>
  </si>
  <si>
    <t xml:space="preserve">OI000579</t>
  </si>
  <si>
    <t xml:space="preserve">OI000580</t>
  </si>
  <si>
    <t xml:space="preserve">OI000581</t>
  </si>
  <si>
    <t xml:space="preserve">OI000582</t>
  </si>
  <si>
    <t xml:space="preserve">OI000583</t>
  </si>
  <si>
    <t xml:space="preserve">OI000584</t>
  </si>
  <si>
    <t xml:space="preserve">OI000585</t>
  </si>
  <si>
    <t xml:space="preserve">OI000586</t>
  </si>
  <si>
    <t xml:space="preserve">OI000587</t>
  </si>
  <si>
    <t xml:space="preserve">OI000588</t>
  </si>
  <si>
    <t xml:space="preserve">OI000589</t>
  </si>
  <si>
    <t xml:space="preserve">OI000590</t>
  </si>
  <si>
    <t xml:space="preserve">OI000591</t>
  </si>
  <si>
    <t xml:space="preserve">OI000592</t>
  </si>
  <si>
    <t xml:space="preserve">OI000593</t>
  </si>
  <si>
    <t xml:space="preserve">OI000594</t>
  </si>
  <si>
    <t xml:space="preserve">OI000595</t>
  </si>
  <si>
    <t xml:space="preserve">OI000596</t>
  </si>
  <si>
    <t xml:space="preserve">OI000597</t>
  </si>
  <si>
    <t xml:space="preserve">OI000598</t>
  </si>
  <si>
    <t xml:space="preserve">OI000599</t>
  </si>
  <si>
    <t xml:space="preserve">OI000600</t>
  </si>
  <si>
    <t xml:space="preserve">OI000601</t>
  </si>
  <si>
    <t xml:space="preserve">OI000602</t>
  </si>
  <si>
    <t xml:space="preserve">OI000603</t>
  </si>
  <si>
    <t xml:space="preserve">C0120</t>
  </si>
  <si>
    <t xml:space="preserve">OI000604</t>
  </si>
  <si>
    <t xml:space="preserve">OI000605</t>
  </si>
  <si>
    <t xml:space="preserve">OI000606</t>
  </si>
  <si>
    <t xml:space="preserve">OI000607</t>
  </si>
  <si>
    <t xml:space="preserve">OI000608</t>
  </si>
  <si>
    <t xml:space="preserve">OI000609</t>
  </si>
  <si>
    <t xml:space="preserve">C0016</t>
  </si>
  <si>
    <t xml:space="preserve">OI000610</t>
  </si>
  <si>
    <t xml:space="preserve">OI000611</t>
  </si>
  <si>
    <t xml:space="preserve">OI000612</t>
  </si>
  <si>
    <t xml:space="preserve">C0134</t>
  </si>
  <si>
    <t xml:space="preserve">OI000613</t>
  </si>
  <si>
    <t xml:space="preserve">OI000614</t>
  </si>
  <si>
    <t xml:space="preserve">OI000615</t>
  </si>
  <si>
    <t xml:space="preserve">OI000616</t>
  </si>
  <si>
    <t xml:space="preserve">OI000617</t>
  </si>
  <si>
    <t xml:space="preserve">OI000618</t>
  </si>
  <si>
    <t xml:space="preserve">OI000619</t>
  </si>
  <si>
    <t xml:space="preserve">OI000620</t>
  </si>
  <si>
    <t xml:space="preserve">OI000621</t>
  </si>
  <si>
    <t xml:space="preserve">OI000622</t>
  </si>
  <si>
    <t xml:space="preserve">OI000623</t>
  </si>
  <si>
    <t xml:space="preserve">OI000624</t>
  </si>
  <si>
    <t xml:space="preserve">OI000625</t>
  </si>
  <si>
    <t xml:space="preserve">OI000626</t>
  </si>
  <si>
    <t xml:space="preserve">OI000627</t>
  </si>
  <si>
    <t xml:space="preserve">OI000628</t>
  </si>
  <si>
    <t xml:space="preserve">OI000629</t>
  </si>
  <si>
    <t xml:space="preserve">OI000630</t>
  </si>
  <si>
    <t xml:space="preserve">OI000631</t>
  </si>
  <si>
    <t xml:space="preserve">OI000632</t>
  </si>
  <si>
    <t xml:space="preserve">OI000633</t>
  </si>
  <si>
    <t xml:space="preserve">OI000634</t>
  </si>
  <si>
    <t xml:space="preserve">OI000635</t>
  </si>
  <si>
    <t xml:space="preserve">C0015</t>
  </si>
  <si>
    <t xml:space="preserve">OI000636</t>
  </si>
  <si>
    <t xml:space="preserve">OI000637</t>
  </si>
  <si>
    <t xml:space="preserve">OI000638</t>
  </si>
  <si>
    <t xml:space="preserve">C0011</t>
  </si>
  <si>
    <t xml:space="preserve">OI000639</t>
  </si>
  <si>
    <t xml:space="preserve">OI000640</t>
  </si>
  <si>
    <t xml:space="preserve">OI000641</t>
  </si>
  <si>
    <t xml:space="preserve">OI000642</t>
  </si>
  <si>
    <t xml:space="preserve">OI000643</t>
  </si>
  <si>
    <t xml:space="preserve">OI000644</t>
  </si>
  <si>
    <t xml:space="preserve">OI000646</t>
  </si>
  <si>
    <t xml:space="preserve">OI000647</t>
  </si>
  <si>
    <t xml:space="preserve">OI000649</t>
  </si>
  <si>
    <t xml:space="preserve">C0063</t>
  </si>
  <si>
    <t xml:space="preserve">OI000650</t>
  </si>
  <si>
    <t xml:space="preserve">OI000651</t>
  </si>
  <si>
    <t xml:space="preserve">OI000652</t>
  </si>
  <si>
    <t xml:space="preserve">OI000653</t>
  </si>
  <si>
    <t xml:space="preserve">OI000654</t>
  </si>
  <si>
    <t xml:space="preserve">OI000655</t>
  </si>
  <si>
    <t xml:space="preserve">OI000656</t>
  </si>
  <si>
    <t xml:space="preserve">C0086</t>
  </si>
  <si>
    <t xml:space="preserve">OI000657</t>
  </si>
  <si>
    <t xml:space="preserve">C0076</t>
  </si>
  <si>
    <t xml:space="preserve">OI000658</t>
  </si>
  <si>
    <t xml:space="preserve">OI000659</t>
  </si>
  <si>
    <t xml:space="preserve">OI000660</t>
  </si>
  <si>
    <t xml:space="preserve">OI000661</t>
  </si>
  <si>
    <t xml:space="preserve">OI000662</t>
  </si>
  <si>
    <t xml:space="preserve">OI000663</t>
  </si>
  <si>
    <t xml:space="preserve">C0108</t>
  </si>
  <si>
    <t xml:space="preserve">OI000664</t>
  </si>
  <si>
    <t xml:space="preserve">OI000665</t>
  </si>
  <si>
    <t xml:space="preserve">OI000667</t>
  </si>
  <si>
    <t xml:space="preserve">OI000668</t>
  </si>
  <si>
    <t xml:space="preserve">OI000670</t>
  </si>
  <si>
    <t xml:space="preserve">OI000671</t>
  </si>
  <si>
    <t xml:space="preserve">OI000672</t>
  </si>
  <si>
    <t xml:space="preserve">OI000673</t>
  </si>
  <si>
    <t xml:space="preserve">OI000674</t>
  </si>
  <si>
    <t xml:space="preserve">OI000675</t>
  </si>
  <si>
    <t xml:space="preserve">OI000676</t>
  </si>
  <si>
    <t xml:space="preserve">OI000677</t>
  </si>
  <si>
    <t xml:space="preserve">OI000678</t>
  </si>
  <si>
    <t xml:space="preserve">OI000679</t>
  </si>
  <si>
    <t xml:space="preserve">OI000680</t>
  </si>
  <si>
    <t xml:space="preserve">OI000681</t>
  </si>
  <si>
    <t xml:space="preserve">OI000682</t>
  </si>
  <si>
    <t xml:space="preserve">C0081</t>
  </si>
  <si>
    <t xml:space="preserve">OI000683</t>
  </si>
  <si>
    <t xml:space="preserve">OI000684</t>
  </si>
  <si>
    <t xml:space="preserve">OI000685</t>
  </si>
  <si>
    <t xml:space="preserve">OI000686</t>
  </si>
  <si>
    <t xml:space="preserve">C0030</t>
  </si>
  <si>
    <t xml:space="preserve">OI000687</t>
  </si>
  <si>
    <t xml:space="preserve">OI000688</t>
  </si>
  <si>
    <t xml:space="preserve">OI000689</t>
  </si>
  <si>
    <t xml:space="preserve">OI000690</t>
  </si>
  <si>
    <t xml:space="preserve">OI000691</t>
  </si>
  <si>
    <t xml:space="preserve">OI000692</t>
  </si>
  <si>
    <t xml:space="preserve">OI000693</t>
  </si>
  <si>
    <t xml:space="preserve">OI000694</t>
  </si>
  <si>
    <t xml:space="preserve">OI000697</t>
  </si>
  <si>
    <t xml:space="preserve">OI000698</t>
  </si>
  <si>
    <t xml:space="preserve">OI000699</t>
  </si>
  <si>
    <t xml:space="preserve">OI000700</t>
  </si>
  <si>
    <t xml:space="preserve">OI000701</t>
  </si>
  <si>
    <t xml:space="preserve">OI000702</t>
  </si>
  <si>
    <t xml:space="preserve">OI000703</t>
  </si>
  <si>
    <t xml:space="preserve">OI000704</t>
  </si>
  <si>
    <t xml:space="preserve">OI000705</t>
  </si>
  <si>
    <t xml:space="preserve">C0100</t>
  </si>
  <si>
    <t xml:space="preserve">OI000706</t>
  </si>
  <si>
    <t xml:space="preserve">OI000707</t>
  </si>
  <si>
    <t xml:space="preserve">OI000708</t>
  </si>
  <si>
    <t xml:space="preserve">OI000709</t>
  </si>
  <si>
    <t xml:space="preserve">OI000710</t>
  </si>
  <si>
    <t xml:space="preserve">OI000711</t>
  </si>
  <si>
    <t xml:space="preserve">OI000712</t>
  </si>
  <si>
    <t xml:space="preserve">OI000713</t>
  </si>
  <si>
    <t xml:space="preserve">OI000714</t>
  </si>
  <si>
    <t xml:space="preserve">OI000715</t>
  </si>
  <si>
    <t xml:space="preserve">OI000716</t>
  </si>
  <si>
    <t xml:space="preserve">OI000717</t>
  </si>
  <si>
    <t xml:space="preserve">OI000718</t>
  </si>
  <si>
    <t xml:space="preserve">OI000719</t>
  </si>
  <si>
    <t xml:space="preserve">OI000720</t>
  </si>
  <si>
    <t xml:space="preserve">OI000721</t>
  </si>
  <si>
    <t xml:space="preserve">OI000722</t>
  </si>
  <si>
    <t xml:space="preserve">OI000723</t>
  </si>
  <si>
    <t xml:space="preserve">OI000724</t>
  </si>
  <si>
    <t xml:space="preserve">OI000725</t>
  </si>
  <si>
    <t xml:space="preserve">OI000726</t>
  </si>
  <si>
    <t xml:space="preserve">OI000727</t>
  </si>
  <si>
    <t xml:space="preserve">OI000728</t>
  </si>
  <si>
    <t xml:space="preserve">OI000729</t>
  </si>
  <si>
    <t xml:space="preserve">OI000730</t>
  </si>
  <si>
    <t xml:space="preserve">OI000731</t>
  </si>
  <si>
    <t xml:space="preserve">OI000732</t>
  </si>
  <si>
    <t xml:space="preserve">OI000733</t>
  </si>
  <si>
    <t xml:space="preserve">OI000734</t>
  </si>
  <si>
    <t xml:space="preserve">OI000735</t>
  </si>
  <si>
    <t xml:space="preserve">OI000736</t>
  </si>
  <si>
    <t xml:space="preserve">OI000738</t>
  </si>
  <si>
    <t xml:space="preserve">OI000739</t>
  </si>
  <si>
    <t xml:space="preserve">OI000740</t>
  </si>
  <si>
    <t xml:space="preserve">OI000741</t>
  </si>
  <si>
    <t xml:space="preserve">OI000742</t>
  </si>
  <si>
    <t xml:space="preserve">OI000743</t>
  </si>
  <si>
    <t xml:space="preserve">OI000744</t>
  </si>
  <si>
    <t xml:space="preserve">OI000745</t>
  </si>
  <si>
    <t xml:space="preserve">OI000746</t>
  </si>
  <si>
    <t xml:space="preserve">OI000747</t>
  </si>
  <si>
    <t xml:space="preserve">OI000748</t>
  </si>
  <si>
    <t xml:space="preserve">OI000749</t>
  </si>
  <si>
    <t xml:space="preserve">OI000750</t>
  </si>
  <si>
    <t xml:space="preserve">OI000751</t>
  </si>
  <si>
    <t xml:space="preserve">OI000752</t>
  </si>
  <si>
    <t xml:space="preserve">OI000753</t>
  </si>
  <si>
    <t xml:space="preserve">OI000754</t>
  </si>
  <si>
    <t xml:space="preserve">C0057</t>
  </si>
  <si>
    <t xml:space="preserve">OI000755</t>
  </si>
  <si>
    <t xml:space="preserve">OI000756</t>
  </si>
  <si>
    <t xml:space="preserve">OI000757</t>
  </si>
  <si>
    <t xml:space="preserve">OI000758</t>
  </si>
  <si>
    <t xml:space="preserve">OI000759</t>
  </si>
  <si>
    <t xml:space="preserve">OI000760</t>
  </si>
  <si>
    <t xml:space="preserve">OI000761</t>
  </si>
  <si>
    <t xml:space="preserve">OI000762</t>
  </si>
  <si>
    <t xml:space="preserve">C0137</t>
  </si>
  <si>
    <t xml:space="preserve">OI000763</t>
  </si>
  <si>
    <t xml:space="preserve">OI000764</t>
  </si>
  <si>
    <t xml:space="preserve">OI000765</t>
  </si>
  <si>
    <t xml:space="preserve">OI000766</t>
  </si>
  <si>
    <t xml:space="preserve">C0116</t>
  </si>
  <si>
    <t xml:space="preserve">OI000767</t>
  </si>
  <si>
    <t xml:space="preserve">OI000768</t>
  </si>
  <si>
    <t xml:space="preserve">OI000769</t>
  </si>
  <si>
    <t xml:space="preserve">OI000770</t>
  </si>
  <si>
    <t xml:space="preserve">OI000771</t>
  </si>
  <si>
    <t xml:space="preserve">OI000772</t>
  </si>
  <si>
    <t xml:space="preserve">OI000773</t>
  </si>
  <si>
    <t xml:space="preserve">OI000774</t>
  </si>
  <si>
    <t xml:space="preserve">OI000775</t>
  </si>
  <si>
    <t xml:space="preserve">OI000776</t>
  </si>
  <si>
    <t xml:space="preserve">OI000777</t>
  </si>
  <si>
    <t xml:space="preserve">OI000778</t>
  </si>
  <si>
    <t xml:space="preserve">OI000779</t>
  </si>
  <si>
    <t xml:space="preserve">OI000780</t>
  </si>
  <si>
    <t xml:space="preserve">OI000781</t>
  </si>
  <si>
    <t xml:space="preserve">OI000782</t>
  </si>
  <si>
    <t xml:space="preserve">OI000783</t>
  </si>
  <si>
    <t xml:space="preserve">OI000784</t>
  </si>
  <si>
    <t xml:space="preserve">OI000785</t>
  </si>
  <si>
    <t xml:space="preserve">OI000786</t>
  </si>
  <si>
    <t xml:space="preserve">OI000787</t>
  </si>
  <si>
    <t xml:space="preserve">OI000788</t>
  </si>
  <si>
    <t xml:space="preserve">OI000789</t>
  </si>
  <si>
    <t xml:space="preserve">OI000790</t>
  </si>
  <si>
    <t xml:space="preserve">C0074</t>
  </si>
  <si>
    <t xml:space="preserve">OI000791</t>
  </si>
  <si>
    <t xml:space="preserve">OI000792</t>
  </si>
  <si>
    <t xml:space="preserve">C0058</t>
  </si>
  <si>
    <t xml:space="preserve">OI000793</t>
  </si>
  <si>
    <t xml:space="preserve">OI000794</t>
  </si>
  <si>
    <t xml:space="preserve">OI000795</t>
  </si>
  <si>
    <t xml:space="preserve">OI000796</t>
  </si>
  <si>
    <t xml:space="preserve">customer_key</t>
  </si>
  <si>
    <t xml:space="preserve">is_active</t>
  </si>
  <si>
    <t xml:space="preserve">effective_from</t>
  </si>
  <si>
    <t xml:space="preserve">effective_to</t>
  </si>
  <si>
    <t xml:space="preserve">is_current</t>
  </si>
  <si>
    <t xml:space="preserve">email</t>
  </si>
  <si>
    <t xml:space="preserve">phone</t>
  </si>
  <si>
    <t xml:space="preserve">state</t>
  </si>
  <si>
    <t xml:space="preserve">country</t>
  </si>
  <si>
    <t xml:space="preserve">signup_date</t>
  </si>
  <si>
    <t xml:space="preserve">Unknown customer</t>
  </si>
  <si>
    <t xml:space="preserve">NO</t>
  </si>
  <si>
    <t xml:space="preserve">YES</t>
  </si>
  <si>
    <t xml:space="preserve">isaac.bakshi1@example.com</t>
  </si>
  <si>
    <t xml:space="preserve">8196001338</t>
  </si>
  <si>
    <t xml:space="preserve">Karnataka</t>
  </si>
  <si>
    <t xml:space="preserve">Tanveer Nayar</t>
  </si>
  <si>
    <t xml:space="preserve">tanveer.nayar2@example.com</t>
  </si>
  <si>
    <t xml:space="preserve">9407816184</t>
  </si>
  <si>
    <t xml:space="preserve">Uttar Pradesh</t>
  </si>
  <si>
    <t xml:space="preserve">Nicholas Prabhakar</t>
  </si>
  <si>
    <t xml:space="preserve">nicholas.prabhakar3@example.com</t>
  </si>
  <si>
    <t xml:space="preserve">8327648350</t>
  </si>
  <si>
    <t xml:space="preserve">Rajasthan</t>
  </si>
  <si>
    <t xml:space="preserve">Liam Koshy</t>
  </si>
  <si>
    <t xml:space="preserve">liam.koshy4@example.com</t>
  </si>
  <si>
    <t xml:space="preserve">6532871012</t>
  </si>
  <si>
    <t xml:space="preserve">West Bengal</t>
  </si>
  <si>
    <t xml:space="preserve">Harini Choudhury</t>
  </si>
  <si>
    <t xml:space="preserve">harini.choudhury5@example.com</t>
  </si>
  <si>
    <t xml:space="preserve">8281489325</t>
  </si>
  <si>
    <t xml:space="preserve">Bengaluru</t>
  </si>
  <si>
    <t xml:space="preserve">Farhan Chada</t>
  </si>
  <si>
    <t xml:space="preserve">farhan.chada6@example.com</t>
  </si>
  <si>
    <t xml:space="preserve">7824896383</t>
  </si>
  <si>
    <t xml:space="preserve">Thomas Amble</t>
  </si>
  <si>
    <t xml:space="preserve">thomas.amble7@example.com</t>
  </si>
  <si>
    <t xml:space="preserve">5183473829</t>
  </si>
  <si>
    <t xml:space="preserve">C0008</t>
  </si>
  <si>
    <t xml:space="preserve">Guneet Bhat</t>
  </si>
  <si>
    <t xml:space="preserve">3872624731</t>
  </si>
  <si>
    <t xml:space="preserve">Daniel Gala</t>
  </si>
  <si>
    <t xml:space="preserve">6872343098</t>
  </si>
  <si>
    <t xml:space="preserve">Pune</t>
  </si>
  <si>
    <t xml:space="preserve">Maharashtra</t>
  </si>
  <si>
    <t xml:space="preserve">Wahab Raval</t>
  </si>
  <si>
    <t xml:space="preserve">wahab.raval10@example.com</t>
  </si>
  <si>
    <t xml:space="preserve">9169985435</t>
  </si>
  <si>
    <t xml:space="preserve">Delhi</t>
  </si>
  <si>
    <t xml:space="preserve">Tanay Toor</t>
  </si>
  <si>
    <t xml:space="preserve">tanay.toor11@example.com</t>
  </si>
  <si>
    <t xml:space="preserve">4278498084</t>
  </si>
  <si>
    <t xml:space="preserve">C0012</t>
  </si>
  <si>
    <t xml:space="preserve">Aishani Tiwari</t>
  </si>
  <si>
    <t xml:space="preserve">aishani.tiwari12@example.com</t>
  </si>
  <si>
    <t xml:space="preserve">0052427868</t>
  </si>
  <si>
    <t xml:space="preserve">Balveer Parmar</t>
  </si>
  <si>
    <t xml:space="preserve">balveer.parmar13@example.com</t>
  </si>
  <si>
    <t xml:space="preserve">6923226025</t>
  </si>
  <si>
    <t xml:space="preserve">Tamil Nadu</t>
  </si>
  <si>
    <t xml:space="preserve">Udant Bajwa</t>
  </si>
  <si>
    <t xml:space="preserve">udant.bajwa14@example.com</t>
  </si>
  <si>
    <t xml:space="preserve">0000000000</t>
  </si>
  <si>
    <t xml:space="preserve">Chaitanya Sarin</t>
  </si>
  <si>
    <t xml:space="preserve">chaitanya.sarin15@example.com</t>
  </si>
  <si>
    <t xml:space="preserve">5951484656</t>
  </si>
  <si>
    <t xml:space="preserve">Shivansh Sani</t>
  </si>
  <si>
    <t xml:space="preserve">shivansh.sani16@example.com</t>
  </si>
  <si>
    <t xml:space="preserve">3872148951</t>
  </si>
  <si>
    <t xml:space="preserve">Robert Rajagopalan</t>
  </si>
  <si>
    <t xml:space="preserve">robert.rajagopalan17@example.com</t>
  </si>
  <si>
    <t xml:space="preserve">6328708317</t>
  </si>
  <si>
    <t xml:space="preserve">Aradhana Verma</t>
  </si>
  <si>
    <t xml:space="preserve">aradhana.verma18@example.com</t>
  </si>
  <si>
    <t xml:space="preserve">4345581223</t>
  </si>
  <si>
    <t xml:space="preserve">Mumbai</t>
  </si>
  <si>
    <t xml:space="preserve">Anmol Rai</t>
  </si>
  <si>
    <t xml:space="preserve">8893734670</t>
  </si>
  <si>
    <t xml:space="preserve">Telangana</t>
  </si>
  <si>
    <t xml:space="preserve">Priya Deshmukh</t>
  </si>
  <si>
    <t xml:space="preserve">priya.deshmukh20@example.com</t>
  </si>
  <si>
    <t xml:space="preserve">5375564641</t>
  </si>
  <si>
    <t xml:space="preserve">William Date</t>
  </si>
  <si>
    <t xml:space="preserve">william.date21@example.com</t>
  </si>
  <si>
    <t xml:space="preserve">4529912419</t>
  </si>
  <si>
    <t xml:space="preserve">C0022</t>
  </si>
  <si>
    <t xml:space="preserve">Idika Walia</t>
  </si>
  <si>
    <t xml:space="preserve">idika.walia22@example.com</t>
  </si>
  <si>
    <t xml:space="preserve">Yagnesh Shetty</t>
  </si>
  <si>
    <t xml:space="preserve">yagnesh.shetty23@example.com</t>
  </si>
  <si>
    <t xml:space="preserve">5273545494</t>
  </si>
  <si>
    <t xml:space="preserve">C0024</t>
  </si>
  <si>
    <t xml:space="preserve">Nidhi Kohli</t>
  </si>
  <si>
    <t xml:space="preserve">nidhi.kohli24@example.com</t>
  </si>
  <si>
    <t xml:space="preserve">5685574443</t>
  </si>
  <si>
    <t xml:space="preserve">Rishi Minhas</t>
  </si>
  <si>
    <t xml:space="preserve">2400842710</t>
  </si>
  <si>
    <t xml:space="preserve">Ethan Bera</t>
  </si>
  <si>
    <t xml:space="preserve">ethan.bera26@example.com</t>
  </si>
  <si>
    <t xml:space="preserve">8699938677</t>
  </si>
  <si>
    <t xml:space="preserve">Oscar Borde</t>
  </si>
  <si>
    <t xml:space="preserve">oscar.borde27@example.com</t>
  </si>
  <si>
    <t xml:space="preserve">4034471349</t>
  </si>
  <si>
    <t xml:space="preserve">Reva Dash</t>
  </si>
  <si>
    <t xml:space="preserve">reva.dash28@example.com</t>
  </si>
  <si>
    <t xml:space="preserve">8771906594</t>
  </si>
  <si>
    <t xml:space="preserve">Rajata Swamy</t>
  </si>
  <si>
    <t xml:space="preserve">rajata.swamy29@example.com</t>
  </si>
  <si>
    <t xml:space="preserve">5125674680</t>
  </si>
  <si>
    <t xml:space="preserve">Wishi Sathe</t>
  </si>
  <si>
    <t xml:space="preserve">wishi.sathe30@example.com</t>
  </si>
  <si>
    <t xml:space="preserve">4771093248</t>
  </si>
  <si>
    <t xml:space="preserve">Urmi Kohli</t>
  </si>
  <si>
    <t xml:space="preserve">urmi.kohli31@example.com</t>
  </si>
  <si>
    <t xml:space="preserve">8214658404</t>
  </si>
  <si>
    <t xml:space="preserve">Tamanna Nagy</t>
  </si>
  <si>
    <t xml:space="preserve">tamanna.nagy32@example.com</t>
  </si>
  <si>
    <t xml:space="preserve">6057662702</t>
  </si>
  <si>
    <t xml:space="preserve">hamsini.rao33@example.com</t>
  </si>
  <si>
    <t xml:space="preserve">7809134316</t>
  </si>
  <si>
    <t xml:space="preserve">Yash Wali</t>
  </si>
  <si>
    <t xml:space="preserve">yash.wali34@example.com</t>
  </si>
  <si>
    <t xml:space="preserve">9693792374</t>
  </si>
  <si>
    <t xml:space="preserve">Zashil Shan</t>
  </si>
  <si>
    <t xml:space="preserve">zashil.shan35@example.com</t>
  </si>
  <si>
    <t xml:space="preserve">3695944064</t>
  </si>
  <si>
    <t xml:space="preserve">Gujarat</t>
  </si>
  <si>
    <t xml:space="preserve">Balveer More</t>
  </si>
  <si>
    <t xml:space="preserve">balveer.more36@example.com</t>
  </si>
  <si>
    <t xml:space="preserve">1456232858</t>
  </si>
  <si>
    <t xml:space="preserve">gautam.rana37@example.com</t>
  </si>
  <si>
    <t xml:space="preserve">9651370985</t>
  </si>
  <si>
    <t xml:space="preserve">C0038</t>
  </si>
  <si>
    <t xml:space="preserve">Krishna Rama</t>
  </si>
  <si>
    <t xml:space="preserve">1796405377</t>
  </si>
  <si>
    <t xml:space="preserve">C0039</t>
  </si>
  <si>
    <t xml:space="preserve">Simon Bail</t>
  </si>
  <si>
    <t xml:space="preserve">simon.bail39@example.com</t>
  </si>
  <si>
    <t xml:space="preserve">3183933529</t>
  </si>
  <si>
    <t xml:space="preserve">Amol Ghosh</t>
  </si>
  <si>
    <t xml:space="preserve">amol.ghosh40@example.com</t>
  </si>
  <si>
    <t xml:space="preserve">Faris Nagy</t>
  </si>
  <si>
    <t xml:space="preserve">faris.nagy41@example.com</t>
  </si>
  <si>
    <t xml:space="preserve">Girish Munshi</t>
  </si>
  <si>
    <t xml:space="preserve">girish.munshi42@example.com</t>
  </si>
  <si>
    <t xml:space="preserve">1111615280</t>
  </si>
  <si>
    <t xml:space="preserve">C0043</t>
  </si>
  <si>
    <t xml:space="preserve">Mohammed Subramaniam</t>
  </si>
  <si>
    <t xml:space="preserve">mohammed.subramaniam43@example.com</t>
  </si>
  <si>
    <t xml:space="preserve">1493689980</t>
  </si>
  <si>
    <t xml:space="preserve">Azaan Chand</t>
  </si>
  <si>
    <t xml:space="preserve">azaan.chand44@example.com</t>
  </si>
  <si>
    <t xml:space="preserve">5254599102</t>
  </si>
  <si>
    <t xml:space="preserve">Hemani Sani</t>
  </si>
  <si>
    <t xml:space="preserve">hemani.sani45@example.com</t>
  </si>
  <si>
    <t xml:space="preserve">3690034324</t>
  </si>
  <si>
    <t xml:space="preserve">Ekbal Ranganathan</t>
  </si>
  <si>
    <t xml:space="preserve">ekbal.ranganathan46@example.com</t>
  </si>
  <si>
    <t xml:space="preserve">1596966416</t>
  </si>
  <si>
    <t xml:space="preserve">Farhan Randhawa</t>
  </si>
  <si>
    <t xml:space="preserve">1818835523</t>
  </si>
  <si>
    <t xml:space="preserve">C0048</t>
  </si>
  <si>
    <t xml:space="preserve">Ekantika Mutti</t>
  </si>
  <si>
    <t xml:space="preserve">ekantika.mutti48@example.com</t>
  </si>
  <si>
    <t xml:space="preserve">4905814770</t>
  </si>
  <si>
    <t xml:space="preserve">Raghav Nagy</t>
  </si>
  <si>
    <t xml:space="preserve">5182037788</t>
  </si>
  <si>
    <t xml:space="preserve">Zayyan Doctor</t>
  </si>
  <si>
    <t xml:space="preserve">zayyan.doctor50@example.com</t>
  </si>
  <si>
    <t xml:space="preserve">2914865281</t>
  </si>
  <si>
    <t xml:space="preserve">C0051</t>
  </si>
  <si>
    <t xml:space="preserve">Mohammed Brahmbhatt</t>
  </si>
  <si>
    <t xml:space="preserve">mohammed.brahmbhatt51@example.com</t>
  </si>
  <si>
    <t xml:space="preserve">0592962229</t>
  </si>
  <si>
    <t xml:space="preserve">Jhalak Sastry</t>
  </si>
  <si>
    <t xml:space="preserve">jhalak.sastry52@example.com</t>
  </si>
  <si>
    <t xml:space="preserve">6239240758</t>
  </si>
  <si>
    <t xml:space="preserve">C0053</t>
  </si>
  <si>
    <t xml:space="preserve">Avi Sachdeva</t>
  </si>
  <si>
    <t xml:space="preserve">avi.sachdeva53@example.com</t>
  </si>
  <si>
    <t xml:space="preserve">5305152204</t>
  </si>
  <si>
    <t xml:space="preserve">Pallavi Choudhry</t>
  </si>
  <si>
    <t xml:space="preserve">pallavi.choudhry54@example.com</t>
  </si>
  <si>
    <t xml:space="preserve">3697117980</t>
  </si>
  <si>
    <t xml:space="preserve">C0055</t>
  </si>
  <si>
    <t xml:space="preserve">Yashica Tripathi</t>
  </si>
  <si>
    <t xml:space="preserve">yashica.tripathi55@example.com</t>
  </si>
  <si>
    <t xml:space="preserve">5405153195</t>
  </si>
  <si>
    <t xml:space="preserve">C0056</t>
  </si>
  <si>
    <t xml:space="preserve">Caleb Iyengar</t>
  </si>
  <si>
    <t xml:space="preserve">caleb.iyengar56@example.com</t>
  </si>
  <si>
    <t xml:space="preserve">8740345054</t>
  </si>
  <si>
    <t xml:space="preserve">Fitan Samra</t>
  </si>
  <si>
    <t xml:space="preserve">fitan.samra57@example.com</t>
  </si>
  <si>
    <t xml:space="preserve">1154479627</t>
  </si>
  <si>
    <t xml:space="preserve">Luke Sarma</t>
  </si>
  <si>
    <t xml:space="preserve">luke.sarma58@example.com</t>
  </si>
  <si>
    <t xml:space="preserve">6909275571</t>
  </si>
  <si>
    <t xml:space="preserve">Adweta Lad</t>
  </si>
  <si>
    <t xml:space="preserve">adweta.lad59@example.com</t>
  </si>
  <si>
    <t xml:space="preserve">3121727155</t>
  </si>
  <si>
    <t xml:space="preserve">Atharv Patel</t>
  </si>
  <si>
    <t xml:space="preserve">atharv.patel60@example.com</t>
  </si>
  <si>
    <t xml:space="preserve">9114678669</t>
  </si>
  <si>
    <t xml:space="preserve">yadavi.bhakta61@example.com</t>
  </si>
  <si>
    <t xml:space="preserve">5358414384</t>
  </si>
  <si>
    <t xml:space="preserve">Ayush Bumb</t>
  </si>
  <si>
    <t xml:space="preserve">ayush.bumb62@example.com</t>
  </si>
  <si>
    <t xml:space="preserve">9078447364</t>
  </si>
  <si>
    <t xml:space="preserve">Hemani Rastogi</t>
  </si>
  <si>
    <t xml:space="preserve">hemani.rastogi63@example.com</t>
  </si>
  <si>
    <t xml:space="preserve">5371473210</t>
  </si>
  <si>
    <t xml:space="preserve">Darika Tank</t>
  </si>
  <si>
    <t xml:space="preserve">darika.tank64@example.com</t>
  </si>
  <si>
    <t xml:space="preserve">3950047974</t>
  </si>
  <si>
    <t xml:space="preserve">Janani Mani</t>
  </si>
  <si>
    <t xml:space="preserve">janani.mani65@example.com</t>
  </si>
  <si>
    <t xml:space="preserve">9121655852</t>
  </si>
  <si>
    <t xml:space="preserve">Yutika Dey</t>
  </si>
  <si>
    <t xml:space="preserve">yutika.dey66@example.com</t>
  </si>
  <si>
    <t xml:space="preserve">4958887947</t>
  </si>
  <si>
    <t xml:space="preserve">Varsha Garde</t>
  </si>
  <si>
    <t xml:space="preserve">varsha.garde67@example.com</t>
  </si>
  <si>
    <t xml:space="preserve">9130756263</t>
  </si>
  <si>
    <t xml:space="preserve">Tripti Walia</t>
  </si>
  <si>
    <t xml:space="preserve">tripti.walia68@example.com</t>
  </si>
  <si>
    <t xml:space="preserve">3348434437</t>
  </si>
  <si>
    <t xml:space="preserve">Bhavna Brar</t>
  </si>
  <si>
    <t xml:space="preserve">3848421993</t>
  </si>
  <si>
    <t xml:space="preserve">Nakul Ray</t>
  </si>
  <si>
    <t xml:space="preserve">5401938026</t>
  </si>
  <si>
    <t xml:space="preserve">Bhavani Sha</t>
  </si>
  <si>
    <t xml:space="preserve">bhavani.sha71@example.com</t>
  </si>
  <si>
    <t xml:space="preserve">4315274205</t>
  </si>
  <si>
    <t xml:space="preserve">Ekiya Kothari</t>
  </si>
  <si>
    <t xml:space="preserve">ekiya.kothari72@example.com</t>
  </si>
  <si>
    <t xml:space="preserve">5499045301</t>
  </si>
  <si>
    <t xml:space="preserve">Vanya Dua</t>
  </si>
  <si>
    <t xml:space="preserve">vanya.dua73@example.com</t>
  </si>
  <si>
    <t xml:space="preserve">8339187851</t>
  </si>
  <si>
    <t xml:space="preserve">Vrinda Chand</t>
  </si>
  <si>
    <t xml:space="preserve">vrinda.chand74@example.com</t>
  </si>
  <si>
    <t xml:space="preserve">8679087406</t>
  </si>
  <si>
    <t xml:space="preserve">C0075</t>
  </si>
  <si>
    <t xml:space="preserve">Nilima Gole</t>
  </si>
  <si>
    <t xml:space="preserve">nilima.gole75@example.com</t>
  </si>
  <si>
    <t xml:space="preserve">6618251286</t>
  </si>
  <si>
    <t xml:space="preserve">Anya Gulati</t>
  </si>
  <si>
    <t xml:space="preserve">anya.gulati76@example.com</t>
  </si>
  <si>
    <t xml:space="preserve">0331190790</t>
  </si>
  <si>
    <t xml:space="preserve">Ekani Khalsa</t>
  </si>
  <si>
    <t xml:space="preserve">ekani.khalsa77@example.com</t>
  </si>
  <si>
    <t xml:space="preserve">4408926870</t>
  </si>
  <si>
    <t xml:space="preserve">Umang Mital</t>
  </si>
  <si>
    <t xml:space="preserve">umang.mital78@example.com</t>
  </si>
  <si>
    <t xml:space="preserve">6688263435</t>
  </si>
  <si>
    <t xml:space="preserve">Raghav Kalla</t>
  </si>
  <si>
    <t xml:space="preserve">raghav.kalla79@example.com</t>
  </si>
  <si>
    <t xml:space="preserve">3173936385</t>
  </si>
  <si>
    <t xml:space="preserve">C0080</t>
  </si>
  <si>
    <t xml:space="preserve">Kamala Munshi</t>
  </si>
  <si>
    <t xml:space="preserve">Qarin Bhargava</t>
  </si>
  <si>
    <t xml:space="preserve">qarin.bhargava81@example.com</t>
  </si>
  <si>
    <t xml:space="preserve">2312038750</t>
  </si>
  <si>
    <t xml:space="preserve">Yadavi Sani</t>
  </si>
  <si>
    <t xml:space="preserve">yadavi.sani82@example.com</t>
  </si>
  <si>
    <t xml:space="preserve">2339845461</t>
  </si>
  <si>
    <t xml:space="preserve">Daksh Andra</t>
  </si>
  <si>
    <t xml:space="preserve">daksh.andra83@example.com</t>
  </si>
  <si>
    <t xml:space="preserve">9180339740</t>
  </si>
  <si>
    <t xml:space="preserve">C0084</t>
  </si>
  <si>
    <t xml:space="preserve">Nicholas Khosla</t>
  </si>
  <si>
    <t xml:space="preserve">nicholas.khosla84@example.com</t>
  </si>
  <si>
    <t xml:space="preserve">chakrika.koshy85@example.com</t>
  </si>
  <si>
    <t xml:space="preserve">2655110475</t>
  </si>
  <si>
    <t xml:space="preserve">Ekta Rajan</t>
  </si>
  <si>
    <t xml:space="preserve">ekta.rajan86@example.com</t>
  </si>
  <si>
    <t xml:space="preserve">3982622444</t>
  </si>
  <si>
    <t xml:space="preserve">Warhi Hayre</t>
  </si>
  <si>
    <t xml:space="preserve">5965756924</t>
  </si>
  <si>
    <t xml:space="preserve">Krisha Mand</t>
  </si>
  <si>
    <t xml:space="preserve">krisha.mand88@example.com</t>
  </si>
  <si>
    <t xml:space="preserve">3982807374</t>
  </si>
  <si>
    <t xml:space="preserve">Yashawini Sahota</t>
  </si>
  <si>
    <t xml:space="preserve">yashawini.sahota89@example.com</t>
  </si>
  <si>
    <t xml:space="preserve">1352909656</t>
  </si>
  <si>
    <t xml:space="preserve">Matthew Pai</t>
  </si>
  <si>
    <t xml:space="preserve">matthew.pai90@example.com</t>
  </si>
  <si>
    <t xml:space="preserve">1125457387</t>
  </si>
  <si>
    <t xml:space="preserve">Yagnesh Varty</t>
  </si>
  <si>
    <t xml:space="preserve">yagnesh.varty91@example.com</t>
  </si>
  <si>
    <t xml:space="preserve">7362266093</t>
  </si>
  <si>
    <t xml:space="preserve">Ronith Shankar</t>
  </si>
  <si>
    <t xml:space="preserve">ronith.shankar92@example.com</t>
  </si>
  <si>
    <t xml:space="preserve">6969155792</t>
  </si>
  <si>
    <t xml:space="preserve">C0093</t>
  </si>
  <si>
    <t xml:space="preserve">Yasti Rama</t>
  </si>
  <si>
    <t xml:space="preserve">yasti.rama93@example.com</t>
  </si>
  <si>
    <t xml:space="preserve">2782827422</t>
  </si>
  <si>
    <t xml:space="preserve">C0094</t>
  </si>
  <si>
    <t xml:space="preserve">Vyanjana Sagar</t>
  </si>
  <si>
    <t xml:space="preserve">vyanjana.sagar94@example.com</t>
  </si>
  <si>
    <t xml:space="preserve">9034043842</t>
  </si>
  <si>
    <t xml:space="preserve">Ridhi Kamdar</t>
  </si>
  <si>
    <t xml:space="preserve">ridhi.kamdar95@example.com</t>
  </si>
  <si>
    <t xml:space="preserve">Bimala Loke</t>
  </si>
  <si>
    <t xml:space="preserve">bimala.loke96@example.com</t>
  </si>
  <si>
    <t xml:space="preserve">4223253672</t>
  </si>
  <si>
    <t xml:space="preserve">Tara Parmar</t>
  </si>
  <si>
    <t xml:space="preserve">tara.parmar97@example.com</t>
  </si>
  <si>
    <t xml:space="preserve">7454589297</t>
  </si>
  <si>
    <t xml:space="preserve">Kevin Mittal</t>
  </si>
  <si>
    <t xml:space="preserve">kevin.mittal98@example.com</t>
  </si>
  <si>
    <t xml:space="preserve">1520643611</t>
  </si>
  <si>
    <t xml:space="preserve">Vanya Bobal</t>
  </si>
  <si>
    <t xml:space="preserve">vanya.bobal99@example.com</t>
  </si>
  <si>
    <t xml:space="preserve">5426221890</t>
  </si>
  <si>
    <t xml:space="preserve">Indali Sanghvi</t>
  </si>
  <si>
    <t xml:space="preserve">indali.sanghvi100@example.com</t>
  </si>
  <si>
    <t xml:space="preserve">3899940438</t>
  </si>
  <si>
    <t xml:space="preserve">Jalsa Nadig</t>
  </si>
  <si>
    <t xml:space="preserve">jalsa.nadig101@example.com</t>
  </si>
  <si>
    <t xml:space="preserve">7109104300</t>
  </si>
  <si>
    <t xml:space="preserve">Farhan Vaidya</t>
  </si>
  <si>
    <t xml:space="preserve">farhan.vaidya102@example.com</t>
  </si>
  <si>
    <t xml:space="preserve">9146303161</t>
  </si>
  <si>
    <t xml:space="preserve">Aashi Ganesan</t>
  </si>
  <si>
    <t xml:space="preserve">aashi.ganesan103@example.com</t>
  </si>
  <si>
    <t xml:space="preserve">6481491778</t>
  </si>
  <si>
    <t xml:space="preserve">Chaitanya Arora</t>
  </si>
  <si>
    <t xml:space="preserve">chaitanya.arora104@example.com</t>
  </si>
  <si>
    <t xml:space="preserve">2086353654</t>
  </si>
  <si>
    <t xml:space="preserve">Falak Chadha</t>
  </si>
  <si>
    <t xml:space="preserve">falak.chadha105@example.com</t>
  </si>
  <si>
    <t xml:space="preserve">9493759738</t>
  </si>
  <si>
    <t xml:space="preserve">Wazir Saini</t>
  </si>
  <si>
    <t xml:space="preserve">wazir.saini106@example.com</t>
  </si>
  <si>
    <t xml:space="preserve">0386571918</t>
  </si>
  <si>
    <t xml:space="preserve">eesha.sethi107@example.com</t>
  </si>
  <si>
    <t xml:space="preserve">1212775618</t>
  </si>
  <si>
    <t xml:space="preserve">Manbir Chand</t>
  </si>
  <si>
    <t xml:space="preserve">manbir.chand108@example.com</t>
  </si>
  <si>
    <t xml:space="preserve">4420678831</t>
  </si>
  <si>
    <t xml:space="preserve">Falan Bains</t>
  </si>
  <si>
    <t xml:space="preserve">5107029667</t>
  </si>
  <si>
    <t xml:space="preserve">Chakrika Tara</t>
  </si>
  <si>
    <t xml:space="preserve">chakrika.tara110@example.com</t>
  </si>
  <si>
    <t xml:space="preserve">6263838065</t>
  </si>
  <si>
    <t xml:space="preserve">Ayushman Mand</t>
  </si>
  <si>
    <t xml:space="preserve">ayushman.mand111@example.com</t>
  </si>
  <si>
    <t xml:space="preserve">3213348039</t>
  </si>
  <si>
    <t xml:space="preserve">Waida More</t>
  </si>
  <si>
    <t xml:space="preserve">waida.more112@example.com</t>
  </si>
  <si>
    <t xml:space="preserve">9308705932</t>
  </si>
  <si>
    <t xml:space="preserve">Harrison Nayar</t>
  </si>
  <si>
    <t xml:space="preserve">harrison.nayar113@example.com</t>
  </si>
  <si>
    <t xml:space="preserve">5289539264</t>
  </si>
  <si>
    <t xml:space="preserve">Watika Dhaliwal</t>
  </si>
  <si>
    <t xml:space="preserve">watika.dhaliwal114@example.com</t>
  </si>
  <si>
    <t xml:space="preserve">2157043315</t>
  </si>
  <si>
    <t xml:space="preserve">Harrison Srinivas</t>
  </si>
  <si>
    <t xml:space="preserve">harrison.srinivas115@example.com</t>
  </si>
  <si>
    <t xml:space="preserve">0405411526</t>
  </si>
  <si>
    <t xml:space="preserve">Harrison Narula</t>
  </si>
  <si>
    <t xml:space="preserve">harrison.narula116@example.com</t>
  </si>
  <si>
    <t xml:space="preserve">4443106987</t>
  </si>
  <si>
    <t xml:space="preserve">Finn Solanki</t>
  </si>
  <si>
    <t xml:space="preserve">finn.solanki117@example.com</t>
  </si>
  <si>
    <t xml:space="preserve">4186256527</t>
  </si>
  <si>
    <t xml:space="preserve">utkarsh.bhat118@example.com</t>
  </si>
  <si>
    <t xml:space="preserve">3741608989</t>
  </si>
  <si>
    <t xml:space="preserve">Aarna Nagarajan</t>
  </si>
  <si>
    <t xml:space="preserve">aarna.nagarajan119@example.com</t>
  </si>
  <si>
    <t xml:space="preserve">6854870998</t>
  </si>
  <si>
    <t xml:space="preserve">Nirja Lalla</t>
  </si>
  <si>
    <t xml:space="preserve">nirja.lalla120@example.com</t>
  </si>
  <si>
    <t xml:space="preserve">0246299606</t>
  </si>
  <si>
    <t xml:space="preserve">Vedant Desai</t>
  </si>
  <si>
    <t xml:space="preserve">vedant.desai121@example.com</t>
  </si>
  <si>
    <t xml:space="preserve">9137367850</t>
  </si>
  <si>
    <t xml:space="preserve">Tanmayi Bedi</t>
  </si>
  <si>
    <t xml:space="preserve">tanmayi.bedi122@example.com</t>
  </si>
  <si>
    <t xml:space="preserve">8610357972</t>
  </si>
  <si>
    <t xml:space="preserve">Tanish Kant</t>
  </si>
  <si>
    <t xml:space="preserve">tanish.kant123@example.com</t>
  </si>
  <si>
    <t xml:space="preserve">0072290349</t>
  </si>
  <si>
    <t xml:space="preserve">Harsh Amble</t>
  </si>
  <si>
    <t xml:space="preserve">harsh.amble124@example.com</t>
  </si>
  <si>
    <t xml:space="preserve">4417154544</t>
  </si>
  <si>
    <t xml:space="preserve">Nidhi Rama</t>
  </si>
  <si>
    <t xml:space="preserve">nidhi.rama125@example.com</t>
  </si>
  <si>
    <t xml:space="preserve">7584282417</t>
  </si>
  <si>
    <t xml:space="preserve">C0126</t>
  </si>
  <si>
    <t xml:space="preserve">Chaitaly Sheth</t>
  </si>
  <si>
    <t xml:space="preserve">chaitaly.sheth126@example.com</t>
  </si>
  <si>
    <t xml:space="preserve">9173816846</t>
  </si>
  <si>
    <t xml:space="preserve">Peter Munshi</t>
  </si>
  <si>
    <t xml:space="preserve">peter.munshi127@example.com</t>
  </si>
  <si>
    <t xml:space="preserve">2927129666</t>
  </si>
  <si>
    <t xml:space="preserve">Yuvraj Kara</t>
  </si>
  <si>
    <t xml:space="preserve">yuvraj.kara128@example.com</t>
  </si>
  <si>
    <t xml:space="preserve">6894210447</t>
  </si>
  <si>
    <t xml:space="preserve">siddharth.bains129@example.com</t>
  </si>
  <si>
    <t xml:space="preserve">6489090100</t>
  </si>
  <si>
    <t xml:space="preserve">Anamika Devan</t>
  </si>
  <si>
    <t xml:space="preserve">anamika.devan130@example.com</t>
  </si>
  <si>
    <t xml:space="preserve">4117393483</t>
  </si>
  <si>
    <t xml:space="preserve">Wakeeta Dixit</t>
  </si>
  <si>
    <t xml:space="preserve">wakeeta.dixit131@example.com</t>
  </si>
  <si>
    <t xml:space="preserve">7447012045</t>
  </si>
  <si>
    <t xml:space="preserve">Girik Pradhan</t>
  </si>
  <si>
    <t xml:space="preserve">girik.pradhan132@example.com</t>
  </si>
  <si>
    <t xml:space="preserve">7467621202</t>
  </si>
  <si>
    <t xml:space="preserve">C0133</t>
  </si>
  <si>
    <t xml:space="preserve">Vinaya Chowdhury</t>
  </si>
  <si>
    <t xml:space="preserve">vinaya.chowdhury133@example.com</t>
  </si>
  <si>
    <t xml:space="preserve">5089935889</t>
  </si>
  <si>
    <t xml:space="preserve">Falan Swamy</t>
  </si>
  <si>
    <t xml:space="preserve">falan.swamy134@example.com</t>
  </si>
  <si>
    <t xml:space="preserve">3866317797</t>
  </si>
  <si>
    <t xml:space="preserve">Gavin Modi</t>
  </si>
  <si>
    <t xml:space="preserve">gavin.modi135@example.com</t>
  </si>
  <si>
    <t xml:space="preserve">0375899757</t>
  </si>
  <si>
    <t xml:space="preserve">Aachal Hayre</t>
  </si>
  <si>
    <t xml:space="preserve">aachal.hayre136@example.com</t>
  </si>
  <si>
    <t xml:space="preserve">5160917798</t>
  </si>
  <si>
    <t xml:space="preserve">Ekanta Thaman</t>
  </si>
  <si>
    <t xml:space="preserve">ekanta.thaman137@example.com</t>
  </si>
  <si>
    <t xml:space="preserve">6547226984</t>
  </si>
  <si>
    <t xml:space="preserve">Varsha Sahni</t>
  </si>
  <si>
    <t xml:space="preserve">varsha.sahni138@example.com</t>
  </si>
  <si>
    <t xml:space="preserve">1062003424</t>
  </si>
  <si>
    <t xml:space="preserve">Lopa Khanna</t>
  </si>
  <si>
    <t xml:space="preserve">lopa.khanna139@example.com</t>
  </si>
  <si>
    <t xml:space="preserve">6580043973</t>
  </si>
  <si>
    <t xml:space="preserve">C0140</t>
  </si>
  <si>
    <t xml:space="preserve">Krishna Baria</t>
  </si>
  <si>
    <t xml:space="preserve">krishna.baria140@example.com</t>
  </si>
  <si>
    <t xml:space="preserve">4057202590</t>
  </si>
  <si>
    <t xml:space="preserve">C0141</t>
  </si>
  <si>
    <t xml:space="preserve">Netra Chanda</t>
  </si>
  <si>
    <t xml:space="preserve">netra.chanda141@example.com</t>
  </si>
  <si>
    <t xml:space="preserve">4398780157</t>
  </si>
  <si>
    <t xml:space="preserve">zansi.prasad142@example.com</t>
  </si>
  <si>
    <t xml:space="preserve">3581128801</t>
  </si>
  <si>
    <t xml:space="preserve">Chatura Gokhale</t>
  </si>
  <si>
    <t xml:space="preserve">chatura.gokhale143@example.com</t>
  </si>
  <si>
    <t xml:space="preserve">6676650618</t>
  </si>
  <si>
    <t xml:space="preserve">Raksha Raj</t>
  </si>
  <si>
    <t xml:space="preserve">raksha.raj144@example.com</t>
  </si>
  <si>
    <t xml:space="preserve">3268424508</t>
  </si>
  <si>
    <t xml:space="preserve">Yauvani Dhar</t>
  </si>
  <si>
    <t xml:space="preserve">yauvani.dhar145@example.com</t>
  </si>
  <si>
    <t xml:space="preserve">1290878141</t>
  </si>
  <si>
    <t xml:space="preserve">Vedika Seshadri</t>
  </si>
  <si>
    <t xml:space="preserve">vedika.seshadri146@example.com</t>
  </si>
  <si>
    <t xml:space="preserve">C0147</t>
  </si>
  <si>
    <t xml:space="preserve">Finn Mand</t>
  </si>
  <si>
    <t xml:space="preserve">finn.mand147@example.com</t>
  </si>
  <si>
    <t xml:space="preserve">1108099693</t>
  </si>
  <si>
    <t xml:space="preserve">ucchal.thaker148@example.com</t>
  </si>
  <si>
    <t xml:space="preserve">3928272299</t>
  </si>
  <si>
    <t xml:space="preserve">Zarna Patel</t>
  </si>
  <si>
    <t xml:space="preserve">zarna.patel149@example.com</t>
  </si>
  <si>
    <t xml:space="preserve">1844989266</t>
  </si>
  <si>
    <t xml:space="preserve">Yachana Dewan</t>
  </si>
  <si>
    <t xml:space="preserve">yachana.dewan150@example.com</t>
  </si>
  <si>
    <t xml:space="preserve">3222591365</t>
  </si>
  <si>
    <t xml:space="preserve">ekanta.thaman137@gmail.com</t>
  </si>
  <si>
    <t xml:space="preserve">C0171</t>
  </si>
  <si>
    <t xml:space="preserve">adweta.lad59@gmail.com</t>
  </si>
  <si>
    <t xml:space="preserve">C0172</t>
  </si>
  <si>
    <t xml:space="preserve">siddharth.bains129@gmail.com</t>
  </si>
  <si>
    <t xml:space="preserve">raksha.raj144@gmail.com</t>
  </si>
  <si>
    <t xml:space="preserve">yagnesh.varty91@gmail.com</t>
  </si>
  <si>
    <t xml:space="preserve">farhan.vaidya102@gmail.com</t>
  </si>
  <si>
    <t xml:space="preserve">tanay.toor11@gmail.com</t>
  </si>
  <si>
    <t xml:space="preserve">supplier_key</t>
  </si>
  <si>
    <t xml:space="preserve">supplier_id</t>
  </si>
  <si>
    <t xml:space="preserve">supplier_name</t>
  </si>
  <si>
    <t xml:space="preserve">is_preferred</t>
  </si>
  <si>
    <t xml:space="preserve">rating_raw</t>
  </si>
  <si>
    <t xml:space="preserve">rating_normalized</t>
  </si>
  <si>
    <t xml:space="preserve">contract_start_date</t>
  </si>
  <si>
    <t xml:space="preserve">Unknown supplier</t>
  </si>
  <si>
    <t xml:space="preserve">No</t>
  </si>
  <si>
    <t xml:space="preserve">Yes</t>
  </si>
  <si>
    <t xml:space="preserve">product_key</t>
  </si>
  <si>
    <t xml:space="preserve">sub_category</t>
  </si>
  <si>
    <t xml:space="preserve">cost_price</t>
  </si>
  <si>
    <t xml:space="preserve">launch_date</t>
  </si>
  <si>
    <t xml:space="preserve">Unknown product</t>
  </si>
  <si>
    <t xml:space="preserve">Accessories</t>
  </si>
  <si>
    <t xml:space="preserve">Furniture</t>
  </si>
  <si>
    <t xml:space="preserve">P003</t>
  </si>
  <si>
    <t xml:space="preserve">Staples Item 3</t>
  </si>
  <si>
    <t xml:space="preserve">Staples</t>
  </si>
  <si>
    <t xml:space="preserve">Appliances</t>
  </si>
  <si>
    <t xml:space="preserve">Outdoor</t>
  </si>
  <si>
    <t xml:space="preserve">Menswear</t>
  </si>
  <si>
    <t xml:space="preserve">Furniture Item 9</t>
  </si>
  <si>
    <t xml:space="preserve">Beverages Item 11</t>
  </si>
  <si>
    <t xml:space="preserve">Beverages</t>
  </si>
  <si>
    <t xml:space="preserve">Audio Item 14</t>
  </si>
  <si>
    <t xml:space="preserve">Audio</t>
  </si>
  <si>
    <t xml:space="preserve">Team Sports Item 15</t>
  </si>
  <si>
    <t xml:space="preserve">Team Sports</t>
  </si>
  <si>
    <t xml:space="preserve">Footwear</t>
  </si>
  <si>
    <t xml:space="preserve">Furniture Item 17</t>
  </si>
  <si>
    <t xml:space="preserve">Team Sports Item 18</t>
  </si>
  <si>
    <t xml:space="preserve">Fitness</t>
  </si>
  <si>
    <t xml:space="preserve">Footwear Item 22</t>
  </si>
  <si>
    <t xml:space="preserve">Footwear Item 24</t>
  </si>
  <si>
    <t xml:space="preserve">Womenswear Item 25</t>
  </si>
  <si>
    <t xml:space="preserve">Womenswear</t>
  </si>
  <si>
    <t xml:space="preserve">Footwear Item 26</t>
  </si>
  <si>
    <t xml:space="preserve">Furniture Item 29</t>
  </si>
  <si>
    <t xml:space="preserve">Furniture Item 30</t>
  </si>
  <si>
    <t xml:space="preserve">Womenswear Item 32</t>
  </si>
  <si>
    <t xml:space="preserve">Outdoor Item 33</t>
  </si>
  <si>
    <t xml:space="preserve">Cookware Item 35</t>
  </si>
  <si>
    <t xml:space="preserve">Cookware</t>
  </si>
  <si>
    <t xml:space="preserve">Mobiles</t>
  </si>
  <si>
    <t xml:space="preserve">Womenswear Item 38</t>
  </si>
  <si>
    <t xml:space="preserve">Furniture Item 43</t>
  </si>
  <si>
    <t xml:space="preserve">Footwear Item 45</t>
  </si>
  <si>
    <t xml:space="preserve">Audio Item 46</t>
  </si>
  <si>
    <t xml:space="preserve">Staples Item 47</t>
  </si>
  <si>
    <t xml:space="preserve">Staples Item 48</t>
  </si>
  <si>
    <t xml:space="preserve">Beverages Item 50</t>
  </si>
  <si>
    <t xml:space="preserve">Womenswear Item 52</t>
  </si>
  <si>
    <t xml:space="preserve">Snacks Item 58</t>
  </si>
  <si>
    <t xml:space="preserve">Snacks</t>
  </si>
  <si>
    <t xml:space="preserve">Womenswear Item 64</t>
  </si>
  <si>
    <t xml:space="preserve">Staples Item 66</t>
  </si>
  <si>
    <t xml:space="preserve">Appliances Item 67</t>
  </si>
  <si>
    <t xml:space="preserve">Mobiles Item 69</t>
  </si>
  <si>
    <t xml:space="preserve">Footwear Item 70 (Revised)</t>
  </si>
  <si>
    <t xml:space="preserve">date_key</t>
  </si>
  <si>
    <t xml:space="preserve">month_name</t>
  </si>
  <si>
    <t xml:space="preserve">is_weekend</t>
  </si>
  <si>
    <t xml:space="preserve">full_date</t>
  </si>
  <si>
    <t xml:space="preserve">year</t>
  </si>
  <si>
    <t xml:space="preserve">quarter</t>
  </si>
  <si>
    <t xml:space="preserve">month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</si>
  <si>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</si>
  <si>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</si>
  <si>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</si>
  <si>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</si>
  <si>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</si>
  <si>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</si>
  <si>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</si>
  <si>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</si>
  <si>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</si>
  <si>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</si>
  <si>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</si>
  <si>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</si>
  <si>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fact_order_key</t>
  </si>
  <si>
    <t xml:space="preserve">order_date_key</t>
  </si>
  <si>
    <t xml:space="preserve">promo_code</t>
  </si>
  <si>
    <t xml:space="preserve">shipping_city</t>
  </si>
  <si>
    <t xml:space="preserve">is_returned</t>
  </si>
  <si>
    <t xml:space="preserve">price_imputed</t>
  </si>
  <si>
    <t xml:space="preserve">discount_imputed</t>
  </si>
  <si>
    <t xml:space="preserve">PROMO9</t>
  </si>
  <si>
    <t xml:space="preserve">PROMO14</t>
  </si>
  <si>
    <t xml:space="preserve">PROMO15</t>
  </si>
  <si>
    <t xml:space="preserve">PROMO16</t>
  </si>
  <si>
    <t xml:space="preserve">PROMO17</t>
  </si>
  <si>
    <t xml:space="preserve">PROMO12</t>
  </si>
  <si>
    <t xml:space="preserve">PROMO18</t>
  </si>
  <si>
    <t xml:space="preserve">PROMO1</t>
  </si>
  <si>
    <t xml:space="preserve">PROMO4</t>
  </si>
  <si>
    <t xml:space="preserve">PROMO10</t>
  </si>
  <si>
    <t xml:space="preserve">PROMO20</t>
  </si>
  <si>
    <t xml:space="preserve">PROMO19</t>
  </si>
  <si>
    <t xml:space="preserve">PROMO5</t>
  </si>
  <si>
    <t xml:space="preserve">PROMO11</t>
  </si>
  <si>
    <t xml:space="preserve">PROMO8</t>
  </si>
  <si>
    <t xml:space="preserve">PROMO6</t>
  </si>
  <si>
    <t xml:space="preserve">PROMO2</t>
  </si>
  <si>
    <t xml:space="preserve">PROMO3</t>
  </si>
  <si>
    <t xml:space="preserve">PROMO7</t>
  </si>
  <si>
    <t xml:space="preserve">PROMO13</t>
  </si>
  <si>
    <t xml:space="preserve">fact_payment_key</t>
  </si>
  <si>
    <t xml:space="preserve">payment_id</t>
  </si>
  <si>
    <t xml:space="preserve">payment_date_key</t>
  </si>
  <si>
    <t xml:space="preserve">payment_method</t>
  </si>
  <si>
    <t xml:space="preserve">payment_status</t>
  </si>
  <si>
    <t xml:space="preserve">amount_paid</t>
  </si>
  <si>
    <t xml:space="preserve">is_orphan_order</t>
  </si>
  <si>
    <t xml:space="preserve">PM00001</t>
  </si>
  <si>
    <t xml:space="preserve">Credit Card</t>
  </si>
  <si>
    <t xml:space="preserve">PM00002</t>
  </si>
  <si>
    <t xml:space="preserve">Netbanking</t>
  </si>
  <si>
    <t xml:space="preserve">PM00003</t>
  </si>
  <si>
    <t xml:space="preserve">Debit Card</t>
  </si>
  <si>
    <t xml:space="preserve">PM00004</t>
  </si>
  <si>
    <t xml:space="preserve">PM00005</t>
  </si>
  <si>
    <t xml:space="preserve">PM00006</t>
  </si>
  <si>
    <t xml:space="preserve">Cod</t>
  </si>
  <si>
    <t xml:space="preserve">PM00007</t>
  </si>
  <si>
    <t xml:space="preserve">PM00008</t>
  </si>
  <si>
    <t xml:space="preserve">PM00009</t>
  </si>
  <si>
    <t xml:space="preserve">PM00010</t>
  </si>
  <si>
    <t xml:space="preserve">PM00011</t>
  </si>
  <si>
    <t xml:space="preserve">PM00012</t>
  </si>
  <si>
    <t xml:space="preserve">PM00013</t>
  </si>
  <si>
    <t xml:space="preserve">PM00014</t>
  </si>
  <si>
    <t xml:space="preserve">PM00015</t>
  </si>
  <si>
    <t xml:space="preserve">Upi</t>
  </si>
  <si>
    <t xml:space="preserve">PM00016</t>
  </si>
  <si>
    <t xml:space="preserve">PM00017</t>
  </si>
  <si>
    <t xml:space="preserve">PM00018</t>
  </si>
  <si>
    <t xml:space="preserve">PM00019</t>
  </si>
  <si>
    <t xml:space="preserve">PM00020</t>
  </si>
  <si>
    <t xml:space="preserve">PM00021</t>
  </si>
  <si>
    <t xml:space="preserve">PM00022</t>
  </si>
  <si>
    <t xml:space="preserve">PM00023</t>
  </si>
  <si>
    <t xml:space="preserve">PM00024</t>
  </si>
  <si>
    <t xml:space="preserve">PM00025</t>
  </si>
  <si>
    <t xml:space="preserve">PM00026</t>
  </si>
  <si>
    <t xml:space="preserve">PM00027</t>
  </si>
  <si>
    <t xml:space="preserve">PM00028</t>
  </si>
  <si>
    <t xml:space="preserve">PM00029</t>
  </si>
  <si>
    <t xml:space="preserve">PM00030</t>
  </si>
  <si>
    <t xml:space="preserve">PM00031</t>
  </si>
  <si>
    <t xml:space="preserve">PM00032</t>
  </si>
  <si>
    <t xml:space="preserve">PM00033</t>
  </si>
  <si>
    <t xml:space="preserve">PM00034</t>
  </si>
  <si>
    <t xml:space="preserve">PM00035</t>
  </si>
  <si>
    <t xml:space="preserve">PM00036</t>
  </si>
  <si>
    <t xml:space="preserve">PM00037</t>
  </si>
  <si>
    <t xml:space="preserve">PM00038</t>
  </si>
  <si>
    <t xml:space="preserve">PM00039</t>
  </si>
  <si>
    <t xml:space="preserve">PM00040</t>
  </si>
  <si>
    <t xml:space="preserve">PM00041</t>
  </si>
  <si>
    <t xml:space="preserve">PM00042</t>
  </si>
  <si>
    <t xml:space="preserve">PM00043</t>
  </si>
  <si>
    <t xml:space="preserve">PM00044</t>
  </si>
  <si>
    <t xml:space="preserve">PM00045</t>
  </si>
  <si>
    <t xml:space="preserve">PM00046</t>
  </si>
  <si>
    <t xml:space="preserve">PM00047</t>
  </si>
  <si>
    <t xml:space="preserve">PM00048</t>
  </si>
  <si>
    <t xml:space="preserve">PM00049</t>
  </si>
  <si>
    <t xml:space="preserve">PM00050</t>
  </si>
  <si>
    <t xml:space="preserve">PM00051</t>
  </si>
  <si>
    <t xml:space="preserve">PM00052</t>
  </si>
  <si>
    <t xml:space="preserve">PM00053</t>
  </si>
  <si>
    <t xml:space="preserve">PM00054</t>
  </si>
  <si>
    <t xml:space="preserve">PM00055</t>
  </si>
  <si>
    <t xml:space="preserve">PM00056</t>
  </si>
  <si>
    <t xml:space="preserve">PM00057</t>
  </si>
  <si>
    <t xml:space="preserve">PM00058</t>
  </si>
  <si>
    <t xml:space="preserve">PM00059</t>
  </si>
  <si>
    <t xml:space="preserve">PM00060</t>
  </si>
  <si>
    <t xml:space="preserve">PM00061</t>
  </si>
  <si>
    <t xml:space="preserve">PM00062</t>
  </si>
  <si>
    <t xml:space="preserve">PM00063</t>
  </si>
  <si>
    <t xml:space="preserve">PM00064</t>
  </si>
  <si>
    <t xml:space="preserve">PM00065</t>
  </si>
  <si>
    <t xml:space="preserve">PM00066</t>
  </si>
  <si>
    <t xml:space="preserve">PM00067</t>
  </si>
  <si>
    <t xml:space="preserve">PM00068</t>
  </si>
  <si>
    <t xml:space="preserve">PM00069</t>
  </si>
  <si>
    <t xml:space="preserve">PM00070</t>
  </si>
  <si>
    <t xml:space="preserve">PM00071</t>
  </si>
  <si>
    <t xml:space="preserve">PM00072</t>
  </si>
  <si>
    <t xml:space="preserve">PM00073</t>
  </si>
  <si>
    <t xml:space="preserve">PM00074</t>
  </si>
  <si>
    <t xml:space="preserve">PM00075</t>
  </si>
  <si>
    <t xml:space="preserve">PM00076</t>
  </si>
  <si>
    <t xml:space="preserve">PM00077</t>
  </si>
  <si>
    <t xml:space="preserve">PM00078</t>
  </si>
  <si>
    <t xml:space="preserve">PM00079</t>
  </si>
  <si>
    <t xml:space="preserve">PM00080</t>
  </si>
  <si>
    <t xml:space="preserve">PM00081</t>
  </si>
  <si>
    <t xml:space="preserve">PM00082</t>
  </si>
  <si>
    <t xml:space="preserve">PM00083</t>
  </si>
  <si>
    <t xml:space="preserve">PM00084</t>
  </si>
  <si>
    <t xml:space="preserve">PM00085</t>
  </si>
  <si>
    <t xml:space="preserve">PM00086</t>
  </si>
  <si>
    <t xml:space="preserve">PM00087</t>
  </si>
  <si>
    <t xml:space="preserve">PM00088</t>
  </si>
  <si>
    <t xml:space="preserve">PM00089</t>
  </si>
  <si>
    <t xml:space="preserve">PM00090</t>
  </si>
  <si>
    <t xml:space="preserve">PM00091</t>
  </si>
  <si>
    <t xml:space="preserve">PM00092</t>
  </si>
  <si>
    <t xml:space="preserve">PM00093</t>
  </si>
  <si>
    <t xml:space="preserve">PM00094</t>
  </si>
  <si>
    <t xml:space="preserve">PM00095</t>
  </si>
  <si>
    <t xml:space="preserve">PM00096</t>
  </si>
  <si>
    <t xml:space="preserve">PM00097</t>
  </si>
  <si>
    <t xml:space="preserve">PM00098</t>
  </si>
  <si>
    <t xml:space="preserve">PM00099</t>
  </si>
  <si>
    <t xml:space="preserve">PM00100</t>
  </si>
  <si>
    <t xml:space="preserve">PM00101</t>
  </si>
  <si>
    <t xml:space="preserve">PM00102</t>
  </si>
  <si>
    <t xml:space="preserve">PM00103</t>
  </si>
  <si>
    <t xml:space="preserve">PM00104</t>
  </si>
  <si>
    <t xml:space="preserve">PM00105</t>
  </si>
  <si>
    <t xml:space="preserve">PM00106</t>
  </si>
  <si>
    <t xml:space="preserve">PM00107</t>
  </si>
  <si>
    <t xml:space="preserve">PM00108</t>
  </si>
  <si>
    <t xml:space="preserve">PM00109</t>
  </si>
  <si>
    <t xml:space="preserve">PM00110</t>
  </si>
  <si>
    <t xml:space="preserve">PM00111</t>
  </si>
  <si>
    <t xml:space="preserve">PM00112</t>
  </si>
  <si>
    <t xml:space="preserve">PM00113</t>
  </si>
  <si>
    <t xml:space="preserve">PM00114</t>
  </si>
  <si>
    <t xml:space="preserve">PM00115</t>
  </si>
  <si>
    <t xml:space="preserve">PM00116</t>
  </si>
  <si>
    <t xml:space="preserve">PM00117</t>
  </si>
  <si>
    <t xml:space="preserve">PM00118</t>
  </si>
  <si>
    <t xml:space="preserve">PM00119</t>
  </si>
  <si>
    <t xml:space="preserve">PM00120</t>
  </si>
  <si>
    <t xml:space="preserve">PM00121</t>
  </si>
  <si>
    <t xml:space="preserve">PM00122</t>
  </si>
  <si>
    <t xml:space="preserve">PM00123</t>
  </si>
  <si>
    <t xml:space="preserve">PM00124</t>
  </si>
  <si>
    <t xml:space="preserve">PM00125</t>
  </si>
  <si>
    <t xml:space="preserve">PM00126</t>
  </si>
  <si>
    <t xml:space="preserve">PM00127</t>
  </si>
  <si>
    <t xml:space="preserve">PM00128</t>
  </si>
  <si>
    <t xml:space="preserve">PM00129</t>
  </si>
  <si>
    <t xml:space="preserve">PM00130</t>
  </si>
  <si>
    <t xml:space="preserve">PM00131</t>
  </si>
  <si>
    <t xml:space="preserve">PM00132</t>
  </si>
  <si>
    <t xml:space="preserve">PM00133</t>
  </si>
  <si>
    <t xml:space="preserve">PM00134</t>
  </si>
  <si>
    <t xml:space="preserve">PM00135</t>
  </si>
  <si>
    <t xml:space="preserve">PM00136</t>
  </si>
  <si>
    <t xml:space="preserve">PM00137</t>
  </si>
  <si>
    <t xml:space="preserve">PM00138</t>
  </si>
  <si>
    <t xml:space="preserve">PM00139</t>
  </si>
  <si>
    <t xml:space="preserve">PM00140</t>
  </si>
  <si>
    <t xml:space="preserve">PM00141</t>
  </si>
  <si>
    <t xml:space="preserve">PM00142</t>
  </si>
  <si>
    <t xml:space="preserve">PM00143</t>
  </si>
  <si>
    <t xml:space="preserve">PM00144</t>
  </si>
  <si>
    <t xml:space="preserve">PM00145</t>
  </si>
  <si>
    <t xml:space="preserve">PM00146</t>
  </si>
  <si>
    <t xml:space="preserve">PM00147</t>
  </si>
  <si>
    <t xml:space="preserve">PM00148</t>
  </si>
  <si>
    <t xml:space="preserve">PM00149</t>
  </si>
  <si>
    <t xml:space="preserve">PM00150</t>
  </si>
  <si>
    <t xml:space="preserve">PM00151</t>
  </si>
  <si>
    <t xml:space="preserve">PM00152</t>
  </si>
  <si>
    <t xml:space="preserve">PM00153</t>
  </si>
  <si>
    <t xml:space="preserve">PM00154</t>
  </si>
  <si>
    <t xml:space="preserve">PM00155</t>
  </si>
  <si>
    <t xml:space="preserve">PM00156</t>
  </si>
  <si>
    <t xml:space="preserve">PM00157</t>
  </si>
  <si>
    <t xml:space="preserve">PM00158</t>
  </si>
  <si>
    <t xml:space="preserve">PM00159</t>
  </si>
  <si>
    <t xml:space="preserve">PM00160</t>
  </si>
  <si>
    <t xml:space="preserve">PM00161</t>
  </si>
  <si>
    <t xml:space="preserve">PM00162</t>
  </si>
  <si>
    <t xml:space="preserve">PM00163</t>
  </si>
  <si>
    <t xml:space="preserve">PM00164</t>
  </si>
  <si>
    <t xml:space="preserve">PM00165</t>
  </si>
  <si>
    <t xml:space="preserve">PM00166</t>
  </si>
  <si>
    <t xml:space="preserve">PM00167</t>
  </si>
  <si>
    <t xml:space="preserve">PM00168</t>
  </si>
  <si>
    <t xml:space="preserve">PM00169</t>
  </si>
  <si>
    <t xml:space="preserve">PM00170</t>
  </si>
  <si>
    <t xml:space="preserve">PM00171</t>
  </si>
  <si>
    <t xml:space="preserve">PM00172</t>
  </si>
  <si>
    <t xml:space="preserve">PM00173</t>
  </si>
  <si>
    <t xml:space="preserve">PM00174</t>
  </si>
  <si>
    <t xml:space="preserve">PM00175</t>
  </si>
  <si>
    <t xml:space="preserve">PM00176</t>
  </si>
  <si>
    <t xml:space="preserve">PM00177</t>
  </si>
  <si>
    <t xml:space="preserve">PM00178</t>
  </si>
  <si>
    <t xml:space="preserve">PM00179</t>
  </si>
  <si>
    <t xml:space="preserve">PM00180</t>
  </si>
  <si>
    <t xml:space="preserve">PM00181</t>
  </si>
  <si>
    <t xml:space="preserve">PM00182</t>
  </si>
  <si>
    <t xml:space="preserve">PM00183</t>
  </si>
  <si>
    <t xml:space="preserve">PM00184</t>
  </si>
  <si>
    <t xml:space="preserve">PM00185</t>
  </si>
  <si>
    <t xml:space="preserve">PM00186</t>
  </si>
  <si>
    <t xml:space="preserve">PM00187</t>
  </si>
  <si>
    <t xml:space="preserve">PM00188</t>
  </si>
  <si>
    <t xml:space="preserve">PM00189</t>
  </si>
  <si>
    <t xml:space="preserve">PM00190</t>
  </si>
  <si>
    <t xml:space="preserve">PM00191</t>
  </si>
  <si>
    <t xml:space="preserve">PM00192</t>
  </si>
  <si>
    <t xml:space="preserve">PM00193</t>
  </si>
  <si>
    <t xml:space="preserve">PM00194</t>
  </si>
  <si>
    <t xml:space="preserve">PM00195</t>
  </si>
  <si>
    <t xml:space="preserve">PM00196</t>
  </si>
  <si>
    <t xml:space="preserve">PM00197</t>
  </si>
  <si>
    <t xml:space="preserve">PM00198</t>
  </si>
  <si>
    <t xml:space="preserve">PM00199</t>
  </si>
  <si>
    <t xml:space="preserve">PM00200</t>
  </si>
  <si>
    <t xml:space="preserve">PM00201</t>
  </si>
  <si>
    <t xml:space="preserve">PM00202</t>
  </si>
  <si>
    <t xml:space="preserve">PM00203</t>
  </si>
  <si>
    <t xml:space="preserve">PM00204</t>
  </si>
  <si>
    <t xml:space="preserve">PM00205</t>
  </si>
  <si>
    <t xml:space="preserve">PM00206</t>
  </si>
  <si>
    <t xml:space="preserve">PM00207</t>
  </si>
  <si>
    <t xml:space="preserve">PM00208</t>
  </si>
  <si>
    <t xml:space="preserve">PM00209</t>
  </si>
  <si>
    <t xml:space="preserve">PM00210</t>
  </si>
  <si>
    <t xml:space="preserve">PM00211</t>
  </si>
  <si>
    <t xml:space="preserve">PM00212</t>
  </si>
  <si>
    <t xml:space="preserve">PM00213</t>
  </si>
  <si>
    <t xml:space="preserve">PM00214</t>
  </si>
  <si>
    <t xml:space="preserve">PM00215</t>
  </si>
  <si>
    <t xml:space="preserve">PM00216</t>
  </si>
  <si>
    <t xml:space="preserve">PM00217</t>
  </si>
  <si>
    <t xml:space="preserve">PM00218</t>
  </si>
  <si>
    <t xml:space="preserve">PM00219</t>
  </si>
  <si>
    <t xml:space="preserve">PM00220</t>
  </si>
  <si>
    <t xml:space="preserve">PM00221</t>
  </si>
  <si>
    <t xml:space="preserve">PM00222</t>
  </si>
  <si>
    <t xml:space="preserve">PM00223</t>
  </si>
  <si>
    <t xml:space="preserve">PM00224</t>
  </si>
  <si>
    <t xml:space="preserve">PM00225</t>
  </si>
  <si>
    <t xml:space="preserve">PM00226</t>
  </si>
  <si>
    <t xml:space="preserve">PM00227</t>
  </si>
  <si>
    <t xml:space="preserve">PM00228</t>
  </si>
  <si>
    <t xml:space="preserve">PM00229</t>
  </si>
  <si>
    <t xml:space="preserve">PM00230</t>
  </si>
  <si>
    <t xml:space="preserve">PM00231</t>
  </si>
  <si>
    <t xml:space="preserve">PM00232</t>
  </si>
  <si>
    <t xml:space="preserve">PM00233</t>
  </si>
  <si>
    <t xml:space="preserve">PM00234</t>
  </si>
  <si>
    <t xml:space="preserve">PM00235</t>
  </si>
  <si>
    <t xml:space="preserve">PM00236</t>
  </si>
  <si>
    <t xml:space="preserve">PM00237</t>
  </si>
  <si>
    <t xml:space="preserve">PM00238</t>
  </si>
  <si>
    <t xml:space="preserve">PM00239</t>
  </si>
  <si>
    <t xml:space="preserve">PM00240</t>
  </si>
  <si>
    <t xml:space="preserve">PM00241</t>
  </si>
  <si>
    <t xml:space="preserve">PM00242</t>
  </si>
  <si>
    <t xml:space="preserve">PM00243</t>
  </si>
  <si>
    <t xml:space="preserve">PM00244</t>
  </si>
  <si>
    <t xml:space="preserve">PM00245</t>
  </si>
  <si>
    <t xml:space="preserve">PM00246</t>
  </si>
  <si>
    <t xml:space="preserve">PM00247</t>
  </si>
  <si>
    <t xml:space="preserve">PM00248</t>
  </si>
  <si>
    <t xml:space="preserve">PM00249</t>
  </si>
  <si>
    <t xml:space="preserve">PM00250</t>
  </si>
  <si>
    <t xml:space="preserve">PM00251</t>
  </si>
  <si>
    <t xml:space="preserve">PM00252</t>
  </si>
  <si>
    <t xml:space="preserve">PM00253</t>
  </si>
  <si>
    <t xml:space="preserve">PM00254</t>
  </si>
  <si>
    <t xml:space="preserve">PM00255</t>
  </si>
  <si>
    <t xml:space="preserve">PM00256</t>
  </si>
  <si>
    <t xml:space="preserve">PM00257</t>
  </si>
  <si>
    <t xml:space="preserve">PM00258</t>
  </si>
  <si>
    <t xml:space="preserve">PM00259</t>
  </si>
  <si>
    <t xml:space="preserve">PM00260</t>
  </si>
  <si>
    <t xml:space="preserve">PM00261</t>
  </si>
  <si>
    <t xml:space="preserve">PM00262</t>
  </si>
  <si>
    <t xml:space="preserve">PM00263</t>
  </si>
  <si>
    <t xml:space="preserve">PM00264</t>
  </si>
  <si>
    <t xml:space="preserve">PM00265</t>
  </si>
  <si>
    <t xml:space="preserve">PM00266</t>
  </si>
  <si>
    <t xml:space="preserve">PM00267</t>
  </si>
  <si>
    <t xml:space="preserve">PM00268</t>
  </si>
  <si>
    <t xml:space="preserve">PM00269</t>
  </si>
  <si>
    <t xml:space="preserve">PM00270</t>
  </si>
  <si>
    <t xml:space="preserve">PM00271</t>
  </si>
  <si>
    <t xml:space="preserve">PM00272</t>
  </si>
  <si>
    <t xml:space="preserve">PM00273</t>
  </si>
  <si>
    <t xml:space="preserve">PM00274</t>
  </si>
  <si>
    <t xml:space="preserve">PM00275</t>
  </si>
  <si>
    <t xml:space="preserve">PM00276</t>
  </si>
  <si>
    <t xml:space="preserve">PM00277</t>
  </si>
  <si>
    <t xml:space="preserve">PM00278</t>
  </si>
  <si>
    <t xml:space="preserve">PM00279</t>
  </si>
  <si>
    <t xml:space="preserve">PM00280</t>
  </si>
  <si>
    <t xml:space="preserve">PM00281</t>
  </si>
  <si>
    <t xml:space="preserve">PM00282</t>
  </si>
  <si>
    <t xml:space="preserve">PM00283</t>
  </si>
  <si>
    <t xml:space="preserve">PM00284</t>
  </si>
  <si>
    <t xml:space="preserve">PM00285</t>
  </si>
  <si>
    <t xml:space="preserve">PM00286</t>
  </si>
  <si>
    <t xml:space="preserve">PM00287</t>
  </si>
  <si>
    <t xml:space="preserve">PM00288</t>
  </si>
  <si>
    <t xml:space="preserve">PM00289</t>
  </si>
  <si>
    <t xml:space="preserve">PM00290</t>
  </si>
  <si>
    <t xml:space="preserve">PM00291</t>
  </si>
  <si>
    <t xml:space="preserve">PM00292</t>
  </si>
  <si>
    <t xml:space="preserve">PM00293</t>
  </si>
  <si>
    <t xml:space="preserve">PM00294</t>
  </si>
  <si>
    <t xml:space="preserve">PM00295</t>
  </si>
  <si>
    <t xml:space="preserve">PM00296</t>
  </si>
  <si>
    <t xml:space="preserve">PM00297</t>
  </si>
  <si>
    <t xml:space="preserve">PM00298</t>
  </si>
  <si>
    <t xml:space="preserve">PM00299</t>
  </si>
  <si>
    <t xml:space="preserve">PM00300</t>
  </si>
  <si>
    <t xml:space="preserve">PM00301</t>
  </si>
  <si>
    <t xml:space="preserve">PM00302</t>
  </si>
  <si>
    <t xml:space="preserve">PM00303</t>
  </si>
  <si>
    <t xml:space="preserve">PM00304</t>
  </si>
  <si>
    <t xml:space="preserve">PM00305</t>
  </si>
  <si>
    <t xml:space="preserve">PM00306</t>
  </si>
  <si>
    <t xml:space="preserve">PM00307</t>
  </si>
  <si>
    <t xml:space="preserve">PM00308</t>
  </si>
  <si>
    <t xml:space="preserve">PM00309</t>
  </si>
  <si>
    <t xml:space="preserve">PM00310</t>
  </si>
  <si>
    <t xml:space="preserve">PM00311</t>
  </si>
  <si>
    <t xml:space="preserve">PM00312</t>
  </si>
  <si>
    <t xml:space="preserve">PM00313</t>
  </si>
  <si>
    <t xml:space="preserve">PM00314</t>
  </si>
  <si>
    <t xml:space="preserve">PM00315</t>
  </si>
  <si>
    <t xml:space="preserve">PM00316</t>
  </si>
  <si>
    <t xml:space="preserve">PM00317</t>
  </si>
  <si>
    <t xml:space="preserve">PM00318</t>
  </si>
  <si>
    <t xml:space="preserve">PM00319</t>
  </si>
  <si>
    <t xml:space="preserve">PM00320</t>
  </si>
  <si>
    <t xml:space="preserve">PM00321</t>
  </si>
  <si>
    <t xml:space="preserve">PM00322</t>
  </si>
  <si>
    <t xml:space="preserve">PM00323</t>
  </si>
  <si>
    <t xml:space="preserve">PM00324</t>
  </si>
  <si>
    <t xml:space="preserve">PM00325</t>
  </si>
  <si>
    <t xml:space="preserve">fact_return_key</t>
  </si>
  <si>
    <t xml:space="preserve">return_id</t>
  </si>
  <si>
    <t xml:space="preserve">return_date_key</t>
  </si>
  <si>
    <t xml:space="preserve">return_reason</t>
  </si>
  <si>
    <t xml:space="preserve">return_status</t>
  </si>
  <si>
    <t xml:space="preserve">refund_amount</t>
  </si>
  <si>
    <t xml:space="preserve">return_before_order</t>
  </si>
  <si>
    <t xml:space="preserve">R0001</t>
  </si>
  <si>
    <t xml:space="preserve">Not As Described</t>
  </si>
  <si>
    <t xml:space="preserve">Rejected</t>
  </si>
  <si>
    <t xml:space="preserve">R0002</t>
  </si>
  <si>
    <t xml:space="preserve">Approved</t>
  </si>
  <si>
    <t xml:space="preserve">R0003</t>
  </si>
  <si>
    <t xml:space="preserve">R0004</t>
  </si>
  <si>
    <t xml:space="preserve">Wrong Item</t>
  </si>
  <si>
    <t xml:space="preserve">R0005</t>
  </si>
  <si>
    <t xml:space="preserve">Size Issue</t>
  </si>
  <si>
    <t xml:space="preserve">R0006</t>
  </si>
  <si>
    <t xml:space="preserve">R0007</t>
  </si>
  <si>
    <t xml:space="preserve">R0008</t>
  </si>
  <si>
    <t xml:space="preserve">R0009</t>
  </si>
  <si>
    <t xml:space="preserve">Damged</t>
  </si>
  <si>
    <t xml:space="preserve">R0011</t>
  </si>
  <si>
    <t xml:space="preserve">R0012</t>
  </si>
  <si>
    <t xml:space="preserve">R0013</t>
  </si>
  <si>
    <t xml:space="preserve">R0014</t>
  </si>
  <si>
    <t xml:space="preserve">R0015</t>
  </si>
  <si>
    <t xml:space="preserve">R0016</t>
  </si>
  <si>
    <t xml:space="preserve">Defective</t>
  </si>
  <si>
    <t xml:space="preserve">R0017</t>
  </si>
  <si>
    <t xml:space="preserve">R0018</t>
  </si>
  <si>
    <t xml:space="preserve">R0019</t>
  </si>
  <si>
    <t xml:space="preserve">R0020</t>
  </si>
  <si>
    <t xml:space="preserve">R0021</t>
  </si>
  <si>
    <t xml:space="preserve">R0022</t>
  </si>
  <si>
    <t xml:space="preserve">R0024</t>
  </si>
  <si>
    <t xml:space="preserve">R0025</t>
  </si>
  <si>
    <t xml:space="preserve">R0026</t>
  </si>
  <si>
    <t xml:space="preserve">R0027</t>
  </si>
  <si>
    <t xml:space="preserve">R0028</t>
  </si>
  <si>
    <t xml:space="preserve">R0029</t>
  </si>
  <si>
    <t xml:space="preserve">R0030</t>
  </si>
  <si>
    <t xml:space="preserve">R0031</t>
  </si>
  <si>
    <t xml:space="preserve">R0032</t>
  </si>
  <si>
    <t xml:space="preserve">R0033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</si>
  <si>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</si>
  <si>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</si>
  <si>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</si>
  <si>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</si>
  <si>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</si>
  <si>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</si>
  <si>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</si>
  <si>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</si>
  <si>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</si>
  <si>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</si>
  <si>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</si>
  <si>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</si>
  <si>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</si>
  <si>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R0049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</si>
  <si>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</si>
  <si>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</si>
  <si>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</si>
  <si>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</si>
  <si>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</si>
  <si>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</si>
  <si>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</si>
  <si>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</si>
  <si>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</si>
  <si>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</si>
  <si>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R0061</t>
  </si>
  <si>
    <t xml:space="preserve">R0062</t>
  </si>
  <si>
    <t xml:space="preserve">R0063</t>
  </si>
  <si>
    <t xml:space="preserve">R0064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</si>
</sst>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#,##0"/>
    <numFmt numFmtId="167" formatCode="0.0%;\-0.0%;\-"/>
    <numFmt numFmtId="168" formatCode="0%"/>
    <numFmt numFmtId="169" formatCode="#,##0.00"/>
    <numFmt numFmtId="170" formatCode="0.00"/>
    <numFmt numFmtId="171" formatCode="0.0"/>
    <numFmt numFmtId="172" formatCode="yyyy\-mm\-dd"/>
    <numFmt numFmtId="173" formatCode="yyyy\-mm\-dd\ h:mm:ss"/>
    <numFmt numFmtId="17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0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color rgb="FF000000"/>
      <name val="Calibri"/>
      <family val="2"/>
    </font>
    <font>
      <b val="true"/>
      <sz val="18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1F6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7F8E"/>
      <rgbColor rgb="FFD9D9D9"/>
      <rgbColor rgb="FF878787"/>
      <rgbColor rgb="FF9999FF"/>
      <rgbColor rgb="FFC0504D"/>
      <rgbColor rgb="FFFFFFCC"/>
      <rgbColor rgb="FFEAF1F6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8A1E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KPI1_Net_Revenue!H4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a5f"/>
            </a:solidFill>
            <a:ln w="2484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KPI1_Net_Revenue!$A$5:$A$32</c:f>
              <c:strCache>
                <c:ptCount val="28"/>
                <c:pt idx="0">
                  <c:v>2020-10</c:v>
                </c:pt>
                <c:pt idx="1">
                  <c:v>2020-12</c:v>
                </c:pt>
                <c:pt idx="2">
                  <c:v>2021-05</c:v>
                </c:pt>
                <c:pt idx="3">
                  <c:v>2021-09</c:v>
                </c:pt>
                <c:pt idx="4">
                  <c:v>2022-10</c:v>
                </c:pt>
                <c:pt idx="5">
                  <c:v>2024-01</c:v>
                </c:pt>
                <c:pt idx="6">
                  <c:v>2024-02</c:v>
                </c:pt>
                <c:pt idx="7">
                  <c:v>2024-03</c:v>
                </c:pt>
                <c:pt idx="8">
                  <c:v>2024-04</c:v>
                </c:pt>
                <c:pt idx="9">
                  <c:v>2024-05</c:v>
                </c:pt>
                <c:pt idx="10">
                  <c:v>2024-06</c:v>
                </c:pt>
                <c:pt idx="11">
                  <c:v>2024-07</c:v>
                </c:pt>
                <c:pt idx="12">
                  <c:v>2024-08</c:v>
                </c:pt>
                <c:pt idx="13">
                  <c:v>2024-09</c:v>
                </c:pt>
                <c:pt idx="14">
                  <c:v>2024-10</c:v>
                </c:pt>
                <c:pt idx="15">
                  <c:v>2024-11</c:v>
                </c:pt>
                <c:pt idx="16">
                  <c:v>2024-12</c:v>
                </c:pt>
                <c:pt idx="17">
                  <c:v>2025-01</c:v>
                </c:pt>
                <c:pt idx="18">
                  <c:v>2025-02</c:v>
                </c:pt>
                <c:pt idx="19">
                  <c:v>2025-03</c:v>
                </c:pt>
                <c:pt idx="20">
                  <c:v>2025-04</c:v>
                </c:pt>
                <c:pt idx="21">
                  <c:v>2025-05</c:v>
                </c:pt>
                <c:pt idx="22">
                  <c:v>2025-06</c:v>
                </c:pt>
                <c:pt idx="23">
                  <c:v>2025-07</c:v>
                </c:pt>
                <c:pt idx="24">
                  <c:v>2025-08</c:v>
                </c:pt>
                <c:pt idx="25">
                  <c:v>2025-09</c:v>
                </c:pt>
                <c:pt idx="26">
                  <c:v>2025-10</c:v>
                </c:pt>
                <c:pt idx="27">
                  <c:v>2025-12</c:v>
                </c:pt>
              </c:strCache>
            </c:strRef>
          </c:cat>
          <c:val>
            <c:numRef>
              <c:f>KPI1_Net_Revenue!$H$5:$H$32</c:f>
              <c:numCache>
                <c:formatCode>#,##0;\(#,##0\);\-</c:formatCode>
                <c:ptCount val="28"/>
                <c:pt idx="0">
                  <c:v>45144.5</c:v>
                </c:pt>
                <c:pt idx="1">
                  <c:v>21122.18</c:v>
                </c:pt>
                <c:pt idx="2">
                  <c:v>104461.03</c:v>
                </c:pt>
                <c:pt idx="3">
                  <c:v>69278.72</c:v>
                </c:pt>
                <c:pt idx="4">
                  <c:v>109114.18</c:v>
                </c:pt>
                <c:pt idx="5">
                  <c:v>706719.58</c:v>
                </c:pt>
                <c:pt idx="6">
                  <c:v>759919.75</c:v>
                </c:pt>
                <c:pt idx="7">
                  <c:v>896068.37</c:v>
                </c:pt>
                <c:pt idx="8">
                  <c:v>530047.9</c:v>
                </c:pt>
                <c:pt idx="9">
                  <c:v>552650.66</c:v>
                </c:pt>
                <c:pt idx="10">
                  <c:v>1389892.01</c:v>
                </c:pt>
                <c:pt idx="11">
                  <c:v>596453.65</c:v>
                </c:pt>
                <c:pt idx="12">
                  <c:v>1109335.77</c:v>
                </c:pt>
                <c:pt idx="13">
                  <c:v>1184613.2</c:v>
                </c:pt>
                <c:pt idx="14">
                  <c:v>593709.2</c:v>
                </c:pt>
                <c:pt idx="15">
                  <c:v>1452712.66</c:v>
                </c:pt>
                <c:pt idx="16">
                  <c:v>882549.36</c:v>
                </c:pt>
                <c:pt idx="17">
                  <c:v>1041122.84</c:v>
                </c:pt>
                <c:pt idx="18">
                  <c:v>947195.89</c:v>
                </c:pt>
                <c:pt idx="19">
                  <c:v>653634.39</c:v>
                </c:pt>
                <c:pt idx="20">
                  <c:v>587999.64</c:v>
                </c:pt>
                <c:pt idx="21">
                  <c:v>702948.11</c:v>
                </c:pt>
                <c:pt idx="22">
                  <c:v>963542.31</c:v>
                </c:pt>
                <c:pt idx="23">
                  <c:v>775706.48</c:v>
                </c:pt>
                <c:pt idx="24">
                  <c:v>581758.18</c:v>
                </c:pt>
                <c:pt idx="25">
                  <c:v>1427184.44</c:v>
                </c:pt>
                <c:pt idx="26">
                  <c:v>342000.04</c:v>
                </c:pt>
                <c:pt idx="27">
                  <c:v>137682.78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30028"/>
        <c:axId val="10251732"/>
      </c:lineChart>
      <c:catAx>
        <c:axId val="93300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51732"/>
        <c:crosses val="autoZero"/>
        <c:auto val="1"/>
        <c:lblAlgn val="ctr"/>
        <c:lblOffset val="100"/>
        <c:noMultiLvlLbl val="0"/>
      </c:catAx>
      <c:valAx>
        <c:axId val="102517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00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f8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KPI1_Net_Revenue!$B$4:$G$4</c:f>
              <c:strCache>
                <c:ptCount val="6"/>
                <c:pt idx="0">
                  <c:v>Electronics</c:v>
                </c:pt>
                <c:pt idx="1">
                  <c:v>Fashion</c:v>
                </c:pt>
                <c:pt idx="2">
                  <c:v>Grocery</c:v>
                </c:pt>
                <c:pt idx="3">
                  <c:v>Home &amp; Kitchen</c:v>
                </c:pt>
                <c:pt idx="4">
                  <c:v>Sports</c:v>
                </c:pt>
                <c:pt idx="5">
                  <c:v>Unknown</c:v>
                </c:pt>
              </c:strCache>
            </c:strRef>
          </c:cat>
          <c:val>
            <c:numRef>
              <c:f>KPI1_Net_Revenue!$B$33:$G$33</c:f>
              <c:numCache>
                <c:formatCode>#,##0;\(#,##0\);\-</c:formatCode>
                <c:ptCount val="6"/>
                <c:pt idx="0">
                  <c:v>2569374.44</c:v>
                </c:pt>
                <c:pt idx="1">
                  <c:v>4024835.56</c:v>
                </c:pt>
                <c:pt idx="2">
                  <c:v>4920588.45</c:v>
                </c:pt>
                <c:pt idx="3">
                  <c:v>4834145.2</c:v>
                </c:pt>
                <c:pt idx="4">
                  <c:v>2677280.59</c:v>
                </c:pt>
                <c:pt idx="5">
                  <c:v>138343.58</c:v>
                </c:pt>
              </c:numCache>
            </c:numRef>
          </c:val>
        </c:ser>
        <c:gapWidth val="150"/>
        <c:overlap val="0"/>
        <c:axId val="70888550"/>
        <c:axId val="72575489"/>
      </c:barChart>
      <c:catAx>
        <c:axId val="708885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75489"/>
        <c:crosses val="autoZero"/>
        <c:auto val="1"/>
        <c:lblAlgn val="ctr"/>
        <c:lblOffset val="100"/>
        <c:noMultiLvlLbl val="0"/>
      </c:catAx>
      <c:valAx>
        <c:axId val="72575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885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KPI4_MoM_by_Channel!J4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rgbClr val="1f3a5f"/>
            </a:solidFill>
            <a:ln w="2196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KPI4_MoM_by_Channel!$I$5:$I$28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KPI4_MoM_by_Channel!$J$5:$J$28</c:f>
              <c:numCache>
                <c:formatCode>#,##0;\(#,##0\);\-</c:formatCode>
                <c:ptCount val="24"/>
                <c:pt idx="0">
                  <c:v>506719.81</c:v>
                </c:pt>
                <c:pt idx="1">
                  <c:v>328038.05</c:v>
                </c:pt>
                <c:pt idx="2">
                  <c:v>340581.28</c:v>
                </c:pt>
                <c:pt idx="3">
                  <c:v>272281.13</c:v>
                </c:pt>
                <c:pt idx="4">
                  <c:v>248097.95</c:v>
                </c:pt>
                <c:pt idx="5">
                  <c:v>684406.22</c:v>
                </c:pt>
                <c:pt idx="6">
                  <c:v>218621.63</c:v>
                </c:pt>
                <c:pt idx="7">
                  <c:v>60641.05</c:v>
                </c:pt>
                <c:pt idx="8">
                  <c:v>190124.75</c:v>
                </c:pt>
                <c:pt idx="9">
                  <c:v>274270.91</c:v>
                </c:pt>
                <c:pt idx="10">
                  <c:v>953580.21</c:v>
                </c:pt>
                <c:pt idx="11">
                  <c:v>254049.75</c:v>
                </c:pt>
                <c:pt idx="12">
                  <c:v>323432.52</c:v>
                </c:pt>
                <c:pt idx="13">
                  <c:v>148468.21</c:v>
                </c:pt>
                <c:pt idx="14">
                  <c:v>473336.92</c:v>
                </c:pt>
                <c:pt idx="15">
                  <c:v>237540.88</c:v>
                </c:pt>
                <c:pt idx="16">
                  <c:v>110677.44</c:v>
                </c:pt>
                <c:pt idx="17">
                  <c:v>135586.5</c:v>
                </c:pt>
                <c:pt idx="18">
                  <c:v>219205.72</c:v>
                </c:pt>
                <c:pt idx="19">
                  <c:v>396034.7</c:v>
                </c:pt>
                <c:pt idx="20">
                  <c:v>831388.67</c:v>
                </c:pt>
                <c:pt idx="21">
                  <c:v>31749.05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KPI4_MoM_by_Channel!K4</c:f>
              <c:strCache>
                <c:ptCount val="1"/>
                <c:pt idx="0">
                  <c:v>Store</c:v>
                </c:pt>
              </c:strCache>
            </c:strRef>
          </c:tx>
          <c:spPr>
            <a:solidFill>
              <a:srgbClr val="2a7f8e"/>
            </a:solidFill>
            <a:ln w="21960">
              <a:solidFill>
                <a:srgbClr val="2a7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KPI4_MoM_by_Channel!$I$5:$I$28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KPI4_MoM_by_Channel!$K$5:$K$28</c:f>
              <c:numCache>
                <c:formatCode>#,##0;\(#,##0\);\-</c:formatCode>
                <c:ptCount val="24"/>
                <c:pt idx="0">
                  <c:v>77292.09</c:v>
                </c:pt>
                <c:pt idx="1">
                  <c:v>176780.78</c:v>
                </c:pt>
                <c:pt idx="2">
                  <c:v>336137.86</c:v>
                </c:pt>
                <c:pt idx="3">
                  <c:v>22580.5</c:v>
                </c:pt>
                <c:pt idx="4">
                  <c:v>304552.71</c:v>
                </c:pt>
                <c:pt idx="5">
                  <c:v>563769.51</c:v>
                </c:pt>
                <c:pt idx="6">
                  <c:v>134606.36</c:v>
                </c:pt>
                <c:pt idx="7">
                  <c:v>293046.3</c:v>
                </c:pt>
                <c:pt idx="8">
                  <c:v>633815.95</c:v>
                </c:pt>
                <c:pt idx="9">
                  <c:v>122920.6</c:v>
                </c:pt>
                <c:pt idx="10">
                  <c:v>499132.45</c:v>
                </c:pt>
                <c:pt idx="11">
                  <c:v>322813.04</c:v>
                </c:pt>
                <c:pt idx="12">
                  <c:v>331101.22</c:v>
                </c:pt>
                <c:pt idx="13">
                  <c:v>318165.85</c:v>
                </c:pt>
                <c:pt idx="14">
                  <c:v>86286.71</c:v>
                </c:pt>
                <c:pt idx="15">
                  <c:v>224568.96</c:v>
                </c:pt>
                <c:pt idx="16">
                  <c:v>451257.23</c:v>
                </c:pt>
                <c:pt idx="17">
                  <c:v>334211.67</c:v>
                </c:pt>
                <c:pt idx="18">
                  <c:v>401249.11</c:v>
                </c:pt>
                <c:pt idx="19">
                  <c:v>81509.36</c:v>
                </c:pt>
                <c:pt idx="20">
                  <c:v>447985.32</c:v>
                </c:pt>
                <c:pt idx="21">
                  <c:v>87341.29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KPI4_MoM_by_Channel!L4</c:f>
              <c:strCache>
                <c:ptCount val="1"/>
                <c:pt idx="0">
                  <c:v>Web</c:v>
                </c:pt>
              </c:strCache>
            </c:strRef>
          </c:tx>
          <c:spPr>
            <a:solidFill>
              <a:srgbClr val="e08a1e"/>
            </a:solidFill>
            <a:ln w="21960">
              <a:solidFill>
                <a:srgbClr val="e08a1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KPI4_MoM_by_Channel!$I$5:$I$28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KPI4_MoM_by_Channel!$L$5:$L$28</c:f>
              <c:numCache>
                <c:formatCode>#,##0;\(#,##0\);\-</c:formatCode>
                <c:ptCount val="24"/>
                <c:pt idx="0">
                  <c:v>122707.68</c:v>
                </c:pt>
                <c:pt idx="1">
                  <c:v>255100.92</c:v>
                </c:pt>
                <c:pt idx="2">
                  <c:v>219349.23</c:v>
                </c:pt>
                <c:pt idx="3">
                  <c:v>235186.27</c:v>
                </c:pt>
                <c:pt idx="4">
                  <c:v>0</c:v>
                </c:pt>
                <c:pt idx="5">
                  <c:v>141716.28</c:v>
                </c:pt>
                <c:pt idx="6">
                  <c:v>243225.66</c:v>
                </c:pt>
                <c:pt idx="7">
                  <c:v>755648.42</c:v>
                </c:pt>
                <c:pt idx="8">
                  <c:v>360672.5</c:v>
                </c:pt>
                <c:pt idx="9">
                  <c:v>196517.69</c:v>
                </c:pt>
                <c:pt idx="10">
                  <c:v>0</c:v>
                </c:pt>
                <c:pt idx="11">
                  <c:v>305686.57</c:v>
                </c:pt>
                <c:pt idx="12">
                  <c:v>386589.1</c:v>
                </c:pt>
                <c:pt idx="13">
                  <c:v>480561.83</c:v>
                </c:pt>
                <c:pt idx="14">
                  <c:v>94010.76</c:v>
                </c:pt>
                <c:pt idx="15">
                  <c:v>125889.8</c:v>
                </c:pt>
                <c:pt idx="16">
                  <c:v>141013.44</c:v>
                </c:pt>
                <c:pt idx="17">
                  <c:v>493744.14</c:v>
                </c:pt>
                <c:pt idx="18">
                  <c:v>155251.65</c:v>
                </c:pt>
                <c:pt idx="19">
                  <c:v>104214.12</c:v>
                </c:pt>
                <c:pt idx="20">
                  <c:v>147810.45</c:v>
                </c:pt>
                <c:pt idx="21">
                  <c:v>222909.7</c:v>
                </c:pt>
                <c:pt idx="22">
                  <c:v>0</c:v>
                </c:pt>
                <c:pt idx="23">
                  <c:v>137682.78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745340"/>
        <c:axId val="76586314"/>
      </c:lineChart>
      <c:catAx>
        <c:axId val="40745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86314"/>
        <c:crosses val="autoZero"/>
        <c:auto val="1"/>
        <c:lblAlgn val="ctr"/>
        <c:lblOffset val="100"/>
        <c:noMultiLvlLbl val="0"/>
      </c:catAx>
      <c:valAx>
        <c:axId val="76586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453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KPI3_Segments!F4</c:f>
              <c:strCache>
                <c:ptCount val="1"/>
                <c:pt idx="0">
                  <c:v>avg_order_value</c:v>
                </c:pt>
              </c:strCache>
            </c:strRef>
          </c:tx>
          <c:spPr>
            <a:solidFill>
              <a:srgbClr val="2a7f8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KPI3_Segments!$A$5:$A$8</c:f>
              <c:strCache>
                <c:ptCount val="4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KPI3_Segments!$F$5:$F$8</c:f>
              <c:numCache>
                <c:formatCode>#,##0;\(#,##0\);\-</c:formatCode>
                <c:ptCount val="4"/>
                <c:pt idx="0">
                  <c:v>76310.4875</c:v>
                </c:pt>
                <c:pt idx="1">
                  <c:v>98003.3751515152</c:v>
                </c:pt>
                <c:pt idx="2">
                  <c:v>80068.4988235294</c:v>
                </c:pt>
                <c:pt idx="3">
                  <c:v>89007.4480555556</c:v>
                </c:pt>
              </c:numCache>
            </c:numRef>
          </c:val>
        </c:ser>
        <c:gapWidth val="150"/>
        <c:overlap val="0"/>
        <c:axId val="26197342"/>
        <c:axId val="68973754"/>
      </c:barChart>
      <c:catAx>
        <c:axId val="26197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73754"/>
        <c:crosses val="autoZero"/>
        <c:auto val="1"/>
        <c:lblAlgn val="ctr"/>
        <c:lblOffset val="100"/>
        <c:noMultiLvlLbl val="0"/>
      </c:catAx>
      <c:valAx>
        <c:axId val="68973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973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KPI2_Top_Customers!I4</c:f>
              <c:strCache>
                <c:ptCount val="1"/>
                <c:pt idx="0">
                  <c:v>net_ltv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KPI2_Top_Customers!$C$5:$C$14</c:f>
              <c:strCache>
                <c:ptCount val="10"/>
                <c:pt idx="0">
                  <c:v>Utkarsh Bhat</c:v>
                </c:pt>
                <c:pt idx="1">
                  <c:v>Eesha Sethi</c:v>
                </c:pt>
                <c:pt idx="2">
                  <c:v>Yadavi Bhakta</c:v>
                </c:pt>
                <c:pt idx="3">
                  <c:v>Ucchal Thaker</c:v>
                </c:pt>
                <c:pt idx="4">
                  <c:v>Zansi Prasad</c:v>
                </c:pt>
                <c:pt idx="5">
                  <c:v>Isaac Bakshi</c:v>
                </c:pt>
                <c:pt idx="6">
                  <c:v>Chakrika Koshy</c:v>
                </c:pt>
                <c:pt idx="7">
                  <c:v>Hamsini Rao</c:v>
                </c:pt>
                <c:pt idx="8">
                  <c:v>Siddharth Bains</c:v>
                </c:pt>
                <c:pt idx="9">
                  <c:v>Gautam Rana</c:v>
                </c:pt>
              </c:strCache>
            </c:strRef>
          </c:cat>
          <c:val>
            <c:numRef>
              <c:f>KPI2_Top_Customers!$I$5:$I$14</c:f>
              <c:numCache>
                <c:formatCode>#,##0;\(#,##0\);\-</c:formatCode>
                <c:ptCount val="10"/>
                <c:pt idx="0">
                  <c:v>532447.01</c:v>
                </c:pt>
                <c:pt idx="1">
                  <c:v>463604.51</c:v>
                </c:pt>
                <c:pt idx="2">
                  <c:v>341730.61</c:v>
                </c:pt>
                <c:pt idx="3">
                  <c:v>329199.63</c:v>
                </c:pt>
                <c:pt idx="4">
                  <c:v>328510.35</c:v>
                </c:pt>
                <c:pt idx="5">
                  <c:v>302063.99</c:v>
                </c:pt>
                <c:pt idx="6">
                  <c:v>291047.36</c:v>
                </c:pt>
                <c:pt idx="7">
                  <c:v>268013.97</c:v>
                </c:pt>
                <c:pt idx="8">
                  <c:v>265776.18</c:v>
                </c:pt>
                <c:pt idx="9">
                  <c:v>259380.42</c:v>
                </c:pt>
              </c:numCache>
            </c:numRef>
          </c:val>
        </c:ser>
        <c:gapWidth val="150"/>
        <c:overlap val="0"/>
        <c:axId val="21649842"/>
        <c:axId val="8040535"/>
      </c:barChart>
      <c:catAx>
        <c:axId val="2164984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0535"/>
        <c:crosses val="autoZero"/>
        <c:auto val="1"/>
        <c:lblAlgn val="ctr"/>
        <c:lblOffset val="100"/>
        <c:noMultiLvlLbl val="0"/>
      </c:catAx>
      <c:valAx>
        <c:axId val="8040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498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KPI6_Supplier_Scorecard!L5</c:f>
              <c:strCache>
                <c:ptCount val="1"/>
                <c:pt idx="0">
                  <c:v>Composite score</c:v>
                </c:pt>
              </c:strCache>
            </c:strRef>
          </c:tx>
          <c:spPr>
            <a:solidFill>
              <a:srgbClr val="2a7f8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KPI6_Supplier_Scorecard!$B$6:$B$15</c:f>
              <c:strCache>
                <c:ptCount val="10"/>
                <c:pt idx="0">
                  <c:v>Biswas, Karpe And Radhakrishnan</c:v>
                </c:pt>
                <c:pt idx="1">
                  <c:v>Lalla, Ganesh And Oommen</c:v>
                </c:pt>
                <c:pt idx="2">
                  <c:v>Chaudhari, Sandal And Desai</c:v>
                </c:pt>
                <c:pt idx="3">
                  <c:v>Amble, Prashad And Jha</c:v>
                </c:pt>
                <c:pt idx="4">
                  <c:v>Dhar-Gopal</c:v>
                </c:pt>
                <c:pt idx="5">
                  <c:v>Baral, Din And Bhalla</c:v>
                </c:pt>
                <c:pt idx="6">
                  <c:v>Amble, Virk And Dalal</c:v>
                </c:pt>
                <c:pt idx="7">
                  <c:v>Saini, Doctor And Char</c:v>
                </c:pt>
                <c:pt idx="8">
                  <c:v>Bahl, Mander And Chada</c:v>
                </c:pt>
                <c:pt idx="9">
                  <c:v>Raj-Palla</c:v>
                </c:pt>
              </c:strCache>
            </c:strRef>
          </c:cat>
          <c:val>
            <c:numRef>
              <c:f>KPI6_Supplier_Scorecard!$L$6:$L$15</c:f>
              <c:numCache>
                <c:formatCode>0.0</c:formatCode>
                <c:ptCount val="10"/>
                <c:pt idx="0">
                  <c:v>87.9326671119568</c:v>
                </c:pt>
                <c:pt idx="1">
                  <c:v>87.6778017241379</c:v>
                </c:pt>
                <c:pt idx="2">
                  <c:v>82.2769467271055</c:v>
                </c:pt>
                <c:pt idx="3">
                  <c:v>73.708171419145</c:v>
                </c:pt>
                <c:pt idx="4">
                  <c:v>70.6433278305542</c:v>
                </c:pt>
                <c:pt idx="5">
                  <c:v>64.6757293505416</c:v>
                </c:pt>
                <c:pt idx="6">
                  <c:v>63.4558594262239</c:v>
                </c:pt>
                <c:pt idx="7">
                  <c:v>62.5610888563677</c:v>
                </c:pt>
                <c:pt idx="8">
                  <c:v>60.2357431234634</c:v>
                </c:pt>
                <c:pt idx="9">
                  <c:v>60.1568064715622</c:v>
                </c:pt>
              </c:numCache>
            </c:numRef>
          </c:val>
        </c:ser>
        <c:gapWidth val="150"/>
        <c:overlap val="0"/>
        <c:axId val="23129215"/>
        <c:axId val="24658788"/>
      </c:barChart>
      <c:catAx>
        <c:axId val="2312921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58788"/>
        <c:crosses val="autoZero"/>
        <c:auto val="1"/>
        <c:lblAlgn val="ctr"/>
        <c:lblOffset val="100"/>
        <c:noMultiLvlLbl val="0"/>
      </c:catAx>
      <c:valAx>
        <c:axId val="24658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29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KPI5_Return_Rate!F5</c:f>
              <c:strCache>
                <c:ptCount val="1"/>
                <c:pt idx="0">
                  <c:v>return_rate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KPI5_Return_Rate!$B$6:$B$15</c:f>
              <c:strCache>
                <c:ptCount val="10"/>
                <c:pt idx="0">
                  <c:v>Footwear Item 40</c:v>
                </c:pt>
                <c:pt idx="1">
                  <c:v>Fitness Item 21</c:v>
                </c:pt>
                <c:pt idx="2">
                  <c:v>Staples Item 42</c:v>
                </c:pt>
                <c:pt idx="3">
                  <c:v>Footwear Item 65</c:v>
                </c:pt>
                <c:pt idx="4">
                  <c:v>Beverages Item 44</c:v>
                </c:pt>
                <c:pt idx="5">
                  <c:v>Beverages Item 49</c:v>
                </c:pt>
                <c:pt idx="6">
                  <c:v>Outdoor Item 7</c:v>
                </c:pt>
                <c:pt idx="7">
                  <c:v>Fitness Item 54</c:v>
                </c:pt>
                <c:pt idx="8">
                  <c:v>Furniture Item 61</c:v>
                </c:pt>
                <c:pt idx="9">
                  <c:v>Accessories Item 31</c:v>
                </c:pt>
              </c:strCache>
            </c:strRef>
          </c:cat>
          <c:val>
            <c:numRef>
              <c:f>KPI5_Return_Rate!$F$6:$F$15</c:f>
              <c:numCache>
                <c:formatCode>0.0%;\-0.0%;\-</c:formatCode>
                <c:ptCount val="10"/>
                <c:pt idx="0">
                  <c:v>0.161290322580645</c:v>
                </c:pt>
                <c:pt idx="1">
                  <c:v>0.142857142857143</c:v>
                </c:pt>
                <c:pt idx="2">
                  <c:v>0.0967741935483871</c:v>
                </c:pt>
                <c:pt idx="3">
                  <c:v>0.0909090909090909</c:v>
                </c:pt>
                <c:pt idx="4">
                  <c:v>0.0333333333333333</c:v>
                </c:pt>
                <c:pt idx="5">
                  <c:v>0.03125</c:v>
                </c:pt>
                <c:pt idx="6">
                  <c:v>0.0277777777777778</c:v>
                </c:pt>
                <c:pt idx="7">
                  <c:v>0.027027027027027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62449281"/>
        <c:axId val="55878582"/>
      </c:barChart>
      <c:catAx>
        <c:axId val="6244928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78582"/>
        <c:crosses val="autoZero"/>
        <c:auto val="1"/>
        <c:lblAlgn val="ctr"/>
        <c:lblOffset val="100"/>
        <c:noMultiLvlLbl val="0"/>
      </c:catAx>
      <c:valAx>
        <c:axId val="558785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492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KPI8_Payment_Recon!L4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e08a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KPI8_Payment_Recon!$K$5:$K$12</c:f>
              <c:strCache>
                <c:ptCount val="8"/>
                <c:pt idx="0">
                  <c:v>OK</c:v>
                </c:pt>
                <c:pt idx="1">
                  <c:v>No successful payment</c:v>
                </c:pt>
                <c:pt idx="2">
                  <c:v>Underpaid</c:v>
                </c:pt>
                <c:pt idx="3">
                  <c:v>Overpaid</c:v>
                </c:pt>
                <c:pt idx="4">
                  <c:v>Paid but order Cancelled</c:v>
                </c:pt>
                <c:pt idx="5">
                  <c:v>Orphan payment (order not in FACT_ORDERS)</c:v>
                </c:pt>
                <c:pt idx="6">
                  <c:v>No payment row</c:v>
                </c:pt>
                <c:pt idx="7">
                  <c:v>Conflicting payment statuses</c:v>
                </c:pt>
              </c:strCache>
            </c:strRef>
          </c:cat>
          <c:val>
            <c:numRef>
              <c:f>KPI8_Payment_Recon!$L$5:$L$12</c:f>
              <c:numCache>
                <c:formatCode>#,##0</c:formatCode>
                <c:ptCount val="8"/>
                <c:pt idx="0">
                  <c:v>110</c:v>
                </c:pt>
                <c:pt idx="1">
                  <c:v>88</c:v>
                </c:pt>
                <c:pt idx="2">
                  <c:v>46</c:v>
                </c:pt>
                <c:pt idx="3">
                  <c:v>40</c:v>
                </c:pt>
                <c:pt idx="4">
                  <c:v>35</c:v>
                </c:pt>
                <c:pt idx="5">
                  <c:v>10</c:v>
                </c:pt>
                <c:pt idx="6">
                  <c:v>8</c:v>
                </c:pt>
                <c:pt idx="7">
                  <c:v>5</c:v>
                </c:pt>
              </c:numCache>
            </c:numRef>
          </c:val>
        </c:ser>
        <c:gapWidth val="150"/>
        <c:overlap val="0"/>
        <c:axId val="73382817"/>
        <c:axId val="19170779"/>
      </c:barChart>
      <c:catAx>
        <c:axId val="7338281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70779"/>
        <c:crosses val="autoZero"/>
        <c:auto val="1"/>
        <c:lblAlgn val="ctr"/>
        <c:lblOffset val="100"/>
        <c:noMultiLvlLbl val="0"/>
      </c:catAx>
      <c:valAx>
        <c:axId val="19170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828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154800</xdr:rowOff>
    </xdr:from>
    <xdr:to>
      <xdr:col>10</xdr:col>
      <xdr:colOff>166320</xdr:colOff>
      <xdr:row>20</xdr:row>
      <xdr:rowOff>73080</xdr:rowOff>
    </xdr:to>
    <xdr:graphicFrame>
      <xdr:nvGraphicFramePr>
        <xdr:cNvPr id="0" name="Chart 1"/>
        <xdr:cNvGraphicFramePr/>
      </xdr:nvGraphicFramePr>
      <xdr:xfrm>
        <a:off x="0" y="168588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6</xdr:row>
      <xdr:rowOff>154800</xdr:rowOff>
    </xdr:from>
    <xdr:to>
      <xdr:col>19</xdr:col>
      <xdr:colOff>332640</xdr:colOff>
      <xdr:row>20</xdr:row>
      <xdr:rowOff>73080</xdr:rowOff>
    </xdr:to>
    <xdr:graphicFrame>
      <xdr:nvGraphicFramePr>
        <xdr:cNvPr id="1" name="Chart 2"/>
        <xdr:cNvGraphicFramePr/>
      </xdr:nvGraphicFramePr>
      <xdr:xfrm>
        <a:off x="9304200" y="1685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155160</xdr:rowOff>
    </xdr:from>
    <xdr:to>
      <xdr:col>10</xdr:col>
      <xdr:colOff>166320</xdr:colOff>
      <xdr:row>38</xdr:row>
      <xdr:rowOff>73440</xdr:rowOff>
    </xdr:to>
    <xdr:graphicFrame>
      <xdr:nvGraphicFramePr>
        <xdr:cNvPr id="2" name="Chart 3"/>
        <xdr:cNvGraphicFramePr/>
      </xdr:nvGraphicFramePr>
      <xdr:xfrm>
        <a:off x="0" y="522936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24</xdr:row>
      <xdr:rowOff>155160</xdr:rowOff>
    </xdr:from>
    <xdr:to>
      <xdr:col>19</xdr:col>
      <xdr:colOff>332640</xdr:colOff>
      <xdr:row>38</xdr:row>
      <xdr:rowOff>73440</xdr:rowOff>
    </xdr:to>
    <xdr:graphicFrame>
      <xdr:nvGraphicFramePr>
        <xdr:cNvPr id="3" name="Chart 4"/>
        <xdr:cNvGraphicFramePr/>
      </xdr:nvGraphicFramePr>
      <xdr:xfrm>
        <a:off x="9304200" y="52293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154800</xdr:rowOff>
    </xdr:from>
    <xdr:to>
      <xdr:col>10</xdr:col>
      <xdr:colOff>166320</xdr:colOff>
      <xdr:row>58</xdr:row>
      <xdr:rowOff>52200</xdr:rowOff>
    </xdr:to>
    <xdr:graphicFrame>
      <xdr:nvGraphicFramePr>
        <xdr:cNvPr id="4" name="Chart 5"/>
        <xdr:cNvGraphicFramePr/>
      </xdr:nvGraphicFramePr>
      <xdr:xfrm>
        <a:off x="0" y="877248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42</xdr:row>
      <xdr:rowOff>154800</xdr:rowOff>
    </xdr:from>
    <xdr:to>
      <xdr:col>19</xdr:col>
      <xdr:colOff>332640</xdr:colOff>
      <xdr:row>58</xdr:row>
      <xdr:rowOff>52200</xdr:rowOff>
    </xdr:to>
    <xdr:graphicFrame>
      <xdr:nvGraphicFramePr>
        <xdr:cNvPr id="5" name="Chart 6"/>
        <xdr:cNvGraphicFramePr/>
      </xdr:nvGraphicFramePr>
      <xdr:xfrm>
        <a:off x="9304200" y="87724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60</xdr:row>
      <xdr:rowOff>155160</xdr:rowOff>
    </xdr:from>
    <xdr:to>
      <xdr:col>10</xdr:col>
      <xdr:colOff>166320</xdr:colOff>
      <xdr:row>76</xdr:row>
      <xdr:rowOff>52560</xdr:rowOff>
    </xdr:to>
    <xdr:graphicFrame>
      <xdr:nvGraphicFramePr>
        <xdr:cNvPr id="6" name="Chart 7"/>
        <xdr:cNvGraphicFramePr/>
      </xdr:nvGraphicFramePr>
      <xdr:xfrm>
        <a:off x="0" y="1231596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0</xdr:colOff>
      <xdr:row>60</xdr:row>
      <xdr:rowOff>155160</xdr:rowOff>
    </xdr:from>
    <xdr:to>
      <xdr:col>19</xdr:col>
      <xdr:colOff>332640</xdr:colOff>
      <xdr:row>76</xdr:row>
      <xdr:rowOff>52560</xdr:rowOff>
    </xdr:to>
    <xdr:graphicFrame>
      <xdr:nvGraphicFramePr>
        <xdr:cNvPr id="7" name="Chart 8"/>
        <xdr:cNvGraphicFramePr/>
      </xdr:nvGraphicFramePr>
      <xdr:xfrm>
        <a:off x="9304200" y="1231596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X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11"/>
  </cols>
  <sheetData>
    <row r="1" customFormat="false" ht="26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 t="s">
        <v>3</v>
      </c>
      <c r="F4" s="3"/>
      <c r="G4" s="3"/>
      <c r="H4" s="3"/>
      <c r="I4" s="3" t="s">
        <v>4</v>
      </c>
      <c r="J4" s="3"/>
      <c r="K4" s="3"/>
      <c r="L4" s="3"/>
      <c r="M4" s="3" t="s">
        <v>5</v>
      </c>
      <c r="N4" s="3"/>
      <c r="O4" s="3"/>
      <c r="P4" s="3"/>
      <c r="Q4" s="3" t="s">
        <v>6</v>
      </c>
      <c r="R4" s="3"/>
      <c r="S4" s="3"/>
      <c r="T4" s="3"/>
      <c r="U4" s="3" t="s">
        <v>7</v>
      </c>
      <c r="V4" s="3"/>
      <c r="W4" s="3"/>
      <c r="X4" s="3"/>
    </row>
    <row r="5" customFormat="false" ht="33.75" hidden="false" customHeight="true" outlineLevel="0" collapsed="false">
      <c r="A5" s="4" t="n">
        <f aca="false">SUMIFS(Curated_Items!$S$5:$S$771,Curated_Items!$T$5:$T$771,1)</f>
        <v>19164567.82</v>
      </c>
      <c r="B5" s="4"/>
      <c r="C5" s="4"/>
      <c r="D5" s="4"/>
      <c r="E5" s="4" t="n">
        <f aca="false">SUMIFS(Curated_Items!$Q$5:$Q$771,Curated_Items!$T$5:$T$771,1)</f>
        <v>815331.14</v>
      </c>
      <c r="F5" s="4"/>
      <c r="G5" s="4"/>
      <c r="H5" s="4"/>
      <c r="I5" s="5" t="n">
        <f aca="false">SUMPRODUCT((Curated_Items!$T$5:$T$771=1)/COUNTIFS(Curated_Items!$B$5:$B$771,Curated_Items!$B$5:$B$771))</f>
        <v>223</v>
      </c>
      <c r="J5" s="5"/>
      <c r="K5" s="5"/>
      <c r="L5" s="5"/>
      <c r="M5" s="6" t="n">
        <f aca="false">KPI7_Repeat_Rate!B6</f>
        <v>0.0918367346938776</v>
      </c>
      <c r="N5" s="6"/>
      <c r="O5" s="6"/>
      <c r="P5" s="6"/>
      <c r="Q5" s="5" t="n">
        <f aca="false">COUNTIF(KPI8_Payment_Recon!H5:H332,"&lt;&gt;OK")</f>
        <v>218</v>
      </c>
      <c r="R5" s="5"/>
      <c r="S5" s="5"/>
      <c r="T5" s="5"/>
      <c r="U5" s="4" t="n">
        <f aca="false">KPI9_Margin_Risk!C7</f>
        <v>1795100.836</v>
      </c>
      <c r="V5" s="4"/>
      <c r="W5" s="4"/>
      <c r="X5" s="4"/>
    </row>
    <row r="7" customFormat="false" ht="24" hidden="false" customHeight="true" outlineLevel="0" collapsed="false">
      <c r="A7" s="7" t="s">
        <v>8</v>
      </c>
      <c r="M7" s="7" t="s">
        <v>9</v>
      </c>
    </row>
    <row r="25" customFormat="false" ht="24" hidden="false" customHeight="true" outlineLevel="0" collapsed="false">
      <c r="A25" s="7" t="s">
        <v>10</v>
      </c>
      <c r="M25" s="7" t="s">
        <v>11</v>
      </c>
    </row>
    <row r="43" customFormat="false" ht="24" hidden="false" customHeight="true" outlineLevel="0" collapsed="false">
      <c r="A43" s="7" t="s">
        <v>12</v>
      </c>
      <c r="M43" s="7" t="s">
        <v>13</v>
      </c>
    </row>
    <row r="61" customFormat="false" ht="24" hidden="false" customHeight="true" outlineLevel="0" collapsed="false">
      <c r="A61" s="7" t="s">
        <v>14</v>
      </c>
      <c r="M61" s="7" t="s">
        <v>15</v>
      </c>
    </row>
    <row r="80" customFormat="false" ht="15" hidden="false" customHeight="false" outlineLevel="0" collapsed="false">
      <c r="A80" s="2" t="s">
        <v>16</v>
      </c>
    </row>
  </sheetData>
  <mergeCells count="12">
    <mergeCell ref="A4:D4"/>
    <mergeCell ref="E4:H4"/>
    <mergeCell ref="I4:L4"/>
    <mergeCell ref="M4:P4"/>
    <mergeCell ref="Q4:T4"/>
    <mergeCell ref="U4:X4"/>
    <mergeCell ref="A5:D5"/>
    <mergeCell ref="E5:H5"/>
    <mergeCell ref="I5:L5"/>
    <mergeCell ref="M5:P5"/>
    <mergeCell ref="Q5:T5"/>
    <mergeCell ref="U5:X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2"/>
  </cols>
  <sheetData>
    <row r="1" customFormat="false" ht="22.05" hidden="false" customHeight="false" outlineLevel="0" collapsed="false">
      <c r="A1" s="8" t="s">
        <v>17</v>
      </c>
    </row>
    <row r="2" customFormat="false" ht="168.65" hidden="false" customHeight="false" outlineLevel="0" collapsed="false">
      <c r="A2" s="9" t="s">
        <v>18</v>
      </c>
    </row>
    <row r="4" customFormat="false" ht="30" hidden="false" customHeight="true" outlineLevel="0" collapsed="false">
      <c r="A4" s="10" t="s">
        <v>19</v>
      </c>
      <c r="B4" s="10" t="s">
        <v>20</v>
      </c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</row>
    <row r="5" customFormat="false" ht="15" hidden="false" customHeight="false" outlineLevel="0" collapsed="false">
      <c r="A5" s="11" t="s">
        <v>27</v>
      </c>
      <c r="B5" s="12" t="n">
        <f aca="false">SUMIFS(Curated_Items!$S$5:$S$771,Curated_Items!$D$5:$D$771,$A5,Curated_Items!$H$5:$H$771,B$4,Curated_Items!$T$5:$T$771,1)</f>
        <v>0</v>
      </c>
      <c r="C5" s="12" t="n">
        <f aca="false">SUMIFS(Curated_Items!$S$5:$S$771,Curated_Items!$D$5:$D$771,$A5,Curated_Items!$H$5:$H$771,C$4,Curated_Items!$T$5:$T$771,1)</f>
        <v>0</v>
      </c>
      <c r="D5" s="12" t="n">
        <f aca="false">SUMIFS(Curated_Items!$S$5:$S$771,Curated_Items!$D$5:$D$771,$A5,Curated_Items!$H$5:$H$771,D$4,Curated_Items!$T$5:$T$771,1)</f>
        <v>45144.5</v>
      </c>
      <c r="E5" s="12" t="n">
        <f aca="false">SUMIFS(Curated_Items!$S$5:$S$771,Curated_Items!$D$5:$D$771,$A5,Curated_Items!$H$5:$H$771,E$4,Curated_Items!$T$5:$T$771,1)</f>
        <v>0</v>
      </c>
      <c r="F5" s="12" t="n">
        <f aca="false">SUMIFS(Curated_Items!$S$5:$S$771,Curated_Items!$D$5:$D$771,$A5,Curated_Items!$H$5:$H$771,F$4,Curated_Items!$T$5:$T$771,1)</f>
        <v>0</v>
      </c>
      <c r="G5" s="12" t="n">
        <f aca="false">SUMIFS(Curated_Items!$S$5:$S$771,Curated_Items!$D$5:$D$771,$A5,Curated_Items!$H$5:$H$771,G$4,Curated_Items!$T$5:$T$771,1)</f>
        <v>0</v>
      </c>
      <c r="H5" s="13" t="n">
        <f aca="false">SUM(B5:G5)</f>
        <v>45144.5</v>
      </c>
    </row>
    <row r="6" customFormat="false" ht="15" hidden="false" customHeight="false" outlineLevel="0" collapsed="false">
      <c r="A6" s="11" t="s">
        <v>28</v>
      </c>
      <c r="B6" s="12" t="n">
        <f aca="false">SUMIFS(Curated_Items!$S$5:$S$771,Curated_Items!$D$5:$D$771,$A6,Curated_Items!$H$5:$H$771,B$4,Curated_Items!$T$5:$T$771,1)</f>
        <v>0</v>
      </c>
      <c r="C6" s="12" t="n">
        <f aca="false">SUMIFS(Curated_Items!$S$5:$S$771,Curated_Items!$D$5:$D$771,$A6,Curated_Items!$H$5:$H$771,C$4,Curated_Items!$T$5:$T$771,1)</f>
        <v>0</v>
      </c>
      <c r="D6" s="12" t="n">
        <f aca="false">SUMIFS(Curated_Items!$S$5:$S$771,Curated_Items!$D$5:$D$771,$A6,Curated_Items!$H$5:$H$771,D$4,Curated_Items!$T$5:$T$771,1)</f>
        <v>0</v>
      </c>
      <c r="E6" s="12" t="n">
        <f aca="false">SUMIFS(Curated_Items!$S$5:$S$771,Curated_Items!$D$5:$D$771,$A6,Curated_Items!$H$5:$H$771,E$4,Curated_Items!$T$5:$T$771,1)</f>
        <v>21122.18</v>
      </c>
      <c r="F6" s="12" t="n">
        <f aca="false">SUMIFS(Curated_Items!$S$5:$S$771,Curated_Items!$D$5:$D$771,$A6,Curated_Items!$H$5:$H$771,F$4,Curated_Items!$T$5:$T$771,1)</f>
        <v>0</v>
      </c>
      <c r="G6" s="12" t="n">
        <f aca="false">SUMIFS(Curated_Items!$S$5:$S$771,Curated_Items!$D$5:$D$771,$A6,Curated_Items!$H$5:$H$771,G$4,Curated_Items!$T$5:$T$771,1)</f>
        <v>0</v>
      </c>
      <c r="H6" s="13" t="n">
        <f aca="false">SUM(B6:G6)</f>
        <v>21122.18</v>
      </c>
    </row>
    <row r="7" customFormat="false" ht="15" hidden="false" customHeight="false" outlineLevel="0" collapsed="false">
      <c r="A7" s="11" t="s">
        <v>29</v>
      </c>
      <c r="B7" s="12" t="n">
        <f aca="false">SUMIFS(Curated_Items!$S$5:$S$771,Curated_Items!$D$5:$D$771,$A7,Curated_Items!$H$5:$H$771,B$4,Curated_Items!$T$5:$T$771,1)</f>
        <v>16084.14</v>
      </c>
      <c r="C7" s="12" t="n">
        <f aca="false">SUMIFS(Curated_Items!$S$5:$S$771,Curated_Items!$D$5:$D$771,$A7,Curated_Items!$H$5:$H$771,C$4,Curated_Items!$T$5:$T$771,1)</f>
        <v>0</v>
      </c>
      <c r="D7" s="12" t="n">
        <f aca="false">SUMIFS(Curated_Items!$S$5:$S$771,Curated_Items!$D$5:$D$771,$A7,Curated_Items!$H$5:$H$771,D$4,Curated_Items!$T$5:$T$771,1)</f>
        <v>88376.89</v>
      </c>
      <c r="E7" s="12" t="n">
        <f aca="false">SUMIFS(Curated_Items!$S$5:$S$771,Curated_Items!$D$5:$D$771,$A7,Curated_Items!$H$5:$H$771,E$4,Curated_Items!$T$5:$T$771,1)</f>
        <v>0</v>
      </c>
      <c r="F7" s="12" t="n">
        <f aca="false">SUMIFS(Curated_Items!$S$5:$S$771,Curated_Items!$D$5:$D$771,$A7,Curated_Items!$H$5:$H$771,F$4,Curated_Items!$T$5:$T$771,1)</f>
        <v>0</v>
      </c>
      <c r="G7" s="12" t="n">
        <f aca="false">SUMIFS(Curated_Items!$S$5:$S$771,Curated_Items!$D$5:$D$771,$A7,Curated_Items!$H$5:$H$771,G$4,Curated_Items!$T$5:$T$771,1)</f>
        <v>0</v>
      </c>
      <c r="H7" s="13" t="n">
        <f aca="false">SUM(B7:G7)</f>
        <v>104461.03</v>
      </c>
    </row>
    <row r="8" customFormat="false" ht="15" hidden="false" customHeight="false" outlineLevel="0" collapsed="false">
      <c r="A8" s="11" t="s">
        <v>30</v>
      </c>
      <c r="B8" s="12" t="n">
        <f aca="false">SUMIFS(Curated_Items!$S$5:$S$771,Curated_Items!$D$5:$D$771,$A8,Curated_Items!$H$5:$H$771,B$4,Curated_Items!$T$5:$T$771,1)</f>
        <v>0</v>
      </c>
      <c r="C8" s="12" t="n">
        <f aca="false">SUMIFS(Curated_Items!$S$5:$S$771,Curated_Items!$D$5:$D$771,$A8,Curated_Items!$H$5:$H$771,C$4,Curated_Items!$T$5:$T$771,1)</f>
        <v>0</v>
      </c>
      <c r="D8" s="12" t="n">
        <f aca="false">SUMIFS(Curated_Items!$S$5:$S$771,Curated_Items!$D$5:$D$771,$A8,Curated_Items!$H$5:$H$771,D$4,Curated_Items!$T$5:$T$771,1)</f>
        <v>13037.07</v>
      </c>
      <c r="E8" s="12" t="n">
        <f aca="false">SUMIFS(Curated_Items!$S$5:$S$771,Curated_Items!$D$5:$D$771,$A8,Curated_Items!$H$5:$H$771,E$4,Curated_Items!$T$5:$T$771,1)</f>
        <v>56241.65</v>
      </c>
      <c r="F8" s="12" t="n">
        <f aca="false">SUMIFS(Curated_Items!$S$5:$S$771,Curated_Items!$D$5:$D$771,$A8,Curated_Items!$H$5:$H$771,F$4,Curated_Items!$T$5:$T$771,1)</f>
        <v>0</v>
      </c>
      <c r="G8" s="12" t="n">
        <f aca="false">SUMIFS(Curated_Items!$S$5:$S$771,Curated_Items!$D$5:$D$771,$A8,Curated_Items!$H$5:$H$771,G$4,Curated_Items!$T$5:$T$771,1)</f>
        <v>0</v>
      </c>
      <c r="H8" s="13" t="n">
        <f aca="false">SUM(B8:G8)</f>
        <v>69278.72</v>
      </c>
    </row>
    <row r="9" customFormat="false" ht="15" hidden="false" customHeight="false" outlineLevel="0" collapsed="false">
      <c r="A9" s="11" t="s">
        <v>31</v>
      </c>
      <c r="B9" s="12" t="n">
        <f aca="false">SUMIFS(Curated_Items!$S$5:$S$771,Curated_Items!$D$5:$D$771,$A9,Curated_Items!$H$5:$H$771,B$4,Curated_Items!$T$5:$T$771,1)</f>
        <v>0</v>
      </c>
      <c r="C9" s="12" t="n">
        <f aca="false">SUMIFS(Curated_Items!$S$5:$S$771,Curated_Items!$D$5:$D$771,$A9,Curated_Items!$H$5:$H$771,C$4,Curated_Items!$T$5:$T$771,1)</f>
        <v>9607.25</v>
      </c>
      <c r="D9" s="12" t="n">
        <f aca="false">SUMIFS(Curated_Items!$S$5:$S$771,Curated_Items!$D$5:$D$771,$A9,Curated_Items!$H$5:$H$771,D$4,Curated_Items!$T$5:$T$771,1)</f>
        <v>17582.77</v>
      </c>
      <c r="E9" s="12" t="n">
        <f aca="false">SUMIFS(Curated_Items!$S$5:$S$771,Curated_Items!$D$5:$D$771,$A9,Curated_Items!$H$5:$H$771,E$4,Curated_Items!$T$5:$T$771,1)</f>
        <v>0</v>
      </c>
      <c r="F9" s="12" t="n">
        <f aca="false">SUMIFS(Curated_Items!$S$5:$S$771,Curated_Items!$D$5:$D$771,$A9,Curated_Items!$H$5:$H$771,F$4,Curated_Items!$T$5:$T$771,1)</f>
        <v>81924.16</v>
      </c>
      <c r="G9" s="12" t="n">
        <f aca="false">SUMIFS(Curated_Items!$S$5:$S$771,Curated_Items!$D$5:$D$771,$A9,Curated_Items!$H$5:$H$771,G$4,Curated_Items!$T$5:$T$771,1)</f>
        <v>0</v>
      </c>
      <c r="H9" s="13" t="n">
        <f aca="false">SUM(B9:G9)</f>
        <v>109114.18</v>
      </c>
    </row>
    <row r="10" customFormat="false" ht="15" hidden="false" customHeight="false" outlineLevel="0" collapsed="false">
      <c r="A10" s="11" t="s">
        <v>32</v>
      </c>
      <c r="B10" s="12" t="n">
        <f aca="false">SUMIFS(Curated_Items!$S$5:$S$771,Curated_Items!$D$5:$D$771,$A10,Curated_Items!$H$5:$H$771,B$4,Curated_Items!$T$5:$T$771,1)</f>
        <v>154568.75</v>
      </c>
      <c r="C10" s="12" t="n">
        <f aca="false">SUMIFS(Curated_Items!$S$5:$S$771,Curated_Items!$D$5:$D$771,$A10,Curated_Items!$H$5:$H$771,C$4,Curated_Items!$T$5:$T$771,1)</f>
        <v>70908.67</v>
      </c>
      <c r="D10" s="12" t="n">
        <f aca="false">SUMIFS(Curated_Items!$S$5:$S$771,Curated_Items!$D$5:$D$771,$A10,Curated_Items!$H$5:$H$771,D$4,Curated_Items!$T$5:$T$771,1)</f>
        <v>212099.87</v>
      </c>
      <c r="E10" s="12" t="n">
        <f aca="false">SUMIFS(Curated_Items!$S$5:$S$771,Curated_Items!$D$5:$D$771,$A10,Curated_Items!$H$5:$H$771,E$4,Curated_Items!$T$5:$T$771,1)</f>
        <v>235968.07</v>
      </c>
      <c r="F10" s="12" t="n">
        <f aca="false">SUMIFS(Curated_Items!$S$5:$S$771,Curated_Items!$D$5:$D$771,$A10,Curated_Items!$H$5:$H$771,F$4,Curated_Items!$T$5:$T$771,1)</f>
        <v>33174.22</v>
      </c>
      <c r="G10" s="12" t="n">
        <f aca="false">SUMIFS(Curated_Items!$S$5:$S$771,Curated_Items!$D$5:$D$771,$A10,Curated_Items!$H$5:$H$771,G$4,Curated_Items!$T$5:$T$771,1)</f>
        <v>0</v>
      </c>
      <c r="H10" s="13" t="n">
        <f aca="false">SUM(B10:G10)</f>
        <v>706719.58</v>
      </c>
    </row>
    <row r="11" customFormat="false" ht="15" hidden="false" customHeight="false" outlineLevel="0" collapsed="false">
      <c r="A11" s="11" t="s">
        <v>33</v>
      </c>
      <c r="B11" s="12" t="n">
        <f aca="false">SUMIFS(Curated_Items!$S$5:$S$771,Curated_Items!$D$5:$D$771,$A11,Curated_Items!$H$5:$H$771,B$4,Curated_Items!$T$5:$T$771,1)</f>
        <v>117501.07</v>
      </c>
      <c r="C11" s="12" t="n">
        <f aca="false">SUMIFS(Curated_Items!$S$5:$S$771,Curated_Items!$D$5:$D$771,$A11,Curated_Items!$H$5:$H$771,C$4,Curated_Items!$T$5:$T$771,1)</f>
        <v>336016.22</v>
      </c>
      <c r="D11" s="12" t="n">
        <f aca="false">SUMIFS(Curated_Items!$S$5:$S$771,Curated_Items!$D$5:$D$771,$A11,Curated_Items!$H$5:$H$771,D$4,Curated_Items!$T$5:$T$771,1)</f>
        <v>105096.8</v>
      </c>
      <c r="E11" s="12" t="n">
        <f aca="false">SUMIFS(Curated_Items!$S$5:$S$771,Curated_Items!$D$5:$D$771,$A11,Curated_Items!$H$5:$H$771,E$4,Curated_Items!$T$5:$T$771,1)</f>
        <v>141153.75</v>
      </c>
      <c r="F11" s="12" t="n">
        <f aca="false">SUMIFS(Curated_Items!$S$5:$S$771,Curated_Items!$D$5:$D$771,$A11,Curated_Items!$H$5:$H$771,F$4,Curated_Items!$T$5:$T$771,1)</f>
        <v>60151.91</v>
      </c>
      <c r="G11" s="12" t="n">
        <f aca="false">SUMIFS(Curated_Items!$S$5:$S$771,Curated_Items!$D$5:$D$771,$A11,Curated_Items!$H$5:$H$771,G$4,Curated_Items!$T$5:$T$771,1)</f>
        <v>0</v>
      </c>
      <c r="H11" s="13" t="n">
        <f aca="false">SUM(B11:G11)</f>
        <v>759919.75</v>
      </c>
    </row>
    <row r="12" customFormat="false" ht="15" hidden="false" customHeight="false" outlineLevel="0" collapsed="false">
      <c r="A12" s="11" t="s">
        <v>34</v>
      </c>
      <c r="B12" s="12" t="n">
        <f aca="false">SUMIFS(Curated_Items!$S$5:$S$771,Curated_Items!$D$5:$D$771,$A12,Curated_Items!$H$5:$H$771,B$4,Curated_Items!$T$5:$T$771,1)</f>
        <v>106461.26</v>
      </c>
      <c r="C12" s="12" t="n">
        <f aca="false">SUMIFS(Curated_Items!$S$5:$S$771,Curated_Items!$D$5:$D$771,$A12,Curated_Items!$H$5:$H$771,C$4,Curated_Items!$T$5:$T$771,1)</f>
        <v>243040.65</v>
      </c>
      <c r="D12" s="12" t="n">
        <f aca="false">SUMIFS(Curated_Items!$S$5:$S$771,Curated_Items!$D$5:$D$771,$A12,Curated_Items!$H$5:$H$771,D$4,Curated_Items!$T$5:$T$771,1)</f>
        <v>285106.27</v>
      </c>
      <c r="E12" s="12" t="n">
        <f aca="false">SUMIFS(Curated_Items!$S$5:$S$771,Curated_Items!$D$5:$D$771,$A12,Curated_Items!$H$5:$H$771,E$4,Curated_Items!$T$5:$T$771,1)</f>
        <v>183928.33</v>
      </c>
      <c r="F12" s="12" t="n">
        <f aca="false">SUMIFS(Curated_Items!$S$5:$S$771,Curated_Items!$D$5:$D$771,$A12,Curated_Items!$H$5:$H$771,F$4,Curated_Items!$T$5:$T$771,1)</f>
        <v>77531.86</v>
      </c>
      <c r="G12" s="12" t="n">
        <f aca="false">SUMIFS(Curated_Items!$S$5:$S$771,Curated_Items!$D$5:$D$771,$A12,Curated_Items!$H$5:$H$771,G$4,Curated_Items!$T$5:$T$771,1)</f>
        <v>0</v>
      </c>
      <c r="H12" s="13" t="n">
        <f aca="false">SUM(B12:G12)</f>
        <v>896068.37</v>
      </c>
    </row>
    <row r="13" customFormat="false" ht="15" hidden="false" customHeight="false" outlineLevel="0" collapsed="false">
      <c r="A13" s="11" t="s">
        <v>35</v>
      </c>
      <c r="B13" s="12" t="n">
        <f aca="false">SUMIFS(Curated_Items!$S$5:$S$771,Curated_Items!$D$5:$D$771,$A13,Curated_Items!$H$5:$H$771,B$4,Curated_Items!$T$5:$T$771,1)</f>
        <v>95577.03</v>
      </c>
      <c r="C13" s="12" t="n">
        <f aca="false">SUMIFS(Curated_Items!$S$5:$S$771,Curated_Items!$D$5:$D$771,$A13,Curated_Items!$H$5:$H$771,C$4,Curated_Items!$T$5:$T$771,1)</f>
        <v>106497.74</v>
      </c>
      <c r="D13" s="12" t="n">
        <f aca="false">SUMIFS(Curated_Items!$S$5:$S$771,Curated_Items!$D$5:$D$771,$A13,Curated_Items!$H$5:$H$771,D$4,Curated_Items!$T$5:$T$771,1)</f>
        <v>34155.34</v>
      </c>
      <c r="E13" s="12" t="n">
        <f aca="false">SUMIFS(Curated_Items!$S$5:$S$771,Curated_Items!$D$5:$D$771,$A13,Curated_Items!$H$5:$H$771,E$4,Curated_Items!$T$5:$T$771,1)</f>
        <v>118109.27</v>
      </c>
      <c r="F13" s="12" t="n">
        <f aca="false">SUMIFS(Curated_Items!$S$5:$S$771,Curated_Items!$D$5:$D$771,$A13,Curated_Items!$H$5:$H$771,F$4,Curated_Items!$T$5:$T$771,1)</f>
        <v>175708.52</v>
      </c>
      <c r="G13" s="12" t="n">
        <f aca="false">SUMIFS(Curated_Items!$S$5:$S$771,Curated_Items!$D$5:$D$771,$A13,Curated_Items!$H$5:$H$771,G$4,Curated_Items!$T$5:$T$771,1)</f>
        <v>0</v>
      </c>
      <c r="H13" s="13" t="n">
        <f aca="false">SUM(B13:G13)</f>
        <v>530047.9</v>
      </c>
    </row>
    <row r="14" customFormat="false" ht="15" hidden="false" customHeight="false" outlineLevel="0" collapsed="false">
      <c r="A14" s="11" t="s">
        <v>36</v>
      </c>
      <c r="B14" s="12" t="n">
        <f aca="false">SUMIFS(Curated_Items!$S$5:$S$771,Curated_Items!$D$5:$D$771,$A14,Curated_Items!$H$5:$H$771,B$4,Curated_Items!$T$5:$T$771,1)</f>
        <v>87407.72</v>
      </c>
      <c r="C14" s="12" t="n">
        <f aca="false">SUMIFS(Curated_Items!$S$5:$S$771,Curated_Items!$D$5:$D$771,$A14,Curated_Items!$H$5:$H$771,C$4,Curated_Items!$T$5:$T$771,1)</f>
        <v>207823.27</v>
      </c>
      <c r="D14" s="12" t="n">
        <f aca="false">SUMIFS(Curated_Items!$S$5:$S$771,Curated_Items!$D$5:$D$771,$A14,Curated_Items!$H$5:$H$771,D$4,Curated_Items!$T$5:$T$771,1)</f>
        <v>52748.3</v>
      </c>
      <c r="E14" s="12" t="n">
        <f aca="false">SUMIFS(Curated_Items!$S$5:$S$771,Curated_Items!$D$5:$D$771,$A14,Curated_Items!$H$5:$H$771,E$4,Curated_Items!$T$5:$T$771,1)</f>
        <v>158595.93</v>
      </c>
      <c r="F14" s="12" t="n">
        <f aca="false">SUMIFS(Curated_Items!$S$5:$S$771,Curated_Items!$D$5:$D$771,$A14,Curated_Items!$H$5:$H$771,F$4,Curated_Items!$T$5:$T$771,1)</f>
        <v>46075.44</v>
      </c>
      <c r="G14" s="12" t="n">
        <f aca="false">SUMIFS(Curated_Items!$S$5:$S$771,Curated_Items!$D$5:$D$771,$A14,Curated_Items!$H$5:$H$771,G$4,Curated_Items!$T$5:$T$771,1)</f>
        <v>0</v>
      </c>
      <c r="H14" s="13" t="n">
        <f aca="false">SUM(B14:G14)</f>
        <v>552650.66</v>
      </c>
    </row>
    <row r="15" customFormat="false" ht="15" hidden="false" customHeight="false" outlineLevel="0" collapsed="false">
      <c r="A15" s="11" t="s">
        <v>37</v>
      </c>
      <c r="B15" s="12" t="n">
        <f aca="false">SUMIFS(Curated_Items!$S$5:$S$771,Curated_Items!$D$5:$D$771,$A15,Curated_Items!$H$5:$H$771,B$4,Curated_Items!$T$5:$T$771,1)</f>
        <v>66132.8</v>
      </c>
      <c r="C15" s="12" t="n">
        <f aca="false">SUMIFS(Curated_Items!$S$5:$S$771,Curated_Items!$D$5:$D$771,$A15,Curated_Items!$H$5:$H$771,C$4,Curated_Items!$T$5:$T$771,1)</f>
        <v>427275.13</v>
      </c>
      <c r="D15" s="12" t="n">
        <f aca="false">SUMIFS(Curated_Items!$S$5:$S$771,Curated_Items!$D$5:$D$771,$A15,Curated_Items!$H$5:$H$771,D$4,Curated_Items!$T$5:$T$771,1)</f>
        <v>437611.63</v>
      </c>
      <c r="E15" s="12" t="n">
        <f aca="false">SUMIFS(Curated_Items!$S$5:$S$771,Curated_Items!$D$5:$D$771,$A15,Curated_Items!$H$5:$H$771,E$4,Curated_Items!$T$5:$T$771,1)</f>
        <v>272902.43</v>
      </c>
      <c r="F15" s="12" t="n">
        <f aca="false">SUMIFS(Curated_Items!$S$5:$S$771,Curated_Items!$D$5:$D$771,$A15,Curated_Items!$H$5:$H$771,F$4,Curated_Items!$T$5:$T$771,1)</f>
        <v>185970.02</v>
      </c>
      <c r="G15" s="12" t="n">
        <f aca="false">SUMIFS(Curated_Items!$S$5:$S$771,Curated_Items!$D$5:$D$771,$A15,Curated_Items!$H$5:$H$771,G$4,Curated_Items!$T$5:$T$771,1)</f>
        <v>0</v>
      </c>
      <c r="H15" s="13" t="n">
        <f aca="false">SUM(B15:G15)</f>
        <v>1389892.01</v>
      </c>
    </row>
    <row r="16" customFormat="false" ht="15" hidden="false" customHeight="false" outlineLevel="0" collapsed="false">
      <c r="A16" s="11" t="s">
        <v>38</v>
      </c>
      <c r="B16" s="12" t="n">
        <f aca="false">SUMIFS(Curated_Items!$S$5:$S$771,Curated_Items!$D$5:$D$771,$A16,Curated_Items!$H$5:$H$771,B$4,Curated_Items!$T$5:$T$771,1)</f>
        <v>41429.58</v>
      </c>
      <c r="C16" s="12" t="n">
        <f aca="false">SUMIFS(Curated_Items!$S$5:$S$771,Curated_Items!$D$5:$D$771,$A16,Curated_Items!$H$5:$H$771,C$4,Curated_Items!$T$5:$T$771,1)</f>
        <v>116679.51</v>
      </c>
      <c r="D16" s="12" t="n">
        <f aca="false">SUMIFS(Curated_Items!$S$5:$S$771,Curated_Items!$D$5:$D$771,$A16,Curated_Items!$H$5:$H$771,D$4,Curated_Items!$T$5:$T$771,1)</f>
        <v>105216.93</v>
      </c>
      <c r="E16" s="12" t="n">
        <f aca="false">SUMIFS(Curated_Items!$S$5:$S$771,Curated_Items!$D$5:$D$771,$A16,Curated_Items!$H$5:$H$771,E$4,Curated_Items!$T$5:$T$771,1)</f>
        <v>247681.29</v>
      </c>
      <c r="F16" s="12" t="n">
        <f aca="false">SUMIFS(Curated_Items!$S$5:$S$771,Curated_Items!$D$5:$D$771,$A16,Curated_Items!$H$5:$H$771,F$4,Curated_Items!$T$5:$T$771,1)</f>
        <v>66447.79</v>
      </c>
      <c r="G16" s="12" t="n">
        <f aca="false">SUMIFS(Curated_Items!$S$5:$S$771,Curated_Items!$D$5:$D$771,$A16,Curated_Items!$H$5:$H$771,G$4,Curated_Items!$T$5:$T$771,1)</f>
        <v>18998.55</v>
      </c>
      <c r="H16" s="13" t="n">
        <f aca="false">SUM(B16:G16)</f>
        <v>596453.65</v>
      </c>
    </row>
    <row r="17" customFormat="false" ht="15" hidden="false" customHeight="false" outlineLevel="0" collapsed="false">
      <c r="A17" s="11" t="s">
        <v>39</v>
      </c>
      <c r="B17" s="12" t="n">
        <f aca="false">SUMIFS(Curated_Items!$S$5:$S$771,Curated_Items!$D$5:$D$771,$A17,Curated_Items!$H$5:$H$771,B$4,Curated_Items!$T$5:$T$771,1)</f>
        <v>140200.71</v>
      </c>
      <c r="C17" s="12" t="n">
        <f aca="false">SUMIFS(Curated_Items!$S$5:$S$771,Curated_Items!$D$5:$D$771,$A17,Curated_Items!$H$5:$H$771,C$4,Curated_Items!$T$5:$T$771,1)</f>
        <v>417329.01</v>
      </c>
      <c r="D17" s="12" t="n">
        <f aca="false">SUMIFS(Curated_Items!$S$5:$S$771,Curated_Items!$D$5:$D$771,$A17,Curated_Items!$H$5:$H$771,D$4,Curated_Items!$T$5:$T$771,1)</f>
        <v>128798.56</v>
      </c>
      <c r="E17" s="12" t="n">
        <f aca="false">SUMIFS(Curated_Items!$S$5:$S$771,Curated_Items!$D$5:$D$771,$A17,Curated_Items!$H$5:$H$771,E$4,Curated_Items!$T$5:$T$771,1)</f>
        <v>177854.62</v>
      </c>
      <c r="F17" s="12" t="n">
        <f aca="false">SUMIFS(Curated_Items!$S$5:$S$771,Curated_Items!$D$5:$D$771,$A17,Curated_Items!$H$5:$H$771,F$4,Curated_Items!$T$5:$T$771,1)</f>
        <v>214575.48</v>
      </c>
      <c r="G17" s="12" t="n">
        <f aca="false">SUMIFS(Curated_Items!$S$5:$S$771,Curated_Items!$D$5:$D$771,$A17,Curated_Items!$H$5:$H$771,G$4,Curated_Items!$T$5:$T$771,1)</f>
        <v>30577.39</v>
      </c>
      <c r="H17" s="13" t="n">
        <f aca="false">SUM(B17:G17)</f>
        <v>1109335.77</v>
      </c>
    </row>
    <row r="18" customFormat="false" ht="15" hidden="false" customHeight="false" outlineLevel="0" collapsed="false">
      <c r="A18" s="11" t="s">
        <v>40</v>
      </c>
      <c r="B18" s="12" t="n">
        <f aca="false">SUMIFS(Curated_Items!$S$5:$S$771,Curated_Items!$D$5:$D$771,$A18,Curated_Items!$H$5:$H$771,B$4,Curated_Items!$T$5:$T$771,1)</f>
        <v>337972.38</v>
      </c>
      <c r="C18" s="12" t="n">
        <f aca="false">SUMIFS(Curated_Items!$S$5:$S$771,Curated_Items!$D$5:$D$771,$A18,Curated_Items!$H$5:$H$771,C$4,Curated_Items!$T$5:$T$771,1)</f>
        <v>70549.12</v>
      </c>
      <c r="D18" s="12" t="n">
        <f aca="false">SUMIFS(Curated_Items!$S$5:$S$771,Curated_Items!$D$5:$D$771,$A18,Curated_Items!$H$5:$H$771,D$4,Curated_Items!$T$5:$T$771,1)</f>
        <v>334463.63</v>
      </c>
      <c r="E18" s="12" t="n">
        <f aca="false">SUMIFS(Curated_Items!$S$5:$S$771,Curated_Items!$D$5:$D$771,$A18,Curated_Items!$H$5:$H$771,E$4,Curated_Items!$T$5:$T$771,1)</f>
        <v>229920.6</v>
      </c>
      <c r="F18" s="12" t="n">
        <f aca="false">SUMIFS(Curated_Items!$S$5:$S$771,Curated_Items!$D$5:$D$771,$A18,Curated_Items!$H$5:$H$771,F$4,Curated_Items!$T$5:$T$771,1)</f>
        <v>211707.47</v>
      </c>
      <c r="G18" s="12" t="n">
        <f aca="false">SUMIFS(Curated_Items!$S$5:$S$771,Curated_Items!$D$5:$D$771,$A18,Curated_Items!$H$5:$H$771,G$4,Curated_Items!$T$5:$T$771,1)</f>
        <v>0</v>
      </c>
      <c r="H18" s="13" t="n">
        <f aca="false">SUM(B18:G18)</f>
        <v>1184613.2</v>
      </c>
    </row>
    <row r="19" customFormat="false" ht="15" hidden="false" customHeight="false" outlineLevel="0" collapsed="false">
      <c r="A19" s="11" t="s">
        <v>41</v>
      </c>
      <c r="B19" s="12" t="n">
        <f aca="false">SUMIFS(Curated_Items!$S$5:$S$771,Curated_Items!$D$5:$D$771,$A19,Curated_Items!$H$5:$H$771,B$4,Curated_Items!$T$5:$T$771,1)</f>
        <v>57577.43</v>
      </c>
      <c r="C19" s="12" t="n">
        <f aca="false">SUMIFS(Curated_Items!$S$5:$S$771,Curated_Items!$D$5:$D$771,$A19,Curated_Items!$H$5:$H$771,C$4,Curated_Items!$T$5:$T$771,1)</f>
        <v>45355.26</v>
      </c>
      <c r="D19" s="12" t="n">
        <f aca="false">SUMIFS(Curated_Items!$S$5:$S$771,Curated_Items!$D$5:$D$771,$A19,Curated_Items!$H$5:$H$771,D$4,Curated_Items!$T$5:$T$771,1)</f>
        <v>192538.47</v>
      </c>
      <c r="E19" s="12" t="n">
        <f aca="false">SUMIFS(Curated_Items!$S$5:$S$771,Curated_Items!$D$5:$D$771,$A19,Curated_Items!$H$5:$H$771,E$4,Curated_Items!$T$5:$T$771,1)</f>
        <v>194141.05</v>
      </c>
      <c r="F19" s="12" t="n">
        <f aca="false">SUMIFS(Curated_Items!$S$5:$S$771,Curated_Items!$D$5:$D$771,$A19,Curated_Items!$H$5:$H$771,F$4,Curated_Items!$T$5:$T$771,1)</f>
        <v>104096.99</v>
      </c>
      <c r="G19" s="12" t="n">
        <f aca="false">SUMIFS(Curated_Items!$S$5:$S$771,Curated_Items!$D$5:$D$771,$A19,Curated_Items!$H$5:$H$771,G$4,Curated_Items!$T$5:$T$771,1)</f>
        <v>0</v>
      </c>
      <c r="H19" s="13" t="n">
        <f aca="false">SUM(B19:G19)</f>
        <v>593709.2</v>
      </c>
    </row>
    <row r="20" customFormat="false" ht="15" hidden="false" customHeight="false" outlineLevel="0" collapsed="false">
      <c r="A20" s="11" t="s">
        <v>42</v>
      </c>
      <c r="B20" s="12" t="n">
        <f aca="false">SUMIFS(Curated_Items!$S$5:$S$771,Curated_Items!$D$5:$D$771,$A20,Curated_Items!$H$5:$H$771,B$4,Curated_Items!$T$5:$T$771,1)</f>
        <v>118608.1</v>
      </c>
      <c r="C20" s="12" t="n">
        <f aca="false">SUMIFS(Curated_Items!$S$5:$S$771,Curated_Items!$D$5:$D$771,$A20,Curated_Items!$H$5:$H$771,C$4,Curated_Items!$T$5:$T$771,1)</f>
        <v>381234.77</v>
      </c>
      <c r="D20" s="12" t="n">
        <f aca="false">SUMIFS(Curated_Items!$S$5:$S$771,Curated_Items!$D$5:$D$771,$A20,Curated_Items!$H$5:$H$771,D$4,Curated_Items!$T$5:$T$771,1)</f>
        <v>610809.96</v>
      </c>
      <c r="E20" s="12" t="n">
        <f aca="false">SUMIFS(Curated_Items!$S$5:$S$771,Curated_Items!$D$5:$D$771,$A20,Curated_Items!$H$5:$H$771,E$4,Curated_Items!$T$5:$T$771,1)</f>
        <v>240705.33</v>
      </c>
      <c r="F20" s="12" t="n">
        <f aca="false">SUMIFS(Curated_Items!$S$5:$S$771,Curated_Items!$D$5:$D$771,$A20,Curated_Items!$H$5:$H$771,F$4,Curated_Items!$T$5:$T$771,1)</f>
        <v>75170.62</v>
      </c>
      <c r="G20" s="12" t="n">
        <f aca="false">SUMIFS(Curated_Items!$S$5:$S$771,Curated_Items!$D$5:$D$771,$A20,Curated_Items!$H$5:$H$771,G$4,Curated_Items!$T$5:$T$771,1)</f>
        <v>26183.88</v>
      </c>
      <c r="H20" s="13" t="n">
        <f aca="false">SUM(B20:G20)</f>
        <v>1452712.66</v>
      </c>
    </row>
    <row r="21" customFormat="false" ht="15" hidden="false" customHeight="false" outlineLevel="0" collapsed="false">
      <c r="A21" s="11" t="s">
        <v>43</v>
      </c>
      <c r="B21" s="12" t="n">
        <f aca="false">SUMIFS(Curated_Items!$S$5:$S$771,Curated_Items!$D$5:$D$771,$A21,Curated_Items!$H$5:$H$771,B$4,Curated_Items!$T$5:$T$771,1)</f>
        <v>51469.25</v>
      </c>
      <c r="C21" s="12" t="n">
        <f aca="false">SUMIFS(Curated_Items!$S$5:$S$771,Curated_Items!$D$5:$D$771,$A21,Curated_Items!$H$5:$H$771,C$4,Curated_Items!$T$5:$T$771,1)</f>
        <v>356036.38</v>
      </c>
      <c r="D21" s="12" t="n">
        <f aca="false">SUMIFS(Curated_Items!$S$5:$S$771,Curated_Items!$D$5:$D$771,$A21,Curated_Items!$H$5:$H$771,D$4,Curated_Items!$T$5:$T$771,1)</f>
        <v>209363.49</v>
      </c>
      <c r="E21" s="12" t="n">
        <f aca="false">SUMIFS(Curated_Items!$S$5:$S$771,Curated_Items!$D$5:$D$771,$A21,Curated_Items!$H$5:$H$771,E$4,Curated_Items!$T$5:$T$771,1)</f>
        <v>116779.29</v>
      </c>
      <c r="F21" s="12" t="n">
        <f aca="false">SUMIFS(Curated_Items!$S$5:$S$771,Curated_Items!$D$5:$D$771,$A21,Curated_Items!$H$5:$H$771,F$4,Curated_Items!$T$5:$T$771,1)</f>
        <v>110371.06</v>
      </c>
      <c r="G21" s="12" t="n">
        <f aca="false">SUMIFS(Curated_Items!$S$5:$S$771,Curated_Items!$D$5:$D$771,$A21,Curated_Items!$H$5:$H$771,G$4,Curated_Items!$T$5:$T$771,1)</f>
        <v>38529.89</v>
      </c>
      <c r="H21" s="13" t="n">
        <f aca="false">SUM(B21:G21)</f>
        <v>882549.36</v>
      </c>
    </row>
    <row r="22" customFormat="false" ht="15" hidden="false" customHeight="false" outlineLevel="0" collapsed="false">
      <c r="A22" s="11" t="s">
        <v>44</v>
      </c>
      <c r="B22" s="12" t="n">
        <f aca="false">SUMIFS(Curated_Items!$S$5:$S$771,Curated_Items!$D$5:$D$771,$A22,Curated_Items!$H$5:$H$771,B$4,Curated_Items!$T$5:$T$771,1)</f>
        <v>248133.7</v>
      </c>
      <c r="C22" s="12" t="n">
        <f aca="false">SUMIFS(Curated_Items!$S$5:$S$771,Curated_Items!$D$5:$D$771,$A22,Curated_Items!$H$5:$H$771,C$4,Curated_Items!$T$5:$T$771,1)</f>
        <v>48532.3</v>
      </c>
      <c r="D22" s="12" t="n">
        <f aca="false">SUMIFS(Curated_Items!$S$5:$S$771,Curated_Items!$D$5:$D$771,$A22,Curated_Items!$H$5:$H$771,D$4,Curated_Items!$T$5:$T$771,1)</f>
        <v>268056.29</v>
      </c>
      <c r="E22" s="12" t="n">
        <f aca="false">SUMIFS(Curated_Items!$S$5:$S$771,Curated_Items!$D$5:$D$771,$A22,Curated_Items!$H$5:$H$771,E$4,Curated_Items!$T$5:$T$771,1)</f>
        <v>318508.89</v>
      </c>
      <c r="F22" s="12" t="n">
        <f aca="false">SUMIFS(Curated_Items!$S$5:$S$771,Curated_Items!$D$5:$D$771,$A22,Curated_Items!$H$5:$H$771,F$4,Curated_Items!$T$5:$T$771,1)</f>
        <v>137612.77</v>
      </c>
      <c r="G22" s="12" t="n">
        <f aca="false">SUMIFS(Curated_Items!$S$5:$S$771,Curated_Items!$D$5:$D$771,$A22,Curated_Items!$H$5:$H$771,G$4,Curated_Items!$T$5:$T$771,1)</f>
        <v>20278.89</v>
      </c>
      <c r="H22" s="13" t="n">
        <f aca="false">SUM(B22:G22)</f>
        <v>1041122.84</v>
      </c>
    </row>
    <row r="23" customFormat="false" ht="15" hidden="false" customHeight="false" outlineLevel="0" collapsed="false">
      <c r="A23" s="11" t="s">
        <v>45</v>
      </c>
      <c r="B23" s="12" t="n">
        <f aca="false">SUMIFS(Curated_Items!$S$5:$S$771,Curated_Items!$D$5:$D$771,$A23,Curated_Items!$H$5:$H$771,B$4,Curated_Items!$T$5:$T$771,1)</f>
        <v>115887.62</v>
      </c>
      <c r="C23" s="12" t="n">
        <f aca="false">SUMIFS(Curated_Items!$S$5:$S$771,Curated_Items!$D$5:$D$771,$A23,Curated_Items!$H$5:$H$771,C$4,Curated_Items!$T$5:$T$771,1)</f>
        <v>143355.76</v>
      </c>
      <c r="D23" s="12" t="n">
        <f aca="false">SUMIFS(Curated_Items!$S$5:$S$771,Curated_Items!$D$5:$D$771,$A23,Curated_Items!$H$5:$H$771,D$4,Curated_Items!$T$5:$T$771,1)</f>
        <v>246559.61</v>
      </c>
      <c r="E23" s="12" t="n">
        <f aca="false">SUMIFS(Curated_Items!$S$5:$S$771,Curated_Items!$D$5:$D$771,$A23,Curated_Items!$H$5:$H$771,E$4,Curated_Items!$T$5:$T$771,1)</f>
        <v>279714.55</v>
      </c>
      <c r="F23" s="12" t="n">
        <f aca="false">SUMIFS(Curated_Items!$S$5:$S$771,Curated_Items!$D$5:$D$771,$A23,Curated_Items!$H$5:$H$771,F$4,Curated_Items!$T$5:$T$771,1)</f>
        <v>161678.35</v>
      </c>
      <c r="G23" s="12" t="n">
        <f aca="false">SUMIFS(Curated_Items!$S$5:$S$771,Curated_Items!$D$5:$D$771,$A23,Curated_Items!$H$5:$H$771,G$4,Curated_Items!$T$5:$T$771,1)</f>
        <v>0</v>
      </c>
      <c r="H23" s="13" t="n">
        <f aca="false">SUM(B23:G23)</f>
        <v>947195.89</v>
      </c>
    </row>
    <row r="24" customFormat="false" ht="15" hidden="false" customHeight="false" outlineLevel="0" collapsed="false">
      <c r="A24" s="11" t="s">
        <v>46</v>
      </c>
      <c r="B24" s="12" t="n">
        <f aca="false">SUMIFS(Curated_Items!$S$5:$S$771,Curated_Items!$D$5:$D$771,$A24,Curated_Items!$H$5:$H$771,B$4,Curated_Items!$T$5:$T$771,1)</f>
        <v>161288.44</v>
      </c>
      <c r="C24" s="12" t="n">
        <f aca="false">SUMIFS(Curated_Items!$S$5:$S$771,Curated_Items!$D$5:$D$771,$A24,Curated_Items!$H$5:$H$771,C$4,Curated_Items!$T$5:$T$771,1)</f>
        <v>42120.13</v>
      </c>
      <c r="D24" s="12" t="n">
        <f aca="false">SUMIFS(Curated_Items!$S$5:$S$771,Curated_Items!$D$5:$D$771,$A24,Curated_Items!$H$5:$H$771,D$4,Curated_Items!$T$5:$T$771,1)</f>
        <v>92044.74</v>
      </c>
      <c r="E24" s="12" t="n">
        <f aca="false">SUMIFS(Curated_Items!$S$5:$S$771,Curated_Items!$D$5:$D$771,$A24,Curated_Items!$H$5:$H$771,E$4,Curated_Items!$T$5:$T$771,1)</f>
        <v>181288.99</v>
      </c>
      <c r="F24" s="12" t="n">
        <f aca="false">SUMIFS(Curated_Items!$S$5:$S$771,Curated_Items!$D$5:$D$771,$A24,Curated_Items!$H$5:$H$771,F$4,Curated_Items!$T$5:$T$771,1)</f>
        <v>176892.09</v>
      </c>
      <c r="G24" s="12" t="n">
        <f aca="false">SUMIFS(Curated_Items!$S$5:$S$771,Curated_Items!$D$5:$D$771,$A24,Curated_Items!$H$5:$H$771,G$4,Curated_Items!$T$5:$T$771,1)</f>
        <v>0</v>
      </c>
      <c r="H24" s="13" t="n">
        <f aca="false">SUM(B24:G24)</f>
        <v>653634.39</v>
      </c>
    </row>
    <row r="25" customFormat="false" ht="15" hidden="false" customHeight="false" outlineLevel="0" collapsed="false">
      <c r="A25" s="11" t="s">
        <v>47</v>
      </c>
      <c r="B25" s="12" t="n">
        <f aca="false">SUMIFS(Curated_Items!$S$5:$S$771,Curated_Items!$D$5:$D$771,$A25,Curated_Items!$H$5:$H$771,B$4,Curated_Items!$T$5:$T$771,1)</f>
        <v>51469.25</v>
      </c>
      <c r="C25" s="12" t="n">
        <f aca="false">SUMIFS(Curated_Items!$S$5:$S$771,Curated_Items!$D$5:$D$771,$A25,Curated_Items!$H$5:$H$771,C$4,Curated_Items!$T$5:$T$771,1)</f>
        <v>187035.41</v>
      </c>
      <c r="D25" s="12" t="n">
        <f aca="false">SUMIFS(Curated_Items!$S$5:$S$771,Curated_Items!$D$5:$D$771,$A25,Curated_Items!$H$5:$H$771,D$4,Curated_Items!$T$5:$T$771,1)</f>
        <v>88623.38</v>
      </c>
      <c r="E25" s="12" t="n">
        <f aca="false">SUMIFS(Curated_Items!$S$5:$S$771,Curated_Items!$D$5:$D$771,$A25,Curated_Items!$H$5:$H$771,E$4,Curated_Items!$T$5:$T$771,1)</f>
        <v>255138.94</v>
      </c>
      <c r="F25" s="12" t="n">
        <f aca="false">SUMIFS(Curated_Items!$S$5:$S$771,Curated_Items!$D$5:$D$771,$A25,Curated_Items!$H$5:$H$771,F$4,Curated_Items!$T$5:$T$771,1)</f>
        <v>5732.66</v>
      </c>
      <c r="G25" s="12" t="n">
        <f aca="false">SUMIFS(Curated_Items!$S$5:$S$771,Curated_Items!$D$5:$D$771,$A25,Curated_Items!$H$5:$H$771,G$4,Curated_Items!$T$5:$T$771,1)</f>
        <v>0</v>
      </c>
      <c r="H25" s="13" t="n">
        <f aca="false">SUM(B25:G25)</f>
        <v>587999.64</v>
      </c>
    </row>
    <row r="26" customFormat="false" ht="15" hidden="false" customHeight="false" outlineLevel="0" collapsed="false">
      <c r="A26" s="11" t="s">
        <v>48</v>
      </c>
      <c r="B26" s="12" t="n">
        <f aca="false">SUMIFS(Curated_Items!$S$5:$S$771,Curated_Items!$D$5:$D$771,$A26,Curated_Items!$H$5:$H$771,B$4,Curated_Items!$T$5:$T$771,1)</f>
        <v>85419.18</v>
      </c>
      <c r="C26" s="12" t="n">
        <f aca="false">SUMIFS(Curated_Items!$S$5:$S$771,Curated_Items!$D$5:$D$771,$A26,Curated_Items!$H$5:$H$771,C$4,Curated_Items!$T$5:$T$771,1)</f>
        <v>120478.75</v>
      </c>
      <c r="D26" s="12" t="n">
        <f aca="false">SUMIFS(Curated_Items!$S$5:$S$771,Curated_Items!$D$5:$D$771,$A26,Curated_Items!$H$5:$H$771,D$4,Curated_Items!$T$5:$T$771,1)</f>
        <v>257523.61</v>
      </c>
      <c r="E26" s="12" t="n">
        <f aca="false">SUMIFS(Curated_Items!$S$5:$S$771,Curated_Items!$D$5:$D$771,$A26,Curated_Items!$H$5:$H$771,E$4,Curated_Items!$T$5:$T$771,1)</f>
        <v>205931.5</v>
      </c>
      <c r="F26" s="12" t="n">
        <f aca="false">SUMIFS(Curated_Items!$S$5:$S$771,Curated_Items!$D$5:$D$771,$A26,Curated_Items!$H$5:$H$771,F$4,Curated_Items!$T$5:$T$771,1)</f>
        <v>33595.07</v>
      </c>
      <c r="G26" s="12" t="n">
        <f aca="false">SUMIFS(Curated_Items!$S$5:$S$771,Curated_Items!$D$5:$D$771,$A26,Curated_Items!$H$5:$H$771,G$4,Curated_Items!$T$5:$T$771,1)</f>
        <v>0</v>
      </c>
      <c r="H26" s="13" t="n">
        <f aca="false">SUM(B26:G26)</f>
        <v>702948.11</v>
      </c>
    </row>
    <row r="27" customFormat="false" ht="15" hidden="false" customHeight="false" outlineLevel="0" collapsed="false">
      <c r="A27" s="11" t="s">
        <v>49</v>
      </c>
      <c r="B27" s="12" t="n">
        <f aca="false">SUMIFS(Curated_Items!$S$5:$S$771,Curated_Items!$D$5:$D$771,$A27,Curated_Items!$H$5:$H$771,B$4,Curated_Items!$T$5:$T$771,1)</f>
        <v>48252.42</v>
      </c>
      <c r="C27" s="12" t="n">
        <f aca="false">SUMIFS(Curated_Items!$S$5:$S$771,Curated_Items!$D$5:$D$771,$A27,Curated_Items!$H$5:$H$771,C$4,Curated_Items!$T$5:$T$771,1)</f>
        <v>133378.93</v>
      </c>
      <c r="D27" s="12" t="n">
        <f aca="false">SUMIFS(Curated_Items!$S$5:$S$771,Curated_Items!$D$5:$D$771,$A27,Curated_Items!$H$5:$H$771,D$4,Curated_Items!$T$5:$T$771,1)</f>
        <v>353279.82</v>
      </c>
      <c r="E27" s="12" t="n">
        <f aca="false">SUMIFS(Curated_Items!$S$5:$S$771,Curated_Items!$D$5:$D$771,$A27,Curated_Items!$H$5:$H$771,E$4,Curated_Items!$T$5:$T$771,1)</f>
        <v>418883.75</v>
      </c>
      <c r="F27" s="12" t="n">
        <f aca="false">SUMIFS(Curated_Items!$S$5:$S$771,Curated_Items!$D$5:$D$771,$A27,Curated_Items!$H$5:$H$771,F$4,Curated_Items!$T$5:$T$771,1)</f>
        <v>9747.39</v>
      </c>
      <c r="G27" s="12" t="n">
        <f aca="false">SUMIFS(Curated_Items!$S$5:$S$771,Curated_Items!$D$5:$D$771,$A27,Curated_Items!$H$5:$H$771,G$4,Curated_Items!$T$5:$T$771,1)</f>
        <v>0</v>
      </c>
      <c r="H27" s="13" t="n">
        <f aca="false">SUM(B27:G27)</f>
        <v>963542.31</v>
      </c>
    </row>
    <row r="28" customFormat="false" ht="15" hidden="false" customHeight="false" outlineLevel="0" collapsed="false">
      <c r="A28" s="11" t="s">
        <v>50</v>
      </c>
      <c r="B28" s="12" t="n">
        <f aca="false">SUMIFS(Curated_Items!$S$5:$S$771,Curated_Items!$D$5:$D$771,$A28,Curated_Items!$H$5:$H$771,B$4,Curated_Items!$T$5:$T$771,1)</f>
        <v>66142.64</v>
      </c>
      <c r="C28" s="12" t="n">
        <f aca="false">SUMIFS(Curated_Items!$S$5:$S$771,Curated_Items!$D$5:$D$771,$A28,Curated_Items!$H$5:$H$771,C$4,Curated_Items!$T$5:$T$771,1)</f>
        <v>106059.75</v>
      </c>
      <c r="D28" s="12" t="n">
        <f aca="false">SUMIFS(Curated_Items!$S$5:$S$771,Curated_Items!$D$5:$D$771,$A28,Curated_Items!$H$5:$H$771,D$4,Curated_Items!$T$5:$T$771,1)</f>
        <v>109226.8</v>
      </c>
      <c r="E28" s="12" t="n">
        <f aca="false">SUMIFS(Curated_Items!$S$5:$S$771,Curated_Items!$D$5:$D$771,$A28,Curated_Items!$H$5:$H$771,E$4,Curated_Items!$T$5:$T$771,1)</f>
        <v>214269.32</v>
      </c>
      <c r="F28" s="12" t="n">
        <f aca="false">SUMIFS(Curated_Items!$S$5:$S$771,Curated_Items!$D$5:$D$771,$A28,Curated_Items!$H$5:$H$771,F$4,Curated_Items!$T$5:$T$771,1)</f>
        <v>280007.97</v>
      </c>
      <c r="G28" s="12" t="n">
        <f aca="false">SUMIFS(Curated_Items!$S$5:$S$771,Curated_Items!$D$5:$D$771,$A28,Curated_Items!$H$5:$H$771,G$4,Curated_Items!$T$5:$T$771,1)</f>
        <v>0</v>
      </c>
      <c r="H28" s="13" t="n">
        <f aca="false">SUM(B28:G28)</f>
        <v>775706.48</v>
      </c>
    </row>
    <row r="29" customFormat="false" ht="15" hidden="false" customHeight="false" outlineLevel="0" collapsed="false">
      <c r="A29" s="11" t="s">
        <v>51</v>
      </c>
      <c r="B29" s="12" t="n">
        <f aca="false">SUMIFS(Curated_Items!$S$5:$S$771,Curated_Items!$D$5:$D$771,$A29,Curated_Items!$H$5:$H$771,B$4,Curated_Items!$T$5:$T$771,1)</f>
        <v>123264.1</v>
      </c>
      <c r="C29" s="12" t="n">
        <f aca="false">SUMIFS(Curated_Items!$S$5:$S$771,Curated_Items!$D$5:$D$771,$A29,Curated_Items!$H$5:$H$771,C$4,Curated_Items!$T$5:$T$771,1)</f>
        <v>45834.77</v>
      </c>
      <c r="D29" s="12" t="n">
        <f aca="false">SUMIFS(Curated_Items!$S$5:$S$771,Curated_Items!$D$5:$D$771,$A29,Curated_Items!$H$5:$H$771,D$4,Curated_Items!$T$5:$T$771,1)</f>
        <v>239151.9</v>
      </c>
      <c r="E29" s="12" t="n">
        <f aca="false">SUMIFS(Curated_Items!$S$5:$S$771,Curated_Items!$D$5:$D$771,$A29,Curated_Items!$H$5:$H$771,E$4,Curated_Items!$T$5:$T$771,1)</f>
        <v>127431.97</v>
      </c>
      <c r="F29" s="12" t="n">
        <f aca="false">SUMIFS(Curated_Items!$S$5:$S$771,Curated_Items!$D$5:$D$771,$A29,Curated_Items!$H$5:$H$771,F$4,Curated_Items!$T$5:$T$771,1)</f>
        <v>46075.44</v>
      </c>
      <c r="G29" s="12" t="n">
        <f aca="false">SUMIFS(Curated_Items!$S$5:$S$771,Curated_Items!$D$5:$D$771,$A29,Curated_Items!$H$5:$H$771,G$4,Curated_Items!$T$5:$T$771,1)</f>
        <v>0</v>
      </c>
      <c r="H29" s="13" t="n">
        <f aca="false">SUM(B29:G29)</f>
        <v>581758.18</v>
      </c>
    </row>
    <row r="30" customFormat="false" ht="15" hidden="false" customHeight="false" outlineLevel="0" collapsed="false">
      <c r="A30" s="11" t="s">
        <v>52</v>
      </c>
      <c r="B30" s="12" t="n">
        <f aca="false">SUMIFS(Curated_Items!$S$5:$S$771,Curated_Items!$D$5:$D$771,$A30,Curated_Items!$H$5:$H$771,B$4,Curated_Items!$T$5:$T$771,1)</f>
        <v>179613.27</v>
      </c>
      <c r="C30" s="12" t="n">
        <f aca="false">SUMIFS(Curated_Items!$S$5:$S$771,Curated_Items!$D$5:$D$771,$A30,Curated_Items!$H$5:$H$771,C$4,Curated_Items!$T$5:$T$771,1)</f>
        <v>257363.36</v>
      </c>
      <c r="D30" s="12" t="n">
        <f aca="false">SUMIFS(Curated_Items!$S$5:$S$771,Curated_Items!$D$5:$D$771,$A30,Curated_Items!$H$5:$H$771,D$4,Curated_Items!$T$5:$T$771,1)</f>
        <v>324822.43</v>
      </c>
      <c r="E30" s="12" t="n">
        <f aca="false">SUMIFS(Curated_Items!$S$5:$S$771,Curated_Items!$D$5:$D$771,$A30,Curated_Items!$H$5:$H$771,E$4,Curated_Items!$T$5:$T$771,1)</f>
        <v>393519.84</v>
      </c>
      <c r="F30" s="12" t="n">
        <f aca="false">SUMIFS(Curated_Items!$S$5:$S$771,Curated_Items!$D$5:$D$771,$A30,Curated_Items!$H$5:$H$771,F$4,Curated_Items!$T$5:$T$771,1)</f>
        <v>268090.56</v>
      </c>
      <c r="G30" s="12" t="n">
        <f aca="false">SUMIFS(Curated_Items!$S$5:$S$771,Curated_Items!$D$5:$D$771,$A30,Curated_Items!$H$5:$H$771,G$4,Curated_Items!$T$5:$T$771,1)</f>
        <v>3774.98</v>
      </c>
      <c r="H30" s="13" t="n">
        <f aca="false">SUM(B30:G30)</f>
        <v>1427184.44</v>
      </c>
    </row>
    <row r="31" customFormat="false" ht="15" hidden="false" customHeight="false" outlineLevel="0" collapsed="false">
      <c r="A31" s="11" t="s">
        <v>53</v>
      </c>
      <c r="B31" s="12" t="n">
        <f aca="false">SUMIFS(Curated_Items!$S$5:$S$771,Curated_Items!$D$5:$D$771,$A31,Curated_Items!$H$5:$H$771,B$4,Curated_Items!$T$5:$T$771,1)</f>
        <v>83530.33</v>
      </c>
      <c r="C31" s="12" t="n">
        <f aca="false">SUMIFS(Curated_Items!$S$5:$S$771,Curated_Items!$D$5:$D$771,$A31,Curated_Items!$H$5:$H$771,C$4,Curated_Items!$T$5:$T$771,1)</f>
        <v>134726.36</v>
      </c>
      <c r="D31" s="12" t="n">
        <f aca="false">SUMIFS(Curated_Items!$S$5:$S$771,Curated_Items!$D$5:$D$771,$A31,Curated_Items!$H$5:$H$771,D$4,Curated_Items!$T$5:$T$771,1)</f>
        <v>69149.39</v>
      </c>
      <c r="E31" s="12" t="n">
        <f aca="false">SUMIFS(Curated_Items!$S$5:$S$771,Curated_Items!$D$5:$D$771,$A31,Curated_Items!$H$5:$H$771,E$4,Curated_Items!$T$5:$T$771,1)</f>
        <v>41045.66</v>
      </c>
      <c r="F31" s="12" t="n">
        <f aca="false">SUMIFS(Curated_Items!$S$5:$S$771,Curated_Items!$D$5:$D$771,$A31,Curated_Items!$H$5:$H$771,F$4,Curated_Items!$T$5:$T$771,1)</f>
        <v>13548.3</v>
      </c>
      <c r="G31" s="12" t="n">
        <f aca="false">SUMIFS(Curated_Items!$S$5:$S$771,Curated_Items!$D$5:$D$771,$A31,Curated_Items!$H$5:$H$771,G$4,Curated_Items!$T$5:$T$771,1)</f>
        <v>0</v>
      </c>
      <c r="H31" s="13" t="n">
        <f aca="false">SUM(B31:G31)</f>
        <v>342000.04</v>
      </c>
    </row>
    <row r="32" customFormat="false" ht="15" hidden="false" customHeight="false" outlineLevel="0" collapsed="false">
      <c r="A32" s="11" t="s">
        <v>54</v>
      </c>
      <c r="B32" s="12" t="n">
        <f aca="false">SUMIFS(Curated_Items!$S$5:$S$771,Curated_Items!$D$5:$D$771,$A32,Curated_Items!$H$5:$H$771,B$4,Curated_Items!$T$5:$T$771,1)</f>
        <v>15383.27</v>
      </c>
      <c r="C32" s="12" t="n">
        <f aca="false">SUMIFS(Curated_Items!$S$5:$S$771,Curated_Items!$D$5:$D$771,$A32,Curated_Items!$H$5:$H$771,C$4,Curated_Items!$T$5:$T$771,1)</f>
        <v>17597.06</v>
      </c>
      <c r="D32" s="12" t="n">
        <f aca="false">SUMIFS(Curated_Items!$S$5:$S$771,Curated_Items!$D$5:$D$771,$A32,Curated_Items!$H$5:$H$771,D$4,Curated_Items!$T$5:$T$771,1)</f>
        <v>0</v>
      </c>
      <c r="E32" s="12" t="n">
        <f aca="false">SUMIFS(Curated_Items!$S$5:$S$771,Curated_Items!$D$5:$D$771,$A32,Curated_Items!$H$5:$H$771,E$4,Curated_Items!$T$5:$T$771,1)</f>
        <v>3308</v>
      </c>
      <c r="F32" s="12" t="n">
        <f aca="false">SUMIFS(Curated_Items!$S$5:$S$771,Curated_Items!$D$5:$D$771,$A32,Curated_Items!$H$5:$H$771,F$4,Curated_Items!$T$5:$T$771,1)</f>
        <v>101394.45</v>
      </c>
      <c r="G32" s="12" t="n">
        <f aca="false">SUMIFS(Curated_Items!$S$5:$S$771,Curated_Items!$D$5:$D$771,$A32,Curated_Items!$H$5:$H$771,G$4,Curated_Items!$T$5:$T$771,1)</f>
        <v>0</v>
      </c>
      <c r="H32" s="13" t="n">
        <f aca="false">SUM(B32:G32)</f>
        <v>137682.78</v>
      </c>
    </row>
    <row r="33" customFormat="false" ht="15" hidden="false" customHeight="false" outlineLevel="0" collapsed="false">
      <c r="A33" s="14" t="s">
        <v>26</v>
      </c>
      <c r="B33" s="13" t="n">
        <f aca="false">SUM(B5:B32)</f>
        <v>2569374.44</v>
      </c>
      <c r="C33" s="13" t="n">
        <f aca="false">SUM(C5:C32)</f>
        <v>4024835.56</v>
      </c>
      <c r="D33" s="13" t="n">
        <f aca="false">SUM(D5:D32)</f>
        <v>4920588.45</v>
      </c>
      <c r="E33" s="13" t="n">
        <f aca="false">SUM(E5:E32)</f>
        <v>4834145.2</v>
      </c>
      <c r="F33" s="13" t="n">
        <f aca="false">SUM(F5:F32)</f>
        <v>2677280.59</v>
      </c>
      <c r="G33" s="13" t="n">
        <f aca="false">SUM(G5:G32)</f>
        <v>138343.58</v>
      </c>
      <c r="H33" s="13" t="n">
        <f aca="false">SUM(H5:H32)</f>
        <v>19164567.82</v>
      </c>
    </row>
    <row r="34" customFormat="false" ht="15" hidden="false" customHeight="false" outlineLevel="0" collapsed="false">
      <c r="A34" s="11" t="s">
        <v>55</v>
      </c>
      <c r="H34" s="12" t="n">
        <v>19164567.82</v>
      </c>
    </row>
    <row r="35" customFormat="false" ht="15" hidden="false" customHeight="false" outlineLevel="0" collapsed="false">
      <c r="A35" s="11" t="s">
        <v>56</v>
      </c>
      <c r="H35" s="15" t="n">
        <f aca="false">H33-H34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10" min="8" style="0" width="14"/>
  </cols>
  <sheetData>
    <row r="1" customFormat="false" ht="22.05" hidden="false" customHeight="false" outlineLevel="0" collapsed="false">
      <c r="A1" s="8" t="s">
        <v>57</v>
      </c>
    </row>
    <row r="2" customFormat="false" ht="314.9" hidden="false" customHeight="false" outlineLevel="0" collapsed="false">
      <c r="A2" s="9" t="s">
        <v>58</v>
      </c>
    </row>
    <row r="4" customFormat="false" ht="30" hidden="false" customHeight="true" outlineLevel="0" collapsed="false">
      <c r="A4" s="10" t="s">
        <v>59</v>
      </c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67</v>
      </c>
    </row>
    <row r="5" customFormat="false" ht="15" hidden="false" customHeight="false" outlineLevel="0" collapsed="false">
      <c r="A5" s="11" t="n">
        <v>1</v>
      </c>
      <c r="B5" s="11" t="s">
        <v>68</v>
      </c>
      <c r="C5" s="11" t="s">
        <v>69</v>
      </c>
      <c r="D5" s="11" t="s">
        <v>70</v>
      </c>
      <c r="E5" s="11" t="s">
        <v>71</v>
      </c>
      <c r="F5" s="11" t="n">
        <v>3</v>
      </c>
      <c r="G5" s="12" t="n">
        <v>532447.01</v>
      </c>
      <c r="H5" s="12" t="n">
        <v>0</v>
      </c>
      <c r="I5" s="12" t="n">
        <v>532447.01</v>
      </c>
    </row>
    <row r="6" customFormat="false" ht="15" hidden="false" customHeight="false" outlineLevel="0" collapsed="false">
      <c r="A6" s="11" t="n">
        <v>2</v>
      </c>
      <c r="B6" s="11" t="s">
        <v>72</v>
      </c>
      <c r="C6" s="11" t="s">
        <v>73</v>
      </c>
      <c r="D6" s="11" t="s">
        <v>74</v>
      </c>
      <c r="E6" s="11" t="s">
        <v>75</v>
      </c>
      <c r="F6" s="11" t="n">
        <v>2</v>
      </c>
      <c r="G6" s="12" t="n">
        <v>463604.51</v>
      </c>
      <c r="H6" s="12" t="n">
        <v>0</v>
      </c>
      <c r="I6" s="12" t="n">
        <v>463604.51</v>
      </c>
    </row>
    <row r="7" customFormat="false" ht="15" hidden="false" customHeight="false" outlineLevel="0" collapsed="false">
      <c r="A7" s="11" t="n">
        <v>3</v>
      </c>
      <c r="B7" s="11" t="s">
        <v>76</v>
      </c>
      <c r="C7" s="11" t="s">
        <v>77</v>
      </c>
      <c r="D7" s="11" t="s">
        <v>78</v>
      </c>
      <c r="E7" s="11" t="s">
        <v>79</v>
      </c>
      <c r="F7" s="11" t="n">
        <v>2</v>
      </c>
      <c r="G7" s="12" t="n">
        <v>341730.61</v>
      </c>
      <c r="H7" s="12" t="n">
        <v>0</v>
      </c>
      <c r="I7" s="12" t="n">
        <v>341730.61</v>
      </c>
    </row>
    <row r="8" customFormat="false" ht="15" hidden="false" customHeight="false" outlineLevel="0" collapsed="false">
      <c r="A8" s="11" t="n">
        <v>4</v>
      </c>
      <c r="B8" s="11" t="s">
        <v>80</v>
      </c>
      <c r="C8" s="11" t="s">
        <v>81</v>
      </c>
      <c r="D8" s="11" t="s">
        <v>82</v>
      </c>
      <c r="E8" s="11" t="s">
        <v>83</v>
      </c>
      <c r="F8" s="11" t="n">
        <v>3</v>
      </c>
      <c r="G8" s="12" t="n">
        <v>329199.63</v>
      </c>
      <c r="H8" s="12" t="n">
        <v>0</v>
      </c>
      <c r="I8" s="12" t="n">
        <v>329199.63</v>
      </c>
    </row>
    <row r="9" customFormat="false" ht="15" hidden="false" customHeight="false" outlineLevel="0" collapsed="false">
      <c r="A9" s="11" t="n">
        <v>5</v>
      </c>
      <c r="B9" s="11" t="s">
        <v>84</v>
      </c>
      <c r="C9" s="11" t="s">
        <v>85</v>
      </c>
      <c r="D9" s="11" t="s">
        <v>78</v>
      </c>
      <c r="E9" s="11" t="s">
        <v>86</v>
      </c>
      <c r="F9" s="11" t="n">
        <v>4</v>
      </c>
      <c r="G9" s="12" t="n">
        <v>328510.35</v>
      </c>
      <c r="H9" s="12" t="n">
        <v>0</v>
      </c>
      <c r="I9" s="12" t="n">
        <v>328510.35</v>
      </c>
    </row>
    <row r="10" customFormat="false" ht="15" hidden="false" customHeight="false" outlineLevel="0" collapsed="false">
      <c r="A10" s="11" t="n">
        <v>6</v>
      </c>
      <c r="B10" s="11" t="s">
        <v>87</v>
      </c>
      <c r="C10" s="11" t="s">
        <v>88</v>
      </c>
      <c r="D10" s="11" t="s">
        <v>82</v>
      </c>
      <c r="E10" s="11" t="s">
        <v>89</v>
      </c>
      <c r="F10" s="11" t="n">
        <v>4</v>
      </c>
      <c r="G10" s="12" t="n">
        <v>377880.04</v>
      </c>
      <c r="H10" s="12" t="n">
        <v>75816.05</v>
      </c>
      <c r="I10" s="12" t="n">
        <v>302063.99</v>
      </c>
    </row>
    <row r="11" customFormat="false" ht="15" hidden="false" customHeight="false" outlineLevel="0" collapsed="false">
      <c r="A11" s="11" t="n">
        <v>7</v>
      </c>
      <c r="B11" s="11" t="s">
        <v>90</v>
      </c>
      <c r="C11" s="11" t="s">
        <v>91</v>
      </c>
      <c r="D11" s="11" t="s">
        <v>74</v>
      </c>
      <c r="E11" s="11" t="s">
        <v>79</v>
      </c>
      <c r="F11" s="11" t="n">
        <v>3</v>
      </c>
      <c r="G11" s="12" t="n">
        <v>291047.36</v>
      </c>
      <c r="H11" s="12" t="n">
        <v>0</v>
      </c>
      <c r="I11" s="12" t="n">
        <v>291047.36</v>
      </c>
    </row>
    <row r="12" customFormat="false" ht="15" hidden="false" customHeight="false" outlineLevel="0" collapsed="false">
      <c r="A12" s="11" t="n">
        <v>8</v>
      </c>
      <c r="B12" s="11" t="s">
        <v>92</v>
      </c>
      <c r="C12" s="11" t="s">
        <v>93</v>
      </c>
      <c r="D12" s="11" t="s">
        <v>70</v>
      </c>
      <c r="E12" s="11" t="s">
        <v>94</v>
      </c>
      <c r="F12" s="11" t="n">
        <v>2</v>
      </c>
      <c r="G12" s="12" t="n">
        <v>268013.97</v>
      </c>
      <c r="H12" s="12" t="n">
        <v>0</v>
      </c>
      <c r="I12" s="12" t="n">
        <v>268013.97</v>
      </c>
    </row>
    <row r="13" customFormat="false" ht="15" hidden="false" customHeight="false" outlineLevel="0" collapsed="false">
      <c r="A13" s="11" t="n">
        <v>9</v>
      </c>
      <c r="B13" s="11" t="s">
        <v>95</v>
      </c>
      <c r="C13" s="11" t="s">
        <v>96</v>
      </c>
      <c r="D13" s="11" t="s">
        <v>78</v>
      </c>
      <c r="E13" s="11" t="s">
        <v>97</v>
      </c>
      <c r="F13" s="11" t="n">
        <v>3</v>
      </c>
      <c r="G13" s="12" t="n">
        <v>284905.07</v>
      </c>
      <c r="H13" s="12" t="n">
        <v>19128.89</v>
      </c>
      <c r="I13" s="12" t="n">
        <v>265776.18</v>
      </c>
    </row>
    <row r="14" customFormat="false" ht="15" hidden="false" customHeight="false" outlineLevel="0" collapsed="false">
      <c r="A14" s="11" t="n">
        <v>10</v>
      </c>
      <c r="B14" s="11" t="s">
        <v>98</v>
      </c>
      <c r="C14" s="11" t="s">
        <v>99</v>
      </c>
      <c r="D14" s="11" t="s">
        <v>70</v>
      </c>
      <c r="E14" s="11" t="s">
        <v>83</v>
      </c>
      <c r="F14" s="11" t="n">
        <v>2</v>
      </c>
      <c r="G14" s="12" t="n">
        <v>259380.42</v>
      </c>
      <c r="H14" s="12" t="n">
        <v>0</v>
      </c>
      <c r="I14" s="12" t="n">
        <v>259380.42</v>
      </c>
    </row>
    <row r="16" customFormat="false" ht="15" hidden="false" customHeight="false" outlineLevel="0" collapsed="false">
      <c r="A16" s="11" t="s">
        <v>100</v>
      </c>
      <c r="I16" s="12" t="n">
        <v>562442.51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6"/>
  </cols>
  <sheetData>
    <row r="1" customFormat="false" ht="22.05" hidden="false" customHeight="false" outlineLevel="0" collapsed="false">
      <c r="A1" s="8" t="s">
        <v>101</v>
      </c>
    </row>
    <row r="2" customFormat="false" ht="137.3" hidden="false" customHeight="false" outlineLevel="0" collapsed="false">
      <c r="A2" s="9" t="s">
        <v>102</v>
      </c>
    </row>
    <row r="4" customFormat="false" ht="30" hidden="false" customHeight="true" outlineLevel="0" collapsed="false">
      <c r="A4" s="10" t="s">
        <v>103</v>
      </c>
      <c r="B4" s="10" t="s">
        <v>104</v>
      </c>
      <c r="C4" s="10" t="s">
        <v>105</v>
      </c>
      <c r="D4" s="10" t="s">
        <v>64</v>
      </c>
      <c r="E4" s="10" t="s">
        <v>106</v>
      </c>
      <c r="F4" s="10" t="s">
        <v>107</v>
      </c>
    </row>
    <row r="5" customFormat="false" ht="15" hidden="false" customHeight="false" outlineLevel="0" collapsed="false">
      <c r="A5" s="11" t="s">
        <v>82</v>
      </c>
      <c r="B5" s="11" t="n">
        <v>36</v>
      </c>
      <c r="C5" s="11" t="n">
        <v>22</v>
      </c>
      <c r="D5" s="11" t="n">
        <v>36</v>
      </c>
      <c r="E5" s="12" t="n">
        <v>2747177.55</v>
      </c>
      <c r="F5" s="12" t="n">
        <v>76310.4875</v>
      </c>
    </row>
    <row r="6" customFormat="false" ht="15" hidden="false" customHeight="false" outlineLevel="0" collapsed="false">
      <c r="A6" s="11" t="s">
        <v>70</v>
      </c>
      <c r="B6" s="11" t="n">
        <v>38</v>
      </c>
      <c r="C6" s="11" t="n">
        <v>21</v>
      </c>
      <c r="D6" s="11" t="n">
        <v>33</v>
      </c>
      <c r="E6" s="12" t="n">
        <v>3234111.38</v>
      </c>
      <c r="F6" s="12" t="n">
        <v>98003.3751515152</v>
      </c>
    </row>
    <row r="7" customFormat="false" ht="15" hidden="false" customHeight="false" outlineLevel="0" collapsed="false">
      <c r="A7" s="11" t="s">
        <v>78</v>
      </c>
      <c r="B7" s="11" t="n">
        <v>44</v>
      </c>
      <c r="C7" s="11" t="n">
        <v>30</v>
      </c>
      <c r="D7" s="11" t="n">
        <v>51</v>
      </c>
      <c r="E7" s="12" t="n">
        <v>4083493.44</v>
      </c>
      <c r="F7" s="12" t="n">
        <v>80068.4988235294</v>
      </c>
    </row>
    <row r="8" customFormat="false" ht="15" hidden="false" customHeight="false" outlineLevel="0" collapsed="false">
      <c r="A8" s="11" t="s">
        <v>74</v>
      </c>
      <c r="B8" s="11" t="n">
        <v>40</v>
      </c>
      <c r="C8" s="11" t="n">
        <v>25</v>
      </c>
      <c r="D8" s="11" t="n">
        <v>36</v>
      </c>
      <c r="E8" s="12" t="n">
        <v>3204268.13</v>
      </c>
      <c r="F8" s="12" t="n">
        <v>89007.4480555556</v>
      </c>
    </row>
    <row r="9" customFormat="false" ht="15" hidden="false" customHeight="false" outlineLevel="0" collapsed="false">
      <c r="A9" s="14" t="s">
        <v>26</v>
      </c>
      <c r="B9" s="13" t="n">
        <f aca="false">SUM(B5:B8)</f>
        <v>158</v>
      </c>
      <c r="C9" s="13" t="n">
        <f aca="false">SUM(C5:C8)</f>
        <v>98</v>
      </c>
      <c r="D9" s="13" t="n">
        <f aca="false">SUM(D5:D8)</f>
        <v>156</v>
      </c>
      <c r="E9" s="13" t="n">
        <f aca="false">SUM(E5:E8)</f>
        <v>13269050.5</v>
      </c>
      <c r="F9" s="13" t="n">
        <f aca="false">E9/D9</f>
        <v>85058.016025641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"/>
    <col collapsed="false" customWidth="true" hidden="false" outlineLevel="0" max="9" min="9" style="0" width="11"/>
    <col collapsed="false" customWidth="true" hidden="false" outlineLevel="0" max="12" min="10" style="0" width="13"/>
  </cols>
  <sheetData>
    <row r="1" customFormat="false" ht="22.05" hidden="false" customHeight="false" outlineLevel="0" collapsed="false">
      <c r="A1" s="8" t="s">
        <v>108</v>
      </c>
    </row>
    <row r="2" customFormat="false" ht="231.3" hidden="false" customHeight="false" outlineLevel="0" collapsed="false">
      <c r="A2" s="9" t="s">
        <v>109</v>
      </c>
    </row>
    <row r="4" customFormat="false" ht="30" hidden="false" customHeight="true" outlineLevel="0" collapsed="false">
      <c r="A4" s="10" t="s">
        <v>110</v>
      </c>
      <c r="B4" s="10" t="s">
        <v>19</v>
      </c>
      <c r="C4" s="10" t="s">
        <v>4</v>
      </c>
      <c r="D4" s="10" t="s">
        <v>2</v>
      </c>
      <c r="E4" s="10" t="s">
        <v>111</v>
      </c>
      <c r="F4" s="10" t="s">
        <v>112</v>
      </c>
      <c r="I4" s="10" t="s">
        <v>19</v>
      </c>
      <c r="J4" s="10" t="s">
        <v>113</v>
      </c>
      <c r="K4" s="10" t="s">
        <v>114</v>
      </c>
      <c r="L4" s="10" t="s">
        <v>115</v>
      </c>
    </row>
    <row r="5" customFormat="false" ht="15" hidden="false" customHeight="false" outlineLevel="0" collapsed="false">
      <c r="A5" s="11" t="s">
        <v>113</v>
      </c>
      <c r="B5" s="11" t="s">
        <v>32</v>
      </c>
      <c r="C5" s="16" t="n">
        <v>6</v>
      </c>
      <c r="D5" s="12" t="n">
        <v>506719.81</v>
      </c>
      <c r="E5" s="11" t="s">
        <v>116</v>
      </c>
      <c r="F5" s="11" t="s">
        <v>116</v>
      </c>
      <c r="I5" s="11" t="s">
        <v>32</v>
      </c>
      <c r="J5" s="12" t="n">
        <f aca="false">D5</f>
        <v>506719.81</v>
      </c>
      <c r="K5" s="12" t="n">
        <f aca="false">D29</f>
        <v>77292.09</v>
      </c>
      <c r="L5" s="12" t="n">
        <f aca="false">D53</f>
        <v>122707.68</v>
      </c>
    </row>
    <row r="6" customFormat="false" ht="15" hidden="false" customHeight="false" outlineLevel="0" collapsed="false">
      <c r="A6" s="11" t="s">
        <v>113</v>
      </c>
      <c r="B6" s="11" t="s">
        <v>33</v>
      </c>
      <c r="C6" s="16" t="n">
        <v>3</v>
      </c>
      <c r="D6" s="12" t="n">
        <v>328038.05</v>
      </c>
      <c r="E6" s="17" t="n">
        <f aca="false">IF(C5&gt;0,C6/C5-1,"n/a")</f>
        <v>-0.5</v>
      </c>
      <c r="F6" s="17" t="n">
        <f aca="false">IF(D5&gt;0,D6/D5-1,"n/a")</f>
        <v>-0.352624382299165</v>
      </c>
      <c r="I6" s="11" t="s">
        <v>33</v>
      </c>
      <c r="J6" s="12" t="n">
        <f aca="false">D6</f>
        <v>328038.05</v>
      </c>
      <c r="K6" s="12" t="n">
        <f aca="false">D30</f>
        <v>176780.78</v>
      </c>
      <c r="L6" s="12" t="n">
        <f aca="false">D54</f>
        <v>255100.92</v>
      </c>
    </row>
    <row r="7" customFormat="false" ht="15" hidden="false" customHeight="false" outlineLevel="0" collapsed="false">
      <c r="A7" s="11" t="s">
        <v>113</v>
      </c>
      <c r="B7" s="11" t="s">
        <v>34</v>
      </c>
      <c r="C7" s="16" t="n">
        <v>5</v>
      </c>
      <c r="D7" s="12" t="n">
        <v>340581.28</v>
      </c>
      <c r="E7" s="17" t="n">
        <f aca="false">IF(C6&gt;0,C7/C6-1,"n/a")</f>
        <v>0.666666666666667</v>
      </c>
      <c r="F7" s="17" t="n">
        <f aca="false">IF(D6&gt;0,D7/D6-1,"n/a")</f>
        <v>0.0382371191390756</v>
      </c>
      <c r="I7" s="11" t="s">
        <v>34</v>
      </c>
      <c r="J7" s="12" t="n">
        <f aca="false">D7</f>
        <v>340581.28</v>
      </c>
      <c r="K7" s="12" t="n">
        <f aca="false">D31</f>
        <v>336137.86</v>
      </c>
      <c r="L7" s="12" t="n">
        <f aca="false">D55</f>
        <v>219349.23</v>
      </c>
    </row>
    <row r="8" customFormat="false" ht="15" hidden="false" customHeight="false" outlineLevel="0" collapsed="false">
      <c r="A8" s="11" t="s">
        <v>113</v>
      </c>
      <c r="B8" s="11" t="s">
        <v>35</v>
      </c>
      <c r="C8" s="16" t="n">
        <v>3</v>
      </c>
      <c r="D8" s="12" t="n">
        <v>272281.13</v>
      </c>
      <c r="E8" s="17" t="n">
        <f aca="false">IF(C7&gt;0,C8/C7-1,"n/a")</f>
        <v>-0.4</v>
      </c>
      <c r="F8" s="17" t="n">
        <f aca="false">IF(D7&gt;0,D8/D7-1,"n/a")</f>
        <v>-0.20053994159632</v>
      </c>
      <c r="I8" s="11" t="s">
        <v>35</v>
      </c>
      <c r="J8" s="12" t="n">
        <f aca="false">D8</f>
        <v>272281.13</v>
      </c>
      <c r="K8" s="12" t="n">
        <f aca="false">D32</f>
        <v>22580.5</v>
      </c>
      <c r="L8" s="12" t="n">
        <f aca="false">D56</f>
        <v>235186.27</v>
      </c>
    </row>
    <row r="9" customFormat="false" ht="15" hidden="false" customHeight="false" outlineLevel="0" collapsed="false">
      <c r="A9" s="11" t="s">
        <v>113</v>
      </c>
      <c r="B9" s="11" t="s">
        <v>36</v>
      </c>
      <c r="C9" s="16" t="n">
        <v>2</v>
      </c>
      <c r="D9" s="12" t="n">
        <v>248097.95</v>
      </c>
      <c r="E9" s="17" t="n">
        <f aca="false">IF(C8&gt;0,C9/C8-1,"n/a")</f>
        <v>-0.333333333333333</v>
      </c>
      <c r="F9" s="17" t="n">
        <f aca="false">IF(D8&gt;0,D9/D8-1,"n/a")</f>
        <v>-0.0888169518027194</v>
      </c>
      <c r="I9" s="11" t="s">
        <v>36</v>
      </c>
      <c r="J9" s="12" t="n">
        <f aca="false">D9</f>
        <v>248097.95</v>
      </c>
      <c r="K9" s="12" t="n">
        <f aca="false">D33</f>
        <v>304552.71</v>
      </c>
      <c r="L9" s="12" t="n">
        <f aca="false">D57</f>
        <v>0</v>
      </c>
    </row>
    <row r="10" customFormat="false" ht="15" hidden="false" customHeight="false" outlineLevel="0" collapsed="false">
      <c r="A10" s="11" t="s">
        <v>113</v>
      </c>
      <c r="B10" s="11" t="s">
        <v>37</v>
      </c>
      <c r="C10" s="16" t="n">
        <v>9</v>
      </c>
      <c r="D10" s="12" t="n">
        <v>684406.22</v>
      </c>
      <c r="E10" s="17" t="n">
        <f aca="false">IF(C9&gt;0,C10/C9-1,"n/a")</f>
        <v>3.5</v>
      </c>
      <c r="F10" s="17" t="n">
        <f aca="false">IF(D9&gt;0,D10/D9-1,"n/a")</f>
        <v>1.75861295911554</v>
      </c>
      <c r="I10" s="11" t="s">
        <v>37</v>
      </c>
      <c r="J10" s="12" t="n">
        <f aca="false">D10</f>
        <v>684406.22</v>
      </c>
      <c r="K10" s="12" t="n">
        <f aca="false">D34</f>
        <v>563769.51</v>
      </c>
      <c r="L10" s="12" t="n">
        <f aca="false">D58</f>
        <v>141716.28</v>
      </c>
    </row>
    <row r="11" customFormat="false" ht="15" hidden="false" customHeight="false" outlineLevel="0" collapsed="false">
      <c r="A11" s="11" t="s">
        <v>113</v>
      </c>
      <c r="B11" s="11" t="s">
        <v>38</v>
      </c>
      <c r="C11" s="16" t="n">
        <v>5</v>
      </c>
      <c r="D11" s="12" t="n">
        <v>218621.63</v>
      </c>
      <c r="E11" s="17" t="n">
        <f aca="false">IF(C10&gt;0,C11/C10-1,"n/a")</f>
        <v>-0.444444444444444</v>
      </c>
      <c r="F11" s="17" t="n">
        <f aca="false">IF(D10&gt;0,D11/D10-1,"n/a")</f>
        <v>-0.680567441365451</v>
      </c>
      <c r="I11" s="11" t="s">
        <v>38</v>
      </c>
      <c r="J11" s="12" t="n">
        <f aca="false">D11</f>
        <v>218621.63</v>
      </c>
      <c r="K11" s="12" t="n">
        <f aca="false">D35</f>
        <v>134606.36</v>
      </c>
      <c r="L11" s="12" t="n">
        <f aca="false">D59</f>
        <v>243225.66</v>
      </c>
    </row>
    <row r="12" customFormat="false" ht="15" hidden="false" customHeight="false" outlineLevel="0" collapsed="false">
      <c r="A12" s="11" t="s">
        <v>113</v>
      </c>
      <c r="B12" s="11" t="s">
        <v>39</v>
      </c>
      <c r="C12" s="16" t="n">
        <v>1</v>
      </c>
      <c r="D12" s="12" t="n">
        <v>60641.05</v>
      </c>
      <c r="E12" s="17" t="n">
        <f aca="false">IF(C11&gt;0,C12/C11-1,"n/a")</f>
        <v>-0.8</v>
      </c>
      <c r="F12" s="17" t="n">
        <f aca="false">IF(D11&gt;0,D12/D11-1,"n/a")</f>
        <v>-0.722620995918839</v>
      </c>
      <c r="I12" s="11" t="s">
        <v>39</v>
      </c>
      <c r="J12" s="12" t="n">
        <f aca="false">D12</f>
        <v>60641.05</v>
      </c>
      <c r="K12" s="12" t="n">
        <f aca="false">D36</f>
        <v>293046.3</v>
      </c>
      <c r="L12" s="12" t="n">
        <f aca="false">D60</f>
        <v>755648.42</v>
      </c>
    </row>
    <row r="13" customFormat="false" ht="15" hidden="false" customHeight="false" outlineLevel="0" collapsed="false">
      <c r="A13" s="11" t="s">
        <v>113</v>
      </c>
      <c r="B13" s="11" t="s">
        <v>40</v>
      </c>
      <c r="C13" s="16" t="n">
        <v>1</v>
      </c>
      <c r="D13" s="12" t="n">
        <v>190124.75</v>
      </c>
      <c r="E13" s="17" t="n">
        <f aca="false">IF(C12&gt;0,C13/C12-1,"n/a")</f>
        <v>0</v>
      </c>
      <c r="F13" s="17" t="n">
        <f aca="false">IF(D12&gt;0,D13/D12-1,"n/a")</f>
        <v>2.13524831776495</v>
      </c>
      <c r="I13" s="11" t="s">
        <v>40</v>
      </c>
      <c r="J13" s="12" t="n">
        <f aca="false">D13</f>
        <v>190124.75</v>
      </c>
      <c r="K13" s="12" t="n">
        <f aca="false">D37</f>
        <v>633815.95</v>
      </c>
      <c r="L13" s="12" t="n">
        <f aca="false">D61</f>
        <v>360672.5</v>
      </c>
    </row>
    <row r="14" customFormat="false" ht="15" hidden="false" customHeight="false" outlineLevel="0" collapsed="false">
      <c r="A14" s="11" t="s">
        <v>113</v>
      </c>
      <c r="B14" s="11" t="s">
        <v>41</v>
      </c>
      <c r="C14" s="16" t="n">
        <v>3</v>
      </c>
      <c r="D14" s="12" t="n">
        <v>274270.91</v>
      </c>
      <c r="E14" s="17" t="n">
        <f aca="false">IF(C13&gt;0,C14/C13-1,"n/a")</f>
        <v>2</v>
      </c>
      <c r="F14" s="17" t="n">
        <f aca="false">IF(D13&gt;0,D14/D13-1,"n/a")</f>
        <v>0.442583935021611</v>
      </c>
      <c r="I14" s="11" t="s">
        <v>41</v>
      </c>
      <c r="J14" s="12" t="n">
        <f aca="false">D14</f>
        <v>274270.91</v>
      </c>
      <c r="K14" s="12" t="n">
        <f aca="false">D38</f>
        <v>122920.6</v>
      </c>
      <c r="L14" s="12" t="n">
        <f aca="false">D62</f>
        <v>196517.69</v>
      </c>
    </row>
    <row r="15" customFormat="false" ht="15" hidden="false" customHeight="false" outlineLevel="0" collapsed="false">
      <c r="A15" s="11" t="s">
        <v>113</v>
      </c>
      <c r="B15" s="11" t="s">
        <v>42</v>
      </c>
      <c r="C15" s="16" t="n">
        <v>9</v>
      </c>
      <c r="D15" s="12" t="n">
        <v>953580.21</v>
      </c>
      <c r="E15" s="17" t="n">
        <f aca="false">IF(C14&gt;0,C15/C14-1,"n/a")</f>
        <v>2</v>
      </c>
      <c r="F15" s="17" t="n">
        <f aca="false">IF(D14&gt;0,D15/D14-1,"n/a")</f>
        <v>2.47678217132105</v>
      </c>
      <c r="I15" s="11" t="s">
        <v>42</v>
      </c>
      <c r="J15" s="12" t="n">
        <f aca="false">D15</f>
        <v>953580.21</v>
      </c>
      <c r="K15" s="12" t="n">
        <f aca="false">D39</f>
        <v>499132.45</v>
      </c>
      <c r="L15" s="12" t="n">
        <f aca="false">D63</f>
        <v>0</v>
      </c>
    </row>
    <row r="16" customFormat="false" ht="15" hidden="false" customHeight="false" outlineLevel="0" collapsed="false">
      <c r="A16" s="11" t="s">
        <v>113</v>
      </c>
      <c r="B16" s="11" t="s">
        <v>43</v>
      </c>
      <c r="C16" s="16" t="n">
        <v>2</v>
      </c>
      <c r="D16" s="12" t="n">
        <v>254049.75</v>
      </c>
      <c r="E16" s="17" t="n">
        <f aca="false">IF(C15&gt;0,C16/C15-1,"n/a")</f>
        <v>-0.777777777777778</v>
      </c>
      <c r="F16" s="17" t="n">
        <f aca="false">IF(D15&gt;0,D16/D15-1,"n/a")</f>
        <v>-0.733583239945804</v>
      </c>
      <c r="I16" s="11" t="s">
        <v>43</v>
      </c>
      <c r="J16" s="12" t="n">
        <f aca="false">D16</f>
        <v>254049.75</v>
      </c>
      <c r="K16" s="12" t="n">
        <f aca="false">D40</f>
        <v>322813.04</v>
      </c>
      <c r="L16" s="12" t="n">
        <f aca="false">D64</f>
        <v>305686.57</v>
      </c>
    </row>
    <row r="17" customFormat="false" ht="15" hidden="false" customHeight="false" outlineLevel="0" collapsed="false">
      <c r="A17" s="11" t="s">
        <v>113</v>
      </c>
      <c r="B17" s="11" t="s">
        <v>44</v>
      </c>
      <c r="C17" s="16" t="n">
        <v>4</v>
      </c>
      <c r="D17" s="12" t="n">
        <v>323432.52</v>
      </c>
      <c r="E17" s="17" t="n">
        <f aca="false">IF(C16&gt;0,C17/C16-1,"n/a")</f>
        <v>1</v>
      </c>
      <c r="F17" s="17" t="n">
        <f aca="false">IF(D16&gt;0,D17/D16-1,"n/a")</f>
        <v>0.273107019392855</v>
      </c>
      <c r="I17" s="11" t="s">
        <v>44</v>
      </c>
      <c r="J17" s="12" t="n">
        <f aca="false">D17</f>
        <v>323432.52</v>
      </c>
      <c r="K17" s="12" t="n">
        <f aca="false">D41</f>
        <v>331101.22</v>
      </c>
      <c r="L17" s="12" t="n">
        <f aca="false">D65</f>
        <v>386589.1</v>
      </c>
    </row>
    <row r="18" customFormat="false" ht="15" hidden="false" customHeight="false" outlineLevel="0" collapsed="false">
      <c r="A18" s="11" t="s">
        <v>113</v>
      </c>
      <c r="B18" s="11" t="s">
        <v>45</v>
      </c>
      <c r="C18" s="16" t="n">
        <v>3</v>
      </c>
      <c r="D18" s="12" t="n">
        <v>148468.21</v>
      </c>
      <c r="E18" s="17" t="n">
        <f aca="false">IF(C17&gt;0,C18/C17-1,"n/a")</f>
        <v>-0.25</v>
      </c>
      <c r="F18" s="17" t="n">
        <f aca="false">IF(D17&gt;0,D18/D17-1,"n/a")</f>
        <v>-0.540960785266738</v>
      </c>
      <c r="I18" s="11" t="s">
        <v>45</v>
      </c>
      <c r="J18" s="12" t="n">
        <f aca="false">D18</f>
        <v>148468.21</v>
      </c>
      <c r="K18" s="12" t="n">
        <f aca="false">D42</f>
        <v>318165.85</v>
      </c>
      <c r="L18" s="12" t="n">
        <f aca="false">D66</f>
        <v>480561.83</v>
      </c>
    </row>
    <row r="19" customFormat="false" ht="15" hidden="false" customHeight="false" outlineLevel="0" collapsed="false">
      <c r="A19" s="11" t="s">
        <v>113</v>
      </c>
      <c r="B19" s="11" t="s">
        <v>46</v>
      </c>
      <c r="C19" s="16" t="n">
        <v>5</v>
      </c>
      <c r="D19" s="12" t="n">
        <v>473336.92</v>
      </c>
      <c r="E19" s="17" t="n">
        <f aca="false">IF(C18&gt;0,C19/C18-1,"n/a")</f>
        <v>0.666666666666667</v>
      </c>
      <c r="F19" s="17" t="n">
        <f aca="false">IF(D18&gt;0,D19/D18-1,"n/a")</f>
        <v>2.18813650410414</v>
      </c>
      <c r="I19" s="11" t="s">
        <v>46</v>
      </c>
      <c r="J19" s="12" t="n">
        <f aca="false">D19</f>
        <v>473336.92</v>
      </c>
      <c r="K19" s="12" t="n">
        <f aca="false">D43</f>
        <v>86286.71</v>
      </c>
      <c r="L19" s="12" t="n">
        <f aca="false">D67</f>
        <v>94010.76</v>
      </c>
    </row>
    <row r="20" customFormat="false" ht="15" hidden="false" customHeight="false" outlineLevel="0" collapsed="false">
      <c r="A20" s="11" t="s">
        <v>113</v>
      </c>
      <c r="B20" s="11" t="s">
        <v>47</v>
      </c>
      <c r="C20" s="16" t="n">
        <v>2</v>
      </c>
      <c r="D20" s="12" t="n">
        <v>237540.88</v>
      </c>
      <c r="E20" s="17" t="n">
        <f aca="false">IF(C19&gt;0,C20/C19-1,"n/a")</f>
        <v>-0.6</v>
      </c>
      <c r="F20" s="17" t="n">
        <f aca="false">IF(D19&gt;0,D20/D19-1,"n/a")</f>
        <v>-0.498156873121159</v>
      </c>
      <c r="I20" s="11" t="s">
        <v>47</v>
      </c>
      <c r="J20" s="12" t="n">
        <f aca="false">D20</f>
        <v>237540.88</v>
      </c>
      <c r="K20" s="12" t="n">
        <f aca="false">D44</f>
        <v>224568.96</v>
      </c>
      <c r="L20" s="12" t="n">
        <f aca="false">D68</f>
        <v>125889.8</v>
      </c>
    </row>
    <row r="21" customFormat="false" ht="15" hidden="false" customHeight="false" outlineLevel="0" collapsed="false">
      <c r="A21" s="11" t="s">
        <v>113</v>
      </c>
      <c r="B21" s="11" t="s">
        <v>48</v>
      </c>
      <c r="C21" s="16" t="n">
        <v>2</v>
      </c>
      <c r="D21" s="12" t="n">
        <v>110677.44</v>
      </c>
      <c r="E21" s="17" t="n">
        <f aca="false">IF(C20&gt;0,C21/C20-1,"n/a")</f>
        <v>0</v>
      </c>
      <c r="F21" s="17" t="n">
        <f aca="false">IF(D20&gt;0,D21/D20-1,"n/a")</f>
        <v>-0.53406992514299</v>
      </c>
      <c r="I21" s="11" t="s">
        <v>48</v>
      </c>
      <c r="J21" s="12" t="n">
        <f aca="false">D21</f>
        <v>110677.44</v>
      </c>
      <c r="K21" s="12" t="n">
        <f aca="false">D45</f>
        <v>451257.23</v>
      </c>
      <c r="L21" s="12" t="n">
        <f aca="false">D69</f>
        <v>141013.44</v>
      </c>
    </row>
    <row r="22" customFormat="false" ht="15" hidden="false" customHeight="false" outlineLevel="0" collapsed="false">
      <c r="A22" s="11" t="s">
        <v>113</v>
      </c>
      <c r="B22" s="11" t="s">
        <v>49</v>
      </c>
      <c r="C22" s="16" t="n">
        <v>3</v>
      </c>
      <c r="D22" s="12" t="n">
        <v>135586.5</v>
      </c>
      <c r="E22" s="17" t="n">
        <f aca="false">IF(C21&gt;0,C22/C21-1,"n/a")</f>
        <v>0.5</v>
      </c>
      <c r="F22" s="17" t="n">
        <f aca="false">IF(D21&gt;0,D22/D21-1,"n/a")</f>
        <v>0.225059958018545</v>
      </c>
      <c r="I22" s="11" t="s">
        <v>49</v>
      </c>
      <c r="J22" s="12" t="n">
        <f aca="false">D22</f>
        <v>135586.5</v>
      </c>
      <c r="K22" s="12" t="n">
        <f aca="false">D46</f>
        <v>334211.67</v>
      </c>
      <c r="L22" s="12" t="n">
        <f aca="false">D70</f>
        <v>493744.14</v>
      </c>
    </row>
    <row r="23" customFormat="false" ht="15" hidden="false" customHeight="false" outlineLevel="0" collapsed="false">
      <c r="A23" s="11" t="s">
        <v>113</v>
      </c>
      <c r="B23" s="11" t="s">
        <v>50</v>
      </c>
      <c r="C23" s="16" t="n">
        <v>2</v>
      </c>
      <c r="D23" s="12" t="n">
        <v>219205.72</v>
      </c>
      <c r="E23" s="17" t="n">
        <f aca="false">IF(C22&gt;0,C23/C22-1,"n/a")</f>
        <v>-0.333333333333333</v>
      </c>
      <c r="F23" s="17" t="n">
        <f aca="false">IF(D22&gt;0,D23/D22-1,"n/a")</f>
        <v>0.616722313799678</v>
      </c>
      <c r="I23" s="11" t="s">
        <v>50</v>
      </c>
      <c r="J23" s="12" t="n">
        <f aca="false">D23</f>
        <v>219205.72</v>
      </c>
      <c r="K23" s="12" t="n">
        <f aca="false">D47</f>
        <v>401249.11</v>
      </c>
      <c r="L23" s="12" t="n">
        <f aca="false">D71</f>
        <v>155251.65</v>
      </c>
    </row>
    <row r="24" customFormat="false" ht="15" hidden="false" customHeight="false" outlineLevel="0" collapsed="false">
      <c r="A24" s="11" t="s">
        <v>113</v>
      </c>
      <c r="B24" s="11" t="s">
        <v>51</v>
      </c>
      <c r="C24" s="16" t="n">
        <v>4</v>
      </c>
      <c r="D24" s="12" t="n">
        <v>396034.7</v>
      </c>
      <c r="E24" s="17" t="n">
        <f aca="false">IF(C23&gt;0,C24/C23-1,"n/a")</f>
        <v>1</v>
      </c>
      <c r="F24" s="17" t="n">
        <f aca="false">IF(D23&gt;0,D24/D23-1,"n/a")</f>
        <v>0.806680500855543</v>
      </c>
      <c r="I24" s="11" t="s">
        <v>51</v>
      </c>
      <c r="J24" s="12" t="n">
        <f aca="false">D24</f>
        <v>396034.7</v>
      </c>
      <c r="K24" s="12" t="n">
        <f aca="false">D48</f>
        <v>81509.36</v>
      </c>
      <c r="L24" s="12" t="n">
        <f aca="false">D72</f>
        <v>104214.12</v>
      </c>
    </row>
    <row r="25" customFormat="false" ht="15" hidden="false" customHeight="false" outlineLevel="0" collapsed="false">
      <c r="A25" s="11" t="s">
        <v>113</v>
      </c>
      <c r="B25" s="11" t="s">
        <v>52</v>
      </c>
      <c r="C25" s="16" t="n">
        <v>7</v>
      </c>
      <c r="D25" s="12" t="n">
        <v>831388.67</v>
      </c>
      <c r="E25" s="17" t="n">
        <f aca="false">IF(C24&gt;0,C25/C24-1,"n/a")</f>
        <v>0.75</v>
      </c>
      <c r="F25" s="17" t="n">
        <f aca="false">IF(D24&gt;0,D25/D24-1,"n/a")</f>
        <v>1.09928238611415</v>
      </c>
      <c r="I25" s="11" t="s">
        <v>52</v>
      </c>
      <c r="J25" s="12" t="n">
        <f aca="false">D25</f>
        <v>831388.67</v>
      </c>
      <c r="K25" s="12" t="n">
        <f aca="false">D49</f>
        <v>447985.32</v>
      </c>
      <c r="L25" s="12" t="n">
        <f aca="false">D73</f>
        <v>147810.45</v>
      </c>
    </row>
    <row r="26" customFormat="false" ht="15" hidden="false" customHeight="false" outlineLevel="0" collapsed="false">
      <c r="A26" s="11" t="s">
        <v>113</v>
      </c>
      <c r="B26" s="11" t="s">
        <v>53</v>
      </c>
      <c r="C26" s="16" t="n">
        <v>1</v>
      </c>
      <c r="D26" s="12" t="n">
        <v>31749.05</v>
      </c>
      <c r="E26" s="17" t="n">
        <f aca="false">IF(C25&gt;0,C26/C25-1,"n/a")</f>
        <v>-0.857142857142857</v>
      </c>
      <c r="F26" s="17" t="n">
        <f aca="false">IF(D25&gt;0,D26/D25-1,"n/a")</f>
        <v>-0.961812024693577</v>
      </c>
      <c r="I26" s="11" t="s">
        <v>53</v>
      </c>
      <c r="J26" s="12" t="n">
        <f aca="false">D26</f>
        <v>31749.05</v>
      </c>
      <c r="K26" s="12" t="n">
        <f aca="false">D50</f>
        <v>87341.29</v>
      </c>
      <c r="L26" s="12" t="n">
        <f aca="false">D74</f>
        <v>222909.7</v>
      </c>
    </row>
    <row r="27" customFormat="false" ht="15" hidden="false" customHeight="false" outlineLevel="0" collapsed="false">
      <c r="A27" s="11" t="s">
        <v>113</v>
      </c>
      <c r="B27" s="11" t="s">
        <v>117</v>
      </c>
      <c r="C27" s="16" t="n">
        <v>0</v>
      </c>
      <c r="D27" s="12" t="n">
        <v>0</v>
      </c>
      <c r="E27" s="17" t="n">
        <f aca="false">IF(C26&gt;0,C27/C26-1,"n/a")</f>
        <v>-1</v>
      </c>
      <c r="F27" s="17" t="n">
        <f aca="false">IF(D26&gt;0,D27/D26-1,"n/a")</f>
        <v>-1</v>
      </c>
      <c r="I27" s="11" t="s">
        <v>117</v>
      </c>
      <c r="J27" s="12" t="n">
        <f aca="false">D27</f>
        <v>0</v>
      </c>
      <c r="K27" s="12" t="n">
        <f aca="false">D51</f>
        <v>0</v>
      </c>
      <c r="L27" s="12" t="n">
        <f aca="false">D75</f>
        <v>0</v>
      </c>
    </row>
    <row r="28" customFormat="false" ht="15" hidden="false" customHeight="false" outlineLevel="0" collapsed="false">
      <c r="A28" s="11" t="s">
        <v>113</v>
      </c>
      <c r="B28" s="11" t="s">
        <v>54</v>
      </c>
      <c r="C28" s="16" t="n">
        <v>0</v>
      </c>
      <c r="D28" s="12" t="n">
        <v>0</v>
      </c>
      <c r="E28" s="17" t="str">
        <f aca="false">IF(C27&gt;0,C28/C27-1,"n/a")</f>
        <v>n/a</v>
      </c>
      <c r="F28" s="17" t="str">
        <f aca="false">IF(D27&gt;0,D28/D27-1,"n/a")</f>
        <v>n/a</v>
      </c>
      <c r="I28" s="11" t="s">
        <v>54</v>
      </c>
      <c r="J28" s="12" t="n">
        <f aca="false">D28</f>
        <v>0</v>
      </c>
      <c r="K28" s="12" t="n">
        <f aca="false">D52</f>
        <v>0</v>
      </c>
      <c r="L28" s="12" t="n">
        <f aca="false">D76</f>
        <v>137682.78</v>
      </c>
    </row>
    <row r="29" customFormat="false" ht="15" hidden="false" customHeight="false" outlineLevel="0" collapsed="false">
      <c r="A29" s="11" t="s">
        <v>114</v>
      </c>
      <c r="B29" s="11" t="s">
        <v>32</v>
      </c>
      <c r="C29" s="16" t="n">
        <v>2</v>
      </c>
      <c r="D29" s="12" t="n">
        <v>77292.09</v>
      </c>
      <c r="E29" s="11" t="s">
        <v>116</v>
      </c>
      <c r="F29" s="11" t="s">
        <v>116</v>
      </c>
    </row>
    <row r="30" customFormat="false" ht="15" hidden="false" customHeight="false" outlineLevel="0" collapsed="false">
      <c r="A30" s="11" t="s">
        <v>114</v>
      </c>
      <c r="B30" s="11" t="s">
        <v>33</v>
      </c>
      <c r="C30" s="16" t="n">
        <v>2</v>
      </c>
      <c r="D30" s="12" t="n">
        <v>176780.78</v>
      </c>
      <c r="E30" s="17" t="n">
        <f aca="false">IF(C29&gt;0,C30/C29-1,"n/a")</f>
        <v>0</v>
      </c>
      <c r="F30" s="17" t="n">
        <f aca="false">IF(D29&gt;0,D30/D29-1,"n/a")</f>
        <v>1.28717815755791</v>
      </c>
    </row>
    <row r="31" customFormat="false" ht="15" hidden="false" customHeight="false" outlineLevel="0" collapsed="false">
      <c r="A31" s="11" t="s">
        <v>114</v>
      </c>
      <c r="B31" s="11" t="s">
        <v>34</v>
      </c>
      <c r="C31" s="16" t="n">
        <v>4</v>
      </c>
      <c r="D31" s="12" t="n">
        <v>336137.86</v>
      </c>
      <c r="E31" s="17" t="n">
        <f aca="false">IF(C30&gt;0,C31/C30-1,"n/a")</f>
        <v>1</v>
      </c>
      <c r="F31" s="17" t="n">
        <f aca="false">IF(D30&gt;0,D31/D30-1,"n/a")</f>
        <v>0.901438946021168</v>
      </c>
    </row>
    <row r="32" customFormat="false" ht="15" hidden="false" customHeight="false" outlineLevel="0" collapsed="false">
      <c r="A32" s="11" t="s">
        <v>114</v>
      </c>
      <c r="B32" s="11" t="s">
        <v>35</v>
      </c>
      <c r="C32" s="16" t="n">
        <v>1</v>
      </c>
      <c r="D32" s="12" t="n">
        <v>22580.5</v>
      </c>
      <c r="E32" s="17" t="n">
        <f aca="false">IF(C31&gt;0,C32/C31-1,"n/a")</f>
        <v>-0.75</v>
      </c>
      <c r="F32" s="17" t="n">
        <f aca="false">IF(D31&gt;0,D32/D31-1,"n/a")</f>
        <v>-0.932823693231105</v>
      </c>
    </row>
    <row r="33" customFormat="false" ht="15" hidden="false" customHeight="false" outlineLevel="0" collapsed="false">
      <c r="A33" s="11" t="s">
        <v>114</v>
      </c>
      <c r="B33" s="11" t="s">
        <v>36</v>
      </c>
      <c r="C33" s="16" t="n">
        <v>4</v>
      </c>
      <c r="D33" s="12" t="n">
        <v>304552.71</v>
      </c>
      <c r="E33" s="17" t="n">
        <f aca="false">IF(C32&gt;0,C33/C32-1,"n/a")</f>
        <v>3</v>
      </c>
      <c r="F33" s="17" t="n">
        <f aca="false">IF(D32&gt;0,D33/D32-1,"n/a")</f>
        <v>12.4874210048493</v>
      </c>
    </row>
    <row r="34" customFormat="false" ht="15" hidden="false" customHeight="false" outlineLevel="0" collapsed="false">
      <c r="A34" s="11" t="s">
        <v>114</v>
      </c>
      <c r="B34" s="11" t="s">
        <v>37</v>
      </c>
      <c r="C34" s="16" t="n">
        <v>4</v>
      </c>
      <c r="D34" s="12" t="n">
        <v>563769.51</v>
      </c>
      <c r="E34" s="17" t="n">
        <f aca="false">IF(C33&gt;0,C34/C33-1,"n/a")</f>
        <v>0</v>
      </c>
      <c r="F34" s="17" t="n">
        <f aca="false">IF(D33&gt;0,D34/D33-1,"n/a")</f>
        <v>0.851139364348457</v>
      </c>
    </row>
    <row r="35" customFormat="false" ht="15" hidden="false" customHeight="false" outlineLevel="0" collapsed="false">
      <c r="A35" s="11" t="s">
        <v>114</v>
      </c>
      <c r="B35" s="11" t="s">
        <v>38</v>
      </c>
      <c r="C35" s="16" t="n">
        <v>1</v>
      </c>
      <c r="D35" s="12" t="n">
        <v>134606.36</v>
      </c>
      <c r="E35" s="17" t="n">
        <f aca="false">IF(C34&gt;0,C35/C34-1,"n/a")</f>
        <v>-0.75</v>
      </c>
      <c r="F35" s="17" t="n">
        <f aca="false">IF(D34&gt;0,D35/D34-1,"n/a")</f>
        <v>-0.761238666489786</v>
      </c>
    </row>
    <row r="36" customFormat="false" ht="15" hidden="false" customHeight="false" outlineLevel="0" collapsed="false">
      <c r="A36" s="11" t="s">
        <v>114</v>
      </c>
      <c r="B36" s="11" t="s">
        <v>39</v>
      </c>
      <c r="C36" s="16" t="n">
        <v>3</v>
      </c>
      <c r="D36" s="12" t="n">
        <v>293046.3</v>
      </c>
      <c r="E36" s="17" t="n">
        <f aca="false">IF(C35&gt;0,C36/C35-1,"n/a")</f>
        <v>2</v>
      </c>
      <c r="F36" s="17" t="n">
        <f aca="false">IF(D35&gt;0,D36/D35-1,"n/a")</f>
        <v>1.17706132161957</v>
      </c>
    </row>
    <row r="37" customFormat="false" ht="15" hidden="false" customHeight="false" outlineLevel="0" collapsed="false">
      <c r="A37" s="11" t="s">
        <v>114</v>
      </c>
      <c r="B37" s="11" t="s">
        <v>40</v>
      </c>
      <c r="C37" s="16" t="n">
        <v>8</v>
      </c>
      <c r="D37" s="12" t="n">
        <v>633815.95</v>
      </c>
      <c r="E37" s="17" t="n">
        <f aca="false">IF(C36&gt;0,C37/C36-1,"n/a")</f>
        <v>1.66666666666667</v>
      </c>
      <c r="F37" s="17" t="n">
        <f aca="false">IF(D36&gt;0,D37/D36-1,"n/a")</f>
        <v>1.1628525936004</v>
      </c>
    </row>
    <row r="38" customFormat="false" ht="15" hidden="false" customHeight="false" outlineLevel="0" collapsed="false">
      <c r="A38" s="11" t="s">
        <v>114</v>
      </c>
      <c r="B38" s="11" t="s">
        <v>41</v>
      </c>
      <c r="C38" s="16" t="n">
        <v>2</v>
      </c>
      <c r="D38" s="12" t="n">
        <v>122920.6</v>
      </c>
      <c r="E38" s="17" t="n">
        <f aca="false">IF(C37&gt;0,C38/C37-1,"n/a")</f>
        <v>-0.75</v>
      </c>
      <c r="F38" s="17" t="n">
        <f aca="false">IF(D37&gt;0,D38/D37-1,"n/a")</f>
        <v>-0.806062627486733</v>
      </c>
    </row>
    <row r="39" customFormat="false" ht="15" hidden="false" customHeight="false" outlineLevel="0" collapsed="false">
      <c r="A39" s="11" t="s">
        <v>114</v>
      </c>
      <c r="B39" s="11" t="s">
        <v>42</v>
      </c>
      <c r="C39" s="16" t="n">
        <v>7</v>
      </c>
      <c r="D39" s="12" t="n">
        <v>499132.45</v>
      </c>
      <c r="E39" s="17" t="n">
        <f aca="false">IF(C38&gt;0,C39/C38-1,"n/a")</f>
        <v>2.5</v>
      </c>
      <c r="F39" s="17" t="n">
        <f aca="false">IF(D38&gt;0,D39/D38-1,"n/a")</f>
        <v>3.06060863679481</v>
      </c>
    </row>
    <row r="40" customFormat="false" ht="15" hidden="false" customHeight="false" outlineLevel="0" collapsed="false">
      <c r="A40" s="11" t="s">
        <v>114</v>
      </c>
      <c r="B40" s="11" t="s">
        <v>43</v>
      </c>
      <c r="C40" s="16" t="n">
        <v>2</v>
      </c>
      <c r="D40" s="12" t="n">
        <v>322813.04</v>
      </c>
      <c r="E40" s="17" t="n">
        <f aca="false">IF(C39&gt;0,C40/C39-1,"n/a")</f>
        <v>-0.714285714285714</v>
      </c>
      <c r="F40" s="17" t="n">
        <f aca="false">IF(D39&gt;0,D40/D39-1,"n/a")</f>
        <v>-0.353251747106404</v>
      </c>
    </row>
    <row r="41" customFormat="false" ht="15" hidden="false" customHeight="false" outlineLevel="0" collapsed="false">
      <c r="A41" s="11" t="s">
        <v>114</v>
      </c>
      <c r="B41" s="11" t="s">
        <v>44</v>
      </c>
      <c r="C41" s="16" t="n">
        <v>4</v>
      </c>
      <c r="D41" s="12" t="n">
        <v>331101.22</v>
      </c>
      <c r="E41" s="17" t="n">
        <f aca="false">IF(C40&gt;0,C41/C40-1,"n/a")</f>
        <v>1</v>
      </c>
      <c r="F41" s="17" t="n">
        <f aca="false">IF(D40&gt;0,D41/D40-1,"n/a")</f>
        <v>0.0256748612137849</v>
      </c>
    </row>
    <row r="42" customFormat="false" ht="15" hidden="false" customHeight="false" outlineLevel="0" collapsed="false">
      <c r="A42" s="11" t="s">
        <v>114</v>
      </c>
      <c r="B42" s="11" t="s">
        <v>45</v>
      </c>
      <c r="C42" s="16" t="n">
        <v>4</v>
      </c>
      <c r="D42" s="12" t="n">
        <v>318165.85</v>
      </c>
      <c r="E42" s="17" t="n">
        <f aca="false">IF(C41&gt;0,C42/C41-1,"n/a")</f>
        <v>0</v>
      </c>
      <c r="F42" s="17" t="n">
        <f aca="false">IF(D41&gt;0,D42/D41-1,"n/a")</f>
        <v>-0.0390677207411075</v>
      </c>
    </row>
    <row r="43" customFormat="false" ht="15" hidden="false" customHeight="false" outlineLevel="0" collapsed="false">
      <c r="A43" s="11" t="s">
        <v>114</v>
      </c>
      <c r="B43" s="11" t="s">
        <v>46</v>
      </c>
      <c r="C43" s="16" t="n">
        <v>2</v>
      </c>
      <c r="D43" s="12" t="n">
        <v>86286.71</v>
      </c>
      <c r="E43" s="17" t="n">
        <f aca="false">IF(C42&gt;0,C43/C42-1,"n/a")</f>
        <v>-0.5</v>
      </c>
      <c r="F43" s="17" t="n">
        <f aca="false">IF(D42&gt;0,D43/D42-1,"n/a")</f>
        <v>-0.728799586756404</v>
      </c>
    </row>
    <row r="44" customFormat="false" ht="15" hidden="false" customHeight="false" outlineLevel="0" collapsed="false">
      <c r="A44" s="11" t="s">
        <v>114</v>
      </c>
      <c r="B44" s="11" t="s">
        <v>47</v>
      </c>
      <c r="C44" s="16" t="n">
        <v>2</v>
      </c>
      <c r="D44" s="12" t="n">
        <v>224568.96</v>
      </c>
      <c r="E44" s="17" t="n">
        <f aca="false">IF(C43&gt;0,C44/C43-1,"n/a")</f>
        <v>0</v>
      </c>
      <c r="F44" s="17" t="n">
        <f aca="false">IF(D43&gt;0,D44/D43-1,"n/a")</f>
        <v>1.60259036414762</v>
      </c>
    </row>
    <row r="45" customFormat="false" ht="15" hidden="false" customHeight="false" outlineLevel="0" collapsed="false">
      <c r="A45" s="11" t="s">
        <v>114</v>
      </c>
      <c r="B45" s="11" t="s">
        <v>48</v>
      </c>
      <c r="C45" s="16" t="n">
        <v>5</v>
      </c>
      <c r="D45" s="12" t="n">
        <v>451257.23</v>
      </c>
      <c r="E45" s="17" t="n">
        <f aca="false">IF(C44&gt;0,C45/C44-1,"n/a")</f>
        <v>1.5</v>
      </c>
      <c r="F45" s="17" t="n">
        <f aca="false">IF(D44&gt;0,D45/D44-1,"n/a")</f>
        <v>1.0094372347808</v>
      </c>
    </row>
    <row r="46" customFormat="false" ht="15" hidden="false" customHeight="false" outlineLevel="0" collapsed="false">
      <c r="A46" s="11" t="s">
        <v>114</v>
      </c>
      <c r="B46" s="11" t="s">
        <v>49</v>
      </c>
      <c r="C46" s="16" t="n">
        <v>5</v>
      </c>
      <c r="D46" s="12" t="n">
        <v>334211.67</v>
      </c>
      <c r="E46" s="17" t="n">
        <f aca="false">IF(C45&gt;0,C46/C45-1,"n/a")</f>
        <v>0</v>
      </c>
      <c r="F46" s="17" t="n">
        <f aca="false">IF(D45&gt;0,D46/D45-1,"n/a")</f>
        <v>-0.259376586608928</v>
      </c>
    </row>
    <row r="47" customFormat="false" ht="15" hidden="false" customHeight="false" outlineLevel="0" collapsed="false">
      <c r="A47" s="11" t="s">
        <v>114</v>
      </c>
      <c r="B47" s="11" t="s">
        <v>50</v>
      </c>
      <c r="C47" s="16" t="n">
        <v>6</v>
      </c>
      <c r="D47" s="12" t="n">
        <v>401249.11</v>
      </c>
      <c r="E47" s="17" t="n">
        <f aca="false">IF(C46&gt;0,C47/C46-1,"n/a")</f>
        <v>0.2</v>
      </c>
      <c r="F47" s="17" t="n">
        <f aca="false">IF(D46&gt;0,D47/D46-1,"n/a")</f>
        <v>0.200583779734562</v>
      </c>
    </row>
    <row r="48" customFormat="false" ht="15" hidden="false" customHeight="false" outlineLevel="0" collapsed="false">
      <c r="A48" s="11" t="s">
        <v>114</v>
      </c>
      <c r="B48" s="11" t="s">
        <v>51</v>
      </c>
      <c r="C48" s="16" t="n">
        <v>1</v>
      </c>
      <c r="D48" s="12" t="n">
        <v>81509.36</v>
      </c>
      <c r="E48" s="17" t="n">
        <f aca="false">IF(C47&gt;0,C48/C47-1,"n/a")</f>
        <v>-0.833333333333333</v>
      </c>
      <c r="F48" s="17" t="n">
        <f aca="false">IF(D47&gt;0,D48/D47-1,"n/a")</f>
        <v>-0.79686095752337</v>
      </c>
    </row>
    <row r="49" customFormat="false" ht="15" hidden="false" customHeight="false" outlineLevel="0" collapsed="false">
      <c r="A49" s="11" t="s">
        <v>114</v>
      </c>
      <c r="B49" s="11" t="s">
        <v>52</v>
      </c>
      <c r="C49" s="16" t="n">
        <v>5</v>
      </c>
      <c r="D49" s="12" t="n">
        <v>447985.32</v>
      </c>
      <c r="E49" s="17" t="n">
        <f aca="false">IF(C48&gt;0,C49/C48-1,"n/a")</f>
        <v>4</v>
      </c>
      <c r="F49" s="17" t="n">
        <f aca="false">IF(D48&gt;0,D49/D48-1,"n/a")</f>
        <v>4.49612118166552</v>
      </c>
    </row>
    <row r="50" customFormat="false" ht="15" hidden="false" customHeight="false" outlineLevel="0" collapsed="false">
      <c r="A50" s="11" t="s">
        <v>114</v>
      </c>
      <c r="B50" s="11" t="s">
        <v>53</v>
      </c>
      <c r="C50" s="16" t="n">
        <v>2</v>
      </c>
      <c r="D50" s="12" t="n">
        <v>87341.29</v>
      </c>
      <c r="E50" s="17" t="n">
        <f aca="false">IF(C49&gt;0,C50/C49-1,"n/a")</f>
        <v>-0.6</v>
      </c>
      <c r="F50" s="17" t="n">
        <f aca="false">IF(D49&gt;0,D50/D49-1,"n/a")</f>
        <v>-0.805035374819871</v>
      </c>
    </row>
    <row r="51" customFormat="false" ht="15" hidden="false" customHeight="false" outlineLevel="0" collapsed="false">
      <c r="A51" s="11" t="s">
        <v>114</v>
      </c>
      <c r="B51" s="11" t="s">
        <v>117</v>
      </c>
      <c r="C51" s="16" t="n">
        <v>0</v>
      </c>
      <c r="D51" s="12" t="n">
        <v>0</v>
      </c>
      <c r="E51" s="17" t="n">
        <f aca="false">IF(C50&gt;0,C51/C50-1,"n/a")</f>
        <v>-1</v>
      </c>
      <c r="F51" s="17" t="n">
        <f aca="false">IF(D50&gt;0,D51/D50-1,"n/a")</f>
        <v>-1</v>
      </c>
    </row>
    <row r="52" customFormat="false" ht="15" hidden="false" customHeight="false" outlineLevel="0" collapsed="false">
      <c r="A52" s="11" t="s">
        <v>114</v>
      </c>
      <c r="B52" s="11" t="s">
        <v>54</v>
      </c>
      <c r="C52" s="16" t="n">
        <v>0</v>
      </c>
      <c r="D52" s="12" t="n">
        <v>0</v>
      </c>
      <c r="E52" s="17" t="str">
        <f aca="false">IF(C51&gt;0,C52/C51-1,"n/a")</f>
        <v>n/a</v>
      </c>
      <c r="F52" s="17" t="str">
        <f aca="false">IF(D51&gt;0,D52/D51-1,"n/a")</f>
        <v>n/a</v>
      </c>
    </row>
    <row r="53" customFormat="false" ht="15" hidden="false" customHeight="false" outlineLevel="0" collapsed="false">
      <c r="A53" s="11" t="s">
        <v>115</v>
      </c>
      <c r="B53" s="11" t="s">
        <v>32</v>
      </c>
      <c r="C53" s="16" t="n">
        <v>1</v>
      </c>
      <c r="D53" s="12" t="n">
        <v>122707.68</v>
      </c>
      <c r="E53" s="11" t="s">
        <v>116</v>
      </c>
      <c r="F53" s="11" t="s">
        <v>116</v>
      </c>
    </row>
    <row r="54" customFormat="false" ht="15" hidden="false" customHeight="false" outlineLevel="0" collapsed="false">
      <c r="A54" s="11" t="s">
        <v>115</v>
      </c>
      <c r="B54" s="11" t="s">
        <v>33</v>
      </c>
      <c r="C54" s="16" t="n">
        <v>3</v>
      </c>
      <c r="D54" s="12" t="n">
        <v>255100.92</v>
      </c>
      <c r="E54" s="17" t="n">
        <f aca="false">IF(C53&gt;0,C54/C53-1,"n/a")</f>
        <v>2</v>
      </c>
      <c r="F54" s="17" t="n">
        <f aca="false">IF(D53&gt;0,D54/D53-1,"n/a")</f>
        <v>1.07893197882969</v>
      </c>
    </row>
    <row r="55" customFormat="false" ht="15" hidden="false" customHeight="false" outlineLevel="0" collapsed="false">
      <c r="A55" s="11" t="s">
        <v>115</v>
      </c>
      <c r="B55" s="11" t="s">
        <v>34</v>
      </c>
      <c r="C55" s="16" t="n">
        <v>2</v>
      </c>
      <c r="D55" s="12" t="n">
        <v>219349.23</v>
      </c>
      <c r="E55" s="17" t="n">
        <f aca="false">IF(C54&gt;0,C55/C54-1,"n/a")</f>
        <v>-0.333333333333333</v>
      </c>
      <c r="F55" s="17" t="n">
        <f aca="false">IF(D54&gt;0,D55/D54-1,"n/a")</f>
        <v>-0.140147240550916</v>
      </c>
    </row>
    <row r="56" customFormat="false" ht="15" hidden="false" customHeight="false" outlineLevel="0" collapsed="false">
      <c r="A56" s="11" t="s">
        <v>115</v>
      </c>
      <c r="B56" s="11" t="s">
        <v>35</v>
      </c>
      <c r="C56" s="16" t="n">
        <v>4</v>
      </c>
      <c r="D56" s="12" t="n">
        <v>235186.27</v>
      </c>
      <c r="E56" s="17" t="n">
        <f aca="false">IF(C55&gt;0,C56/C55-1,"n/a")</f>
        <v>1</v>
      </c>
      <c r="F56" s="17" t="n">
        <f aca="false">IF(D55&gt;0,D56/D55-1,"n/a")</f>
        <v>0.0722001166815127</v>
      </c>
    </row>
    <row r="57" customFormat="false" ht="15" hidden="false" customHeight="false" outlineLevel="0" collapsed="false">
      <c r="A57" s="11" t="s">
        <v>115</v>
      </c>
      <c r="B57" s="11" t="s">
        <v>36</v>
      </c>
      <c r="C57" s="16" t="n">
        <v>0</v>
      </c>
      <c r="D57" s="12" t="n">
        <v>0</v>
      </c>
      <c r="E57" s="17" t="n">
        <f aca="false">IF(C56&gt;0,C57/C56-1,"n/a")</f>
        <v>-1</v>
      </c>
      <c r="F57" s="17" t="n">
        <f aca="false">IF(D56&gt;0,D57/D56-1,"n/a")</f>
        <v>-1</v>
      </c>
    </row>
    <row r="58" customFormat="false" ht="15" hidden="false" customHeight="false" outlineLevel="0" collapsed="false">
      <c r="A58" s="11" t="s">
        <v>115</v>
      </c>
      <c r="B58" s="11" t="s">
        <v>37</v>
      </c>
      <c r="C58" s="16" t="n">
        <v>3</v>
      </c>
      <c r="D58" s="12" t="n">
        <v>141716.28</v>
      </c>
      <c r="E58" s="17" t="str">
        <f aca="false">IF(C57&gt;0,C58/C57-1,"n/a")</f>
        <v>n/a</v>
      </c>
      <c r="F58" s="17" t="str">
        <f aca="false">IF(D57&gt;0,D58/D57-1,"n/a")</f>
        <v>n/a</v>
      </c>
    </row>
    <row r="59" customFormat="false" ht="15" hidden="false" customHeight="false" outlineLevel="0" collapsed="false">
      <c r="A59" s="11" t="s">
        <v>115</v>
      </c>
      <c r="B59" s="11" t="s">
        <v>38</v>
      </c>
      <c r="C59" s="16" t="n">
        <v>5</v>
      </c>
      <c r="D59" s="12" t="n">
        <v>243225.66</v>
      </c>
      <c r="E59" s="17" t="n">
        <f aca="false">IF(C58&gt;0,C59/C58-1,"n/a")</f>
        <v>0.666666666666667</v>
      </c>
      <c r="F59" s="17" t="n">
        <f aca="false">IF(D58&gt;0,D59/D58-1,"n/a")</f>
        <v>0.716285948234035</v>
      </c>
    </row>
    <row r="60" customFormat="false" ht="15" hidden="false" customHeight="false" outlineLevel="0" collapsed="false">
      <c r="A60" s="11" t="s">
        <v>115</v>
      </c>
      <c r="B60" s="11" t="s">
        <v>39</v>
      </c>
      <c r="C60" s="16" t="n">
        <v>5</v>
      </c>
      <c r="D60" s="12" t="n">
        <v>755648.42</v>
      </c>
      <c r="E60" s="17" t="n">
        <f aca="false">IF(C59&gt;0,C60/C59-1,"n/a")</f>
        <v>0</v>
      </c>
      <c r="F60" s="17" t="n">
        <f aca="false">IF(D59&gt;0,D60/D59-1,"n/a")</f>
        <v>2.10677919426758</v>
      </c>
    </row>
    <row r="61" customFormat="false" ht="15" hidden="false" customHeight="false" outlineLevel="0" collapsed="false">
      <c r="A61" s="11" t="s">
        <v>115</v>
      </c>
      <c r="B61" s="11" t="s">
        <v>40</v>
      </c>
      <c r="C61" s="16" t="n">
        <v>2</v>
      </c>
      <c r="D61" s="12" t="n">
        <v>360672.5</v>
      </c>
      <c r="E61" s="17" t="n">
        <f aca="false">IF(C60&gt;0,C61/C60-1,"n/a")</f>
        <v>-0.6</v>
      </c>
      <c r="F61" s="17" t="n">
        <f aca="false">IF(D60&gt;0,D61/D60-1,"n/a")</f>
        <v>-0.522698002862231</v>
      </c>
    </row>
    <row r="62" customFormat="false" ht="15" hidden="false" customHeight="false" outlineLevel="0" collapsed="false">
      <c r="A62" s="11" t="s">
        <v>115</v>
      </c>
      <c r="B62" s="11" t="s">
        <v>41</v>
      </c>
      <c r="C62" s="16" t="n">
        <v>3</v>
      </c>
      <c r="D62" s="12" t="n">
        <v>196517.69</v>
      </c>
      <c r="E62" s="17" t="n">
        <f aca="false">IF(C61&gt;0,C62/C61-1,"n/a")</f>
        <v>0.5</v>
      </c>
      <c r="F62" s="17" t="n">
        <f aca="false">IF(D61&gt;0,D62/D61-1,"n/a")</f>
        <v>-0.455135365185868</v>
      </c>
    </row>
    <row r="63" customFormat="false" ht="15" hidden="false" customHeight="false" outlineLevel="0" collapsed="false">
      <c r="A63" s="11" t="s">
        <v>115</v>
      </c>
      <c r="B63" s="11" t="s">
        <v>42</v>
      </c>
      <c r="C63" s="16" t="n">
        <v>0</v>
      </c>
      <c r="D63" s="12" t="n">
        <v>0</v>
      </c>
      <c r="E63" s="17" t="n">
        <f aca="false">IF(C62&gt;0,C63/C62-1,"n/a")</f>
        <v>-1</v>
      </c>
      <c r="F63" s="17" t="n">
        <f aca="false">IF(D62&gt;0,D63/D62-1,"n/a")</f>
        <v>-1</v>
      </c>
    </row>
    <row r="64" customFormat="false" ht="15" hidden="false" customHeight="false" outlineLevel="0" collapsed="false">
      <c r="A64" s="11" t="s">
        <v>115</v>
      </c>
      <c r="B64" s="11" t="s">
        <v>43</v>
      </c>
      <c r="C64" s="16" t="n">
        <v>4</v>
      </c>
      <c r="D64" s="12" t="n">
        <v>305686.57</v>
      </c>
      <c r="E64" s="17" t="str">
        <f aca="false">IF(C63&gt;0,C64/C63-1,"n/a")</f>
        <v>n/a</v>
      </c>
      <c r="F64" s="17" t="str">
        <f aca="false">IF(D63&gt;0,D64/D63-1,"n/a")</f>
        <v>n/a</v>
      </c>
    </row>
    <row r="65" customFormat="false" ht="15" hidden="false" customHeight="false" outlineLevel="0" collapsed="false">
      <c r="A65" s="11" t="s">
        <v>115</v>
      </c>
      <c r="B65" s="11" t="s">
        <v>44</v>
      </c>
      <c r="C65" s="16" t="n">
        <v>4</v>
      </c>
      <c r="D65" s="12" t="n">
        <v>386589.1</v>
      </c>
      <c r="E65" s="17" t="n">
        <f aca="false">IF(C64&gt;0,C65/C64-1,"n/a")</f>
        <v>0</v>
      </c>
      <c r="F65" s="17" t="n">
        <f aca="false">IF(D64&gt;0,D65/D64-1,"n/a")</f>
        <v>0.26465843756237</v>
      </c>
    </row>
    <row r="66" customFormat="false" ht="15" hidden="false" customHeight="false" outlineLevel="0" collapsed="false">
      <c r="A66" s="11" t="s">
        <v>115</v>
      </c>
      <c r="B66" s="11" t="s">
        <v>45</v>
      </c>
      <c r="C66" s="16" t="n">
        <v>6</v>
      </c>
      <c r="D66" s="12" t="n">
        <v>480561.83</v>
      </c>
      <c r="E66" s="17" t="n">
        <f aca="false">IF(C65&gt;0,C66/C65-1,"n/a")</f>
        <v>0.5</v>
      </c>
      <c r="F66" s="17" t="n">
        <f aca="false">IF(D65&gt;0,D66/D65-1,"n/a")</f>
        <v>0.243081685438105</v>
      </c>
    </row>
    <row r="67" customFormat="false" ht="15" hidden="false" customHeight="false" outlineLevel="0" collapsed="false">
      <c r="A67" s="11" t="s">
        <v>115</v>
      </c>
      <c r="B67" s="11" t="s">
        <v>46</v>
      </c>
      <c r="C67" s="16" t="n">
        <v>2</v>
      </c>
      <c r="D67" s="12" t="n">
        <v>94010.76</v>
      </c>
      <c r="E67" s="17" t="n">
        <f aca="false">IF(C66&gt;0,C67/C66-1,"n/a")</f>
        <v>-0.666666666666667</v>
      </c>
      <c r="F67" s="17" t="n">
        <f aca="false">IF(D66&gt;0,D67/D66-1,"n/a")</f>
        <v>-0.804373227062166</v>
      </c>
    </row>
    <row r="68" customFormat="false" ht="15" hidden="false" customHeight="false" outlineLevel="0" collapsed="false">
      <c r="A68" s="11" t="s">
        <v>115</v>
      </c>
      <c r="B68" s="11" t="s">
        <v>47</v>
      </c>
      <c r="C68" s="16" t="n">
        <v>1</v>
      </c>
      <c r="D68" s="12" t="n">
        <v>125889.8</v>
      </c>
      <c r="E68" s="17" t="n">
        <f aca="false">IF(C67&gt;0,C68/C67-1,"n/a")</f>
        <v>-0.5</v>
      </c>
      <c r="F68" s="17" t="n">
        <f aca="false">IF(D67&gt;0,D68/D67-1,"n/a")</f>
        <v>0.339099907287209</v>
      </c>
    </row>
    <row r="69" customFormat="false" ht="15" hidden="false" customHeight="false" outlineLevel="0" collapsed="false">
      <c r="A69" s="11" t="s">
        <v>115</v>
      </c>
      <c r="B69" s="11" t="s">
        <v>48</v>
      </c>
      <c r="C69" s="16" t="n">
        <v>1</v>
      </c>
      <c r="D69" s="12" t="n">
        <v>141013.44</v>
      </c>
      <c r="E69" s="17" t="n">
        <f aca="false">IF(C68&gt;0,C69/C68-1,"n/a")</f>
        <v>0</v>
      </c>
      <c r="F69" s="17" t="n">
        <f aca="false">IF(D68&gt;0,D69/D68-1,"n/a")</f>
        <v>0.12013395843031</v>
      </c>
    </row>
    <row r="70" customFormat="false" ht="15" hidden="false" customHeight="false" outlineLevel="0" collapsed="false">
      <c r="A70" s="11" t="s">
        <v>115</v>
      </c>
      <c r="B70" s="11" t="s">
        <v>49</v>
      </c>
      <c r="C70" s="16" t="n">
        <v>5</v>
      </c>
      <c r="D70" s="12" t="n">
        <v>493744.14</v>
      </c>
      <c r="E70" s="17" t="n">
        <f aca="false">IF(C69&gt;0,C70/C69-1,"n/a")</f>
        <v>4</v>
      </c>
      <c r="F70" s="17" t="n">
        <f aca="false">IF(D69&gt;0,D70/D69-1,"n/a")</f>
        <v>2.50139773910912</v>
      </c>
    </row>
    <row r="71" customFormat="false" ht="15" hidden="false" customHeight="false" outlineLevel="0" collapsed="false">
      <c r="A71" s="11" t="s">
        <v>115</v>
      </c>
      <c r="B71" s="11" t="s">
        <v>50</v>
      </c>
      <c r="C71" s="16" t="n">
        <v>2</v>
      </c>
      <c r="D71" s="12" t="n">
        <v>155251.65</v>
      </c>
      <c r="E71" s="17" t="n">
        <f aca="false">IF(C70&gt;0,C71/C70-1,"n/a")</f>
        <v>-0.6</v>
      </c>
      <c r="F71" s="17" t="n">
        <f aca="false">IF(D70&gt;0,D71/D70-1,"n/a")</f>
        <v>-0.68556254662587</v>
      </c>
    </row>
    <row r="72" customFormat="false" ht="15" hidden="false" customHeight="false" outlineLevel="0" collapsed="false">
      <c r="A72" s="11" t="s">
        <v>115</v>
      </c>
      <c r="B72" s="11" t="s">
        <v>51</v>
      </c>
      <c r="C72" s="16" t="n">
        <v>1</v>
      </c>
      <c r="D72" s="12" t="n">
        <v>104214.12</v>
      </c>
      <c r="E72" s="17" t="n">
        <f aca="false">IF(C71&gt;0,C72/C71-1,"n/a")</f>
        <v>-0.5</v>
      </c>
      <c r="F72" s="17" t="n">
        <f aca="false">IF(D71&gt;0,D72/D71-1,"n/a")</f>
        <v>-0.328740660727277</v>
      </c>
    </row>
    <row r="73" customFormat="false" ht="15" hidden="false" customHeight="false" outlineLevel="0" collapsed="false">
      <c r="A73" s="11" t="s">
        <v>115</v>
      </c>
      <c r="B73" s="11" t="s">
        <v>52</v>
      </c>
      <c r="C73" s="16" t="n">
        <v>1</v>
      </c>
      <c r="D73" s="12" t="n">
        <v>147810.45</v>
      </c>
      <c r="E73" s="17" t="n">
        <f aca="false">IF(C72&gt;0,C73/C72-1,"n/a")</f>
        <v>0</v>
      </c>
      <c r="F73" s="17" t="n">
        <f aca="false">IF(D72&gt;0,D73/D72-1,"n/a")</f>
        <v>0.41833419502079</v>
      </c>
    </row>
    <row r="74" customFormat="false" ht="15" hidden="false" customHeight="false" outlineLevel="0" collapsed="false">
      <c r="A74" s="11" t="s">
        <v>115</v>
      </c>
      <c r="B74" s="11" t="s">
        <v>53</v>
      </c>
      <c r="C74" s="16" t="n">
        <v>4</v>
      </c>
      <c r="D74" s="12" t="n">
        <v>222909.7</v>
      </c>
      <c r="E74" s="17" t="n">
        <f aca="false">IF(C73&gt;0,C74/C73-1,"n/a")</f>
        <v>3</v>
      </c>
      <c r="F74" s="17" t="n">
        <f aca="false">IF(D73&gt;0,D74/D73-1,"n/a")</f>
        <v>0.508078082435985</v>
      </c>
    </row>
    <row r="75" customFormat="false" ht="15" hidden="false" customHeight="false" outlineLevel="0" collapsed="false">
      <c r="A75" s="11" t="s">
        <v>115</v>
      </c>
      <c r="B75" s="11" t="s">
        <v>117</v>
      </c>
      <c r="C75" s="16" t="n">
        <v>0</v>
      </c>
      <c r="D75" s="12" t="n">
        <v>0</v>
      </c>
      <c r="E75" s="17" t="n">
        <f aca="false">IF(C74&gt;0,C75/C74-1,"n/a")</f>
        <v>-1</v>
      </c>
      <c r="F75" s="17" t="n">
        <f aca="false">IF(D74&gt;0,D75/D74-1,"n/a")</f>
        <v>-1</v>
      </c>
    </row>
    <row r="76" customFormat="false" ht="15" hidden="false" customHeight="false" outlineLevel="0" collapsed="false">
      <c r="A76" s="11" t="s">
        <v>115</v>
      </c>
      <c r="B76" s="11" t="s">
        <v>54</v>
      </c>
      <c r="C76" s="16" t="n">
        <v>1</v>
      </c>
      <c r="D76" s="12" t="n">
        <v>137682.78</v>
      </c>
      <c r="E76" s="17" t="str">
        <f aca="false">IF(C75&gt;0,C76/C75-1,"n/a")</f>
        <v>n/a</v>
      </c>
      <c r="F76" s="17" t="str">
        <f aca="false">IF(D75&gt;0,D76/D75-1,"n/a")</f>
        <v>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6" min="4" style="0" width="12"/>
  </cols>
  <sheetData>
    <row r="1" customFormat="false" ht="22.05" hidden="false" customHeight="false" outlineLevel="0" collapsed="false">
      <c r="A1" s="8" t="s">
        <v>118</v>
      </c>
    </row>
    <row r="2" customFormat="false" ht="252.2" hidden="false" customHeight="false" outlineLevel="0" collapsed="false">
      <c r="A2" s="9" t="s">
        <v>119</v>
      </c>
    </row>
    <row r="4" customFormat="false" ht="15" hidden="false" customHeight="false" outlineLevel="0" collapsed="false">
      <c r="A4" s="14" t="s">
        <v>120</v>
      </c>
    </row>
    <row r="5" customFormat="false" ht="30" hidden="false" customHeight="true" outlineLevel="0" collapsed="false">
      <c r="A5" s="10" t="s">
        <v>121</v>
      </c>
      <c r="B5" s="10" t="s">
        <v>122</v>
      </c>
      <c r="C5" s="10" t="s">
        <v>123</v>
      </c>
      <c r="D5" s="10" t="s">
        <v>124</v>
      </c>
      <c r="E5" s="10" t="s">
        <v>125</v>
      </c>
      <c r="F5" s="10" t="s">
        <v>126</v>
      </c>
    </row>
    <row r="6" customFormat="false" ht="15" hidden="false" customHeight="false" outlineLevel="0" collapsed="false">
      <c r="A6" s="11" t="s">
        <v>127</v>
      </c>
      <c r="B6" s="11" t="s">
        <v>128</v>
      </c>
      <c r="C6" s="11" t="s">
        <v>21</v>
      </c>
      <c r="D6" s="11" t="n">
        <v>31</v>
      </c>
      <c r="E6" s="11" t="n">
        <v>5</v>
      </c>
      <c r="F6" s="17" t="n">
        <v>0.161290322580645</v>
      </c>
    </row>
    <row r="7" customFormat="false" ht="15" hidden="false" customHeight="false" outlineLevel="0" collapsed="false">
      <c r="A7" s="11" t="s">
        <v>129</v>
      </c>
      <c r="B7" s="11" t="s">
        <v>130</v>
      </c>
      <c r="C7" s="11" t="s">
        <v>24</v>
      </c>
      <c r="D7" s="11" t="n">
        <v>35</v>
      </c>
      <c r="E7" s="11" t="n">
        <v>5</v>
      </c>
      <c r="F7" s="17" t="n">
        <v>0.142857142857143</v>
      </c>
    </row>
    <row r="8" customFormat="false" ht="15" hidden="false" customHeight="false" outlineLevel="0" collapsed="false">
      <c r="A8" s="11" t="s">
        <v>131</v>
      </c>
      <c r="B8" s="11" t="s">
        <v>132</v>
      </c>
      <c r="C8" s="11" t="s">
        <v>22</v>
      </c>
      <c r="D8" s="11" t="n">
        <v>31</v>
      </c>
      <c r="E8" s="11" t="n">
        <v>3</v>
      </c>
      <c r="F8" s="17" t="n">
        <v>0.0967741935483871</v>
      </c>
    </row>
    <row r="9" customFormat="false" ht="15" hidden="false" customHeight="false" outlineLevel="0" collapsed="false">
      <c r="A9" s="11" t="s">
        <v>133</v>
      </c>
      <c r="B9" s="11" t="s">
        <v>134</v>
      </c>
      <c r="C9" s="11" t="s">
        <v>21</v>
      </c>
      <c r="D9" s="11" t="n">
        <v>44</v>
      </c>
      <c r="E9" s="11" t="n">
        <v>4</v>
      </c>
      <c r="F9" s="17" t="n">
        <v>0.0909090909090909</v>
      </c>
    </row>
    <row r="10" customFormat="false" ht="15" hidden="false" customHeight="false" outlineLevel="0" collapsed="false">
      <c r="A10" s="11" t="s">
        <v>135</v>
      </c>
      <c r="B10" s="11" t="s">
        <v>136</v>
      </c>
      <c r="C10" s="11" t="s">
        <v>22</v>
      </c>
      <c r="D10" s="11" t="n">
        <v>30</v>
      </c>
      <c r="E10" s="11" t="n">
        <v>1</v>
      </c>
      <c r="F10" s="17" t="n">
        <v>0.0333333333333333</v>
      </c>
    </row>
    <row r="11" customFormat="false" ht="15" hidden="false" customHeight="false" outlineLevel="0" collapsed="false">
      <c r="A11" s="11" t="s">
        <v>137</v>
      </c>
      <c r="B11" s="11" t="s">
        <v>138</v>
      </c>
      <c r="C11" s="11" t="s">
        <v>22</v>
      </c>
      <c r="D11" s="11" t="n">
        <v>32</v>
      </c>
      <c r="E11" s="11" t="n">
        <v>1</v>
      </c>
      <c r="F11" s="17" t="n">
        <v>0.03125</v>
      </c>
    </row>
    <row r="12" customFormat="false" ht="15" hidden="false" customHeight="false" outlineLevel="0" collapsed="false">
      <c r="A12" s="11" t="s">
        <v>139</v>
      </c>
      <c r="B12" s="11" t="s">
        <v>140</v>
      </c>
      <c r="C12" s="11" t="s">
        <v>24</v>
      </c>
      <c r="D12" s="11" t="n">
        <v>36</v>
      </c>
      <c r="E12" s="11" t="n">
        <v>1</v>
      </c>
      <c r="F12" s="17" t="n">
        <v>0.0277777777777778</v>
      </c>
    </row>
    <row r="13" customFormat="false" ht="15" hidden="false" customHeight="false" outlineLevel="0" collapsed="false">
      <c r="A13" s="11" t="s">
        <v>141</v>
      </c>
      <c r="B13" s="11" t="s">
        <v>142</v>
      </c>
      <c r="C13" s="11" t="s">
        <v>24</v>
      </c>
      <c r="D13" s="11" t="n">
        <v>37</v>
      </c>
      <c r="E13" s="11" t="n">
        <v>1</v>
      </c>
      <c r="F13" s="17" t="n">
        <v>0.027027027027027</v>
      </c>
    </row>
    <row r="14" customFormat="false" ht="15" hidden="false" customHeight="false" outlineLevel="0" collapsed="false">
      <c r="A14" s="11" t="s">
        <v>143</v>
      </c>
      <c r="B14" s="11" t="s">
        <v>144</v>
      </c>
      <c r="C14" s="11" t="s">
        <v>23</v>
      </c>
      <c r="D14" s="11" t="n">
        <v>51</v>
      </c>
      <c r="E14" s="11" t="n">
        <v>0</v>
      </c>
      <c r="F14" s="17" t="n">
        <v>0</v>
      </c>
    </row>
    <row r="15" customFormat="false" ht="15" hidden="false" customHeight="false" outlineLevel="0" collapsed="false">
      <c r="A15" s="11" t="s">
        <v>145</v>
      </c>
      <c r="B15" s="11" t="s">
        <v>146</v>
      </c>
      <c r="C15" s="11" t="s">
        <v>20</v>
      </c>
      <c r="D15" s="11" t="n">
        <v>43</v>
      </c>
      <c r="E15" s="11" t="n">
        <v>0</v>
      </c>
      <c r="F15" s="17" t="n">
        <v>0</v>
      </c>
    </row>
    <row r="17" customFormat="false" ht="15" hidden="false" customHeight="false" outlineLevel="0" collapsed="false">
      <c r="A17" s="14" t="s">
        <v>147</v>
      </c>
    </row>
    <row r="18" customFormat="false" ht="30" hidden="false" customHeight="true" outlineLevel="0" collapsed="false">
      <c r="A18" s="10" t="s">
        <v>121</v>
      </c>
      <c r="B18" s="10" t="s">
        <v>122</v>
      </c>
      <c r="C18" s="10" t="s">
        <v>123</v>
      </c>
      <c r="D18" s="10" t="s">
        <v>124</v>
      </c>
      <c r="E18" s="10" t="s">
        <v>125</v>
      </c>
      <c r="F18" s="10" t="s">
        <v>126</v>
      </c>
    </row>
    <row r="19" customFormat="false" ht="15" hidden="false" customHeight="false" outlineLevel="0" collapsed="false">
      <c r="A19" s="11" t="s">
        <v>143</v>
      </c>
      <c r="B19" s="11" t="s">
        <v>144</v>
      </c>
      <c r="C19" s="11" t="s">
        <v>23</v>
      </c>
      <c r="D19" s="11" t="n">
        <v>51</v>
      </c>
      <c r="E19" s="11" t="n">
        <v>0</v>
      </c>
      <c r="F19" s="17" t="n">
        <v>0</v>
      </c>
    </row>
    <row r="20" customFormat="false" ht="15" hidden="false" customHeight="false" outlineLevel="0" collapsed="false">
      <c r="A20" s="11" t="s">
        <v>145</v>
      </c>
      <c r="B20" s="11" t="s">
        <v>146</v>
      </c>
      <c r="C20" s="11" t="s">
        <v>20</v>
      </c>
      <c r="D20" s="11" t="n">
        <v>43</v>
      </c>
      <c r="E20" s="11" t="n">
        <v>0</v>
      </c>
      <c r="F20" s="17" t="n">
        <v>0</v>
      </c>
    </row>
    <row r="21" customFormat="false" ht="15" hidden="false" customHeight="false" outlineLevel="0" collapsed="false">
      <c r="A21" s="11" t="s">
        <v>148</v>
      </c>
      <c r="B21" s="11" t="s">
        <v>149</v>
      </c>
      <c r="C21" s="11" t="s">
        <v>21</v>
      </c>
      <c r="D21" s="11" t="n">
        <v>40</v>
      </c>
      <c r="E21" s="11" t="n">
        <v>0</v>
      </c>
      <c r="F21" s="17" t="n">
        <v>0</v>
      </c>
    </row>
    <row r="22" customFormat="false" ht="15" hidden="false" customHeight="false" outlineLevel="0" collapsed="false">
      <c r="A22" s="11" t="s">
        <v>150</v>
      </c>
      <c r="B22" s="11" t="s">
        <v>151</v>
      </c>
      <c r="C22" s="11" t="s">
        <v>22</v>
      </c>
      <c r="D22" s="11" t="n">
        <v>37</v>
      </c>
      <c r="E22" s="11" t="n">
        <v>0</v>
      </c>
      <c r="F22" s="17" t="n">
        <v>0</v>
      </c>
    </row>
    <row r="23" customFormat="false" ht="15" hidden="false" customHeight="false" outlineLevel="0" collapsed="false">
      <c r="A23" s="11" t="s">
        <v>152</v>
      </c>
      <c r="B23" s="11" t="s">
        <v>153</v>
      </c>
      <c r="C23" s="11" t="s">
        <v>23</v>
      </c>
      <c r="D23" s="11" t="n">
        <v>33</v>
      </c>
      <c r="E23" s="11" t="n">
        <v>0</v>
      </c>
      <c r="F23" s="17" t="n">
        <v>0</v>
      </c>
    </row>
    <row r="24" customFormat="false" ht="15" hidden="false" customHeight="false" outlineLevel="0" collapsed="false">
      <c r="A24" s="11" t="s">
        <v>154</v>
      </c>
      <c r="B24" s="11" t="s">
        <v>155</v>
      </c>
      <c r="C24" s="11" t="s">
        <v>21</v>
      </c>
      <c r="D24" s="11" t="n">
        <v>32</v>
      </c>
      <c r="E24" s="11" t="n">
        <v>0</v>
      </c>
      <c r="F24" s="17" t="n">
        <v>0</v>
      </c>
    </row>
    <row r="25" customFormat="false" ht="15" hidden="false" customHeight="false" outlineLevel="0" collapsed="false">
      <c r="A25" s="11" t="s">
        <v>156</v>
      </c>
      <c r="B25" s="11" t="s">
        <v>157</v>
      </c>
      <c r="C25" s="11" t="s">
        <v>23</v>
      </c>
      <c r="D25" s="11" t="n">
        <v>32</v>
      </c>
      <c r="E25" s="11" t="n">
        <v>0</v>
      </c>
      <c r="F25" s="17" t="n">
        <v>0</v>
      </c>
    </row>
    <row r="26" customFormat="false" ht="15" hidden="false" customHeight="false" outlineLevel="0" collapsed="false">
      <c r="A26" s="11" t="s">
        <v>158</v>
      </c>
      <c r="B26" s="11" t="s">
        <v>159</v>
      </c>
      <c r="C26" s="11" t="s">
        <v>22</v>
      </c>
      <c r="D26" s="11" t="n">
        <v>32</v>
      </c>
      <c r="E26" s="11" t="n">
        <v>0</v>
      </c>
      <c r="F26" s="17" t="n">
        <v>0</v>
      </c>
    </row>
    <row r="27" customFormat="false" ht="15" hidden="false" customHeight="false" outlineLevel="0" collapsed="false">
      <c r="A27" s="11" t="s">
        <v>160</v>
      </c>
      <c r="B27" s="11" t="s">
        <v>161</v>
      </c>
      <c r="C27" s="11" t="s">
        <v>23</v>
      </c>
      <c r="D27" s="11" t="n">
        <v>30</v>
      </c>
      <c r="E27" s="11" t="n">
        <v>0</v>
      </c>
      <c r="F27" s="17" t="n">
        <v>0</v>
      </c>
    </row>
    <row r="28" customFormat="false" ht="15" hidden="false" customHeight="false" outlineLevel="0" collapsed="false">
      <c r="A28" s="11" t="s">
        <v>162</v>
      </c>
      <c r="B28" s="11" t="s">
        <v>163</v>
      </c>
      <c r="C28" s="11" t="s">
        <v>20</v>
      </c>
      <c r="D28" s="11" t="n">
        <v>30</v>
      </c>
      <c r="E28" s="11" t="n">
        <v>0</v>
      </c>
      <c r="F28" s="1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12" min="7" style="0" width="13"/>
  </cols>
  <sheetData>
    <row r="1" customFormat="false" ht="22.05" hidden="false" customHeight="false" outlineLevel="0" collapsed="false">
      <c r="A1" s="8" t="s">
        <v>164</v>
      </c>
    </row>
    <row r="2" customFormat="false" ht="376.85" hidden="false" customHeight="false" outlineLevel="0" collapsed="false">
      <c r="A2" s="9" t="s">
        <v>165</v>
      </c>
    </row>
    <row r="3" customFormat="false" ht="15" hidden="false" customHeight="false" outlineLevel="0" collapsed="false">
      <c r="A3" s="11" t="s">
        <v>166</v>
      </c>
      <c r="C3" s="11" t="s">
        <v>167</v>
      </c>
      <c r="D3" s="18" t="n">
        <v>0.4</v>
      </c>
      <c r="E3" s="11" t="s">
        <v>168</v>
      </c>
      <c r="F3" s="18" t="n">
        <v>0.3</v>
      </c>
      <c r="G3" s="11" t="s">
        <v>169</v>
      </c>
      <c r="H3" s="18" t="n">
        <v>0.3</v>
      </c>
    </row>
    <row r="5" customFormat="false" ht="30" hidden="false" customHeight="true" outlineLevel="0" collapsed="false">
      <c r="A5" s="10" t="s">
        <v>170</v>
      </c>
      <c r="B5" s="10" t="s">
        <v>171</v>
      </c>
      <c r="C5" s="10" t="s">
        <v>172</v>
      </c>
      <c r="D5" s="10" t="s">
        <v>173</v>
      </c>
      <c r="E5" s="10" t="s">
        <v>174</v>
      </c>
      <c r="F5" s="10" t="s">
        <v>175</v>
      </c>
      <c r="G5" s="10" t="s">
        <v>176</v>
      </c>
      <c r="H5" s="10" t="s">
        <v>2</v>
      </c>
      <c r="I5" s="10" t="s">
        <v>177</v>
      </c>
      <c r="J5" s="10" t="s">
        <v>178</v>
      </c>
      <c r="K5" s="10" t="s">
        <v>179</v>
      </c>
      <c r="L5" s="10" t="s">
        <v>180</v>
      </c>
    </row>
    <row r="6" customFormat="false" ht="15" hidden="false" customHeight="false" outlineLevel="0" collapsed="false">
      <c r="A6" s="11" t="n">
        <v>1</v>
      </c>
      <c r="B6" s="11" t="s">
        <v>181</v>
      </c>
      <c r="C6" s="11" t="s">
        <v>182</v>
      </c>
      <c r="D6" s="11" t="s">
        <v>25</v>
      </c>
      <c r="E6" s="11" t="n">
        <v>4.2</v>
      </c>
      <c r="F6" s="11" t="n">
        <v>4.2</v>
      </c>
      <c r="G6" s="11" t="n">
        <v>6</v>
      </c>
      <c r="H6" s="12" t="n">
        <v>1861322.66</v>
      </c>
      <c r="I6" s="17" t="n">
        <v>0</v>
      </c>
      <c r="J6" s="19" t="n">
        <f aca="false">IF(MAX($H$6:$H$23)&gt;MIN($H$6:$H$23),(H6-MIN($H$6:$H$23))/(MAX($H$6:$H$23)-MIN($H$6:$H$23)),0)</f>
        <v>0.81831667779892</v>
      </c>
      <c r="K6" s="19" t="n">
        <f aca="false">IF(MAX($I$6:$I$23)&gt;MIN($I$6:$I$23),1-(I6-MIN($I$6:$I$23))/(MAX($I$6:$I$23)-MIN($I$6:$I$23)),1)</f>
        <v>1</v>
      </c>
      <c r="L6" s="20" t="n">
        <f aca="false">100*($D$3*J6+$F$3*K6+$H$3*F6/5)</f>
        <v>87.9326671119568</v>
      </c>
    </row>
    <row r="7" customFormat="false" ht="15" hidden="false" customHeight="false" outlineLevel="0" collapsed="false">
      <c r="A7" s="11" t="n">
        <v>2</v>
      </c>
      <c r="B7" s="11" t="s">
        <v>183</v>
      </c>
      <c r="C7" s="11" t="s">
        <v>184</v>
      </c>
      <c r="D7" s="11" t="s">
        <v>185</v>
      </c>
      <c r="E7" s="11" t="n">
        <v>7.5</v>
      </c>
      <c r="F7" s="11" t="n">
        <v>3.75</v>
      </c>
      <c r="G7" s="11" t="n">
        <v>8</v>
      </c>
      <c r="H7" s="12" t="n">
        <v>2223174.12</v>
      </c>
      <c r="I7" s="17" t="n">
        <v>0.0257183908045977</v>
      </c>
      <c r="J7" s="19" t="n">
        <f aca="false">IF(MAX($H$6:$H$23)&gt;MIN($H$6:$H$23),(H7-MIN($H$6:$H$23))/(MAX($H$6:$H$23)-MIN($H$6:$H$23)),0)</f>
        <v>1</v>
      </c>
      <c r="K7" s="19" t="n">
        <f aca="false">IF(MAX($I$6:$I$23)&gt;MIN($I$6:$I$23),1-(I7-MIN($I$6:$I$23))/(MAX($I$6:$I$23)-MIN($I$6:$I$23)),1)</f>
        <v>0.839260057471264</v>
      </c>
      <c r="L7" s="20" t="n">
        <f aca="false">100*($D$3*J7+$F$3*K7+$H$3*F7/5)</f>
        <v>87.6778017241379</v>
      </c>
    </row>
    <row r="8" customFormat="false" ht="15" hidden="false" customHeight="false" outlineLevel="0" collapsed="false">
      <c r="A8" s="11" t="n">
        <v>3</v>
      </c>
      <c r="B8" s="11" t="s">
        <v>186</v>
      </c>
      <c r="C8" s="11" t="s">
        <v>187</v>
      </c>
      <c r="D8" s="11" t="s">
        <v>188</v>
      </c>
      <c r="E8" s="11" t="n">
        <v>4.1</v>
      </c>
      <c r="F8" s="11" t="n">
        <v>4.1</v>
      </c>
      <c r="G8" s="11" t="n">
        <v>4</v>
      </c>
      <c r="H8" s="12" t="n">
        <v>1821770.44</v>
      </c>
      <c r="I8" s="17" t="n">
        <v>0.0227272727272727</v>
      </c>
      <c r="J8" s="19" t="n">
        <f aca="false">IF(MAX($H$6:$H$23)&gt;MIN($H$6:$H$23),(H8-MIN($H$6:$H$23))/(MAX($H$6:$H$23)-MIN($H$6:$H$23)),0)</f>
        <v>0.798457759086728</v>
      </c>
      <c r="K8" s="19" t="n">
        <f aca="false">IF(MAX($I$6:$I$23)&gt;MIN($I$6:$I$23),1-(I8-MIN($I$6:$I$23))/(MAX($I$6:$I$23)-MIN($I$6:$I$23)),1)</f>
        <v>0.857954545454545</v>
      </c>
      <c r="L8" s="20" t="n">
        <f aca="false">100*($D$3*J8+$F$3*K8+$H$3*F8/5)</f>
        <v>82.2769467271055</v>
      </c>
    </row>
    <row r="9" customFormat="false" ht="15" hidden="false" customHeight="false" outlineLevel="0" collapsed="false">
      <c r="A9" s="11" t="n">
        <v>4</v>
      </c>
      <c r="B9" s="11" t="s">
        <v>189</v>
      </c>
      <c r="C9" s="11" t="s">
        <v>190</v>
      </c>
      <c r="D9" s="11" t="s">
        <v>25</v>
      </c>
      <c r="E9" s="11" t="n">
        <v>9.4</v>
      </c>
      <c r="F9" s="11" t="n">
        <v>4.7</v>
      </c>
      <c r="G9" s="11" t="n">
        <v>4</v>
      </c>
      <c r="H9" s="12" t="n">
        <v>1612831.38</v>
      </c>
      <c r="I9" s="17" t="n">
        <v>0.0652472527472528</v>
      </c>
      <c r="J9" s="19" t="n">
        <f aca="false">IF(MAX($H$6:$H$23)&gt;MIN($H$6:$H$23),(H9-MIN($H$6:$H$23))/(MAX($H$6:$H$23)-MIN($H$6:$H$23)),0)</f>
        <v>0.693550782731372</v>
      </c>
      <c r="K9" s="19" t="n">
        <f aca="false">IF(MAX($I$6:$I$23)&gt;MIN($I$6:$I$23),1-(I9-MIN($I$6:$I$23))/(MAX($I$6:$I$23)-MIN($I$6:$I$23)),1)</f>
        <v>0.59220467032967</v>
      </c>
      <c r="L9" s="20" t="n">
        <f aca="false">100*($D$3*J9+$F$3*K9+$H$3*F9/5)</f>
        <v>73.708171419145</v>
      </c>
    </row>
    <row r="10" customFormat="false" ht="15" hidden="false" customHeight="false" outlineLevel="0" collapsed="false">
      <c r="A10" s="11" t="n">
        <v>5</v>
      </c>
      <c r="B10" s="11" t="s">
        <v>191</v>
      </c>
      <c r="C10" s="11" t="s">
        <v>192</v>
      </c>
      <c r="D10" s="11" t="s">
        <v>185</v>
      </c>
      <c r="E10" s="11" t="n">
        <v>4.5</v>
      </c>
      <c r="F10" s="11" t="n">
        <v>4.5</v>
      </c>
      <c r="G10" s="11" t="n">
        <v>2</v>
      </c>
      <c r="H10" s="12" t="n">
        <v>910835.68</v>
      </c>
      <c r="I10" s="17" t="n">
        <v>0</v>
      </c>
      <c r="J10" s="19" t="n">
        <f aca="false">IF(MAX($H$6:$H$23)&gt;MIN($H$6:$H$23),(H10-MIN($H$6:$H$23))/(MAX($H$6:$H$23)-MIN($H$6:$H$23)),0)</f>
        <v>0.341083195763856</v>
      </c>
      <c r="K10" s="19" t="n">
        <f aca="false">IF(MAX($I$6:$I$23)&gt;MIN($I$6:$I$23),1-(I10-MIN($I$6:$I$23))/(MAX($I$6:$I$23)-MIN($I$6:$I$23)),1)</f>
        <v>1</v>
      </c>
      <c r="L10" s="20" t="n">
        <f aca="false">100*($D$3*J10+$F$3*K10+$H$3*F10/5)</f>
        <v>70.6433278305542</v>
      </c>
    </row>
    <row r="11" customFormat="false" ht="15" hidden="false" customHeight="false" outlineLevel="0" collapsed="false">
      <c r="A11" s="11" t="n">
        <v>6</v>
      </c>
      <c r="B11" s="11" t="s">
        <v>193</v>
      </c>
      <c r="C11" s="11" t="s">
        <v>194</v>
      </c>
      <c r="D11" s="11" t="s">
        <v>25</v>
      </c>
      <c r="E11" s="11" t="n">
        <v>4.3</v>
      </c>
      <c r="F11" s="11" t="n">
        <v>4.3</v>
      </c>
      <c r="G11" s="11" t="n">
        <v>3</v>
      </c>
      <c r="H11" s="12" t="n">
        <v>1336183.95</v>
      </c>
      <c r="I11" s="17" t="n">
        <v>0.0709876543209877</v>
      </c>
      <c r="J11" s="19" t="n">
        <f aca="false">IF(MAX($H$6:$H$23)&gt;MIN($H$6:$H$23),(H11-MIN($H$6:$H$23))/(MAX($H$6:$H$23)-MIN($H$6:$H$23)),0)</f>
        <v>0.55464786339317</v>
      </c>
      <c r="K11" s="19" t="n">
        <f aca="false">IF(MAX($I$6:$I$23)&gt;MIN($I$6:$I$23),1-(I11-MIN($I$6:$I$23))/(MAX($I$6:$I$23)-MIN($I$6:$I$23)),1)</f>
        <v>0.556327160493827</v>
      </c>
      <c r="L11" s="20" t="n">
        <f aca="false">100*($D$3*J11+$F$3*K11+$H$3*F11/5)</f>
        <v>64.6757293505416</v>
      </c>
    </row>
    <row r="12" customFormat="false" ht="15" hidden="false" customHeight="false" outlineLevel="0" collapsed="false">
      <c r="A12" s="11" t="n">
        <v>7</v>
      </c>
      <c r="B12" s="11" t="s">
        <v>195</v>
      </c>
      <c r="C12" s="11" t="s">
        <v>196</v>
      </c>
      <c r="D12" s="11" t="s">
        <v>197</v>
      </c>
      <c r="E12" s="11" t="n">
        <v>5</v>
      </c>
      <c r="F12" s="11" t="n">
        <v>5</v>
      </c>
      <c r="G12" s="11" t="n">
        <v>4</v>
      </c>
      <c r="H12" s="12" t="n">
        <v>615765.99</v>
      </c>
      <c r="I12" s="17" t="n">
        <v>0.0227272727272727</v>
      </c>
      <c r="J12" s="19" t="n">
        <f aca="false">IF(MAX($H$6:$H$23)&gt;MIN($H$6:$H$23),(H12-MIN($H$6:$H$23))/(MAX($H$6:$H$23)-MIN($H$6:$H$23)),0)</f>
        <v>0.192930576564688</v>
      </c>
      <c r="K12" s="19" t="n">
        <f aca="false">IF(MAX($I$6:$I$23)&gt;MIN($I$6:$I$23),1-(I12-MIN($I$6:$I$23))/(MAX($I$6:$I$23)-MIN($I$6:$I$23)),1)</f>
        <v>0.857954545454545</v>
      </c>
      <c r="L12" s="20" t="n">
        <f aca="false">100*($D$3*J12+$F$3*K12+$H$3*F12/5)</f>
        <v>63.4558594262239</v>
      </c>
    </row>
    <row r="13" customFormat="false" ht="15" hidden="false" customHeight="false" outlineLevel="0" collapsed="false">
      <c r="A13" s="11" t="n">
        <v>8</v>
      </c>
      <c r="B13" s="11" t="s">
        <v>198</v>
      </c>
      <c r="C13" s="11" t="s">
        <v>199</v>
      </c>
      <c r="D13" s="11" t="s">
        <v>185</v>
      </c>
      <c r="E13" s="11" t="n">
        <v>4</v>
      </c>
      <c r="F13" s="11" t="n">
        <v>4</v>
      </c>
      <c r="G13" s="11" t="n">
        <v>2</v>
      </c>
      <c r="H13" s="12" t="n">
        <v>657783.34</v>
      </c>
      <c r="I13" s="17" t="n">
        <v>0</v>
      </c>
      <c r="J13" s="19" t="n">
        <f aca="false">IF(MAX($H$6:$H$23)&gt;MIN($H$6:$H$23),(H13-MIN($H$6:$H$23))/(MAX($H$6:$H$23)-MIN($H$6:$H$23)),0)</f>
        <v>0.214027221409193</v>
      </c>
      <c r="K13" s="19" t="n">
        <f aca="false">IF(MAX($I$6:$I$23)&gt;MIN($I$6:$I$23),1-(I13-MIN($I$6:$I$23))/(MAX($I$6:$I$23)-MIN($I$6:$I$23)),1)</f>
        <v>1</v>
      </c>
      <c r="L13" s="20" t="n">
        <f aca="false">100*($D$3*J13+$F$3*K13+$H$3*F13/5)</f>
        <v>62.5610888563677</v>
      </c>
    </row>
    <row r="14" customFormat="false" ht="15" hidden="false" customHeight="false" outlineLevel="0" collapsed="false">
      <c r="A14" s="11" t="n">
        <v>9</v>
      </c>
      <c r="B14" s="11" t="s">
        <v>200</v>
      </c>
      <c r="C14" s="11" t="s">
        <v>201</v>
      </c>
      <c r="D14" s="11" t="s">
        <v>197</v>
      </c>
      <c r="E14" s="11" t="n">
        <v>2.9</v>
      </c>
      <c r="F14" s="11" t="n">
        <v>2.9</v>
      </c>
      <c r="G14" s="11" t="n">
        <v>4</v>
      </c>
      <c r="H14" s="12" t="n">
        <v>870624.82</v>
      </c>
      <c r="I14" s="17" t="n">
        <v>0</v>
      </c>
      <c r="J14" s="19" t="n">
        <f aca="false">IF(MAX($H$6:$H$23)&gt;MIN($H$6:$H$23),(H14-MIN($H$6:$H$23))/(MAX($H$6:$H$23)-MIN($H$6:$H$23)),0)</f>
        <v>0.320893578086584</v>
      </c>
      <c r="K14" s="19" t="n">
        <f aca="false">IF(MAX($I$6:$I$23)&gt;MIN($I$6:$I$23),1-(I14-MIN($I$6:$I$23))/(MAX($I$6:$I$23)-MIN($I$6:$I$23)),1)</f>
        <v>1</v>
      </c>
      <c r="L14" s="20" t="n">
        <f aca="false">100*($D$3*J14+$F$3*K14+$H$3*F14/5)</f>
        <v>60.2357431234634</v>
      </c>
    </row>
    <row r="15" customFormat="false" ht="15" hidden="false" customHeight="false" outlineLevel="0" collapsed="false">
      <c r="A15" s="11" t="n">
        <v>10</v>
      </c>
      <c r="B15" s="11" t="s">
        <v>202</v>
      </c>
      <c r="C15" s="11" t="s">
        <v>203</v>
      </c>
      <c r="D15" s="11" t="s">
        <v>25</v>
      </c>
      <c r="E15" s="11" t="n">
        <v>2.5</v>
      </c>
      <c r="F15" s="11" t="n">
        <v>2.5</v>
      </c>
      <c r="G15" s="11" t="n">
        <v>5</v>
      </c>
      <c r="H15" s="12" t="n">
        <v>1166889.05</v>
      </c>
      <c r="I15" s="17" t="n">
        <v>0.0193548387096774</v>
      </c>
      <c r="J15" s="19" t="n">
        <f aca="false">IF(MAX($H$6:$H$23)&gt;MIN($H$6:$H$23),(H15-MIN($H$6:$H$23))/(MAX($H$6:$H$23)-MIN($H$6:$H$23)),0)</f>
        <v>0.469645968240668</v>
      </c>
      <c r="K15" s="19" t="n">
        <f aca="false">IF(MAX($I$6:$I$23)&gt;MIN($I$6:$I$23),1-(I15-MIN($I$6:$I$23))/(MAX($I$6:$I$23)-MIN($I$6:$I$23)),1)</f>
        <v>0.879032258064516</v>
      </c>
      <c r="L15" s="20" t="n">
        <f aca="false">100*($D$3*J15+$F$3*K15+$H$3*F15/5)</f>
        <v>60.1568064715622</v>
      </c>
    </row>
    <row r="16" customFormat="false" ht="15" hidden="false" customHeight="false" outlineLevel="0" collapsed="false">
      <c r="A16" s="11" t="n">
        <v>11</v>
      </c>
      <c r="B16" s="11" t="s">
        <v>204</v>
      </c>
      <c r="C16" s="11" t="s">
        <v>205</v>
      </c>
      <c r="D16" s="11" t="s">
        <v>188</v>
      </c>
      <c r="E16" s="11" t="n">
        <v>3.7</v>
      </c>
      <c r="F16" s="11" t="n">
        <v>3.7</v>
      </c>
      <c r="G16" s="11" t="n">
        <v>2</v>
      </c>
      <c r="H16" s="12" t="n">
        <v>611245.71</v>
      </c>
      <c r="I16" s="17" t="n">
        <v>0</v>
      </c>
      <c r="J16" s="19" t="n">
        <f aca="false">IF(MAX($H$6:$H$23)&gt;MIN($H$6:$H$23),(H16-MIN($H$6:$H$23))/(MAX($H$6:$H$23)-MIN($H$6:$H$23)),0)</f>
        <v>0.190660972656833</v>
      </c>
      <c r="K16" s="19" t="n">
        <f aca="false">IF(MAX($I$6:$I$23)&gt;MIN($I$6:$I$23),1-(I16-MIN($I$6:$I$23))/(MAX($I$6:$I$23)-MIN($I$6:$I$23)),1)</f>
        <v>1</v>
      </c>
      <c r="L16" s="20" t="n">
        <f aca="false">100*($D$3*J16+$F$3*K16+$H$3*F16/5)</f>
        <v>59.8264389062733</v>
      </c>
    </row>
    <row r="17" customFormat="false" ht="15" hidden="false" customHeight="false" outlineLevel="0" collapsed="false">
      <c r="A17" s="11" t="n">
        <v>12</v>
      </c>
      <c r="B17" s="11" t="s">
        <v>206</v>
      </c>
      <c r="C17" s="11" t="s">
        <v>207</v>
      </c>
      <c r="D17" s="11" t="s">
        <v>197</v>
      </c>
      <c r="E17" s="11" t="n">
        <v>3</v>
      </c>
      <c r="F17" s="11" t="n">
        <v>3</v>
      </c>
      <c r="G17" s="11" t="n">
        <v>5</v>
      </c>
      <c r="H17" s="12" t="n">
        <v>1387406.72</v>
      </c>
      <c r="I17" s="17" t="n">
        <v>0.0805206127786773</v>
      </c>
      <c r="J17" s="19" t="n">
        <f aca="false">IF(MAX($H$6:$H$23)&gt;MIN($H$6:$H$23),(H17-MIN($H$6:$H$23))/(MAX($H$6:$H$23)-MIN($H$6:$H$23)),0)</f>
        <v>0.580366491213386</v>
      </c>
      <c r="K17" s="19" t="n">
        <f aca="false">IF(MAX($I$6:$I$23)&gt;MIN($I$6:$I$23),1-(I17-MIN($I$6:$I$23))/(MAX($I$6:$I$23)-MIN($I$6:$I$23)),1)</f>
        <v>0.496746170133267</v>
      </c>
      <c r="L17" s="20" t="n">
        <f aca="false">100*($D$3*J17+$F$3*K17+$H$3*F17/5)</f>
        <v>56.1170447525335</v>
      </c>
    </row>
    <row r="18" customFormat="false" ht="15" hidden="false" customHeight="false" outlineLevel="0" collapsed="false">
      <c r="A18" s="11" t="n">
        <v>13</v>
      </c>
      <c r="B18" s="11" t="s">
        <v>208</v>
      </c>
      <c r="C18" s="11" t="s">
        <v>209</v>
      </c>
      <c r="D18" s="11" t="s">
        <v>185</v>
      </c>
      <c r="E18" s="11" t="n">
        <v>7.7</v>
      </c>
      <c r="F18" s="11" t="n">
        <v>3.85</v>
      </c>
      <c r="G18" s="11" t="n">
        <v>1</v>
      </c>
      <c r="H18" s="12" t="n">
        <v>343046.92</v>
      </c>
      <c r="I18" s="17" t="n">
        <v>0</v>
      </c>
      <c r="J18" s="19" t="n">
        <f aca="false">IF(MAX($H$6:$H$23)&gt;MIN($H$6:$H$23),(H18-MIN($H$6:$H$23))/(MAX($H$6:$H$23)-MIN($H$6:$H$23)),0)</f>
        <v>0.0560000618579383</v>
      </c>
      <c r="K18" s="19" t="n">
        <f aca="false">IF(MAX($I$6:$I$23)&gt;MIN($I$6:$I$23),1-(I18-MIN($I$6:$I$23))/(MAX($I$6:$I$23)-MIN($I$6:$I$23)),1)</f>
        <v>1</v>
      </c>
      <c r="L18" s="20" t="n">
        <f aca="false">100*($D$3*J18+$F$3*K18+$H$3*F18/5)</f>
        <v>55.3400024743175</v>
      </c>
    </row>
    <row r="19" customFormat="false" ht="15" hidden="false" customHeight="false" outlineLevel="0" collapsed="false">
      <c r="A19" s="11" t="n">
        <v>14</v>
      </c>
      <c r="B19" s="11" t="s">
        <v>210</v>
      </c>
      <c r="C19" s="11" t="s">
        <v>211</v>
      </c>
      <c r="D19" s="11" t="s">
        <v>185</v>
      </c>
      <c r="E19" s="11" t="n">
        <v>4.9</v>
      </c>
      <c r="F19" s="11" t="n">
        <v>4.9</v>
      </c>
      <c r="G19" s="11" t="n">
        <v>3</v>
      </c>
      <c r="H19" s="12" t="n">
        <v>451335.48</v>
      </c>
      <c r="I19" s="17" t="n">
        <v>0.0476190476190476</v>
      </c>
      <c r="J19" s="19" t="n">
        <f aca="false">IF(MAX($H$6:$H$23)&gt;MIN($H$6:$H$23),(H19-MIN($H$6:$H$23))/(MAX($H$6:$H$23)-MIN($H$6:$H$23)),0)</f>
        <v>0.110371060767742</v>
      </c>
      <c r="K19" s="19" t="n">
        <f aca="false">IF(MAX($I$6:$I$23)&gt;MIN($I$6:$I$23),1-(I19-MIN($I$6:$I$23))/(MAX($I$6:$I$23)-MIN($I$6:$I$23)),1)</f>
        <v>0.702380952380952</v>
      </c>
      <c r="L19" s="20" t="n">
        <f aca="false">100*($D$3*J19+$F$3*K19+$H$3*F19/5)</f>
        <v>54.8862710021383</v>
      </c>
    </row>
    <row r="20" customFormat="false" ht="15" hidden="false" customHeight="false" outlineLevel="0" collapsed="false">
      <c r="A20" s="11" t="n">
        <v>15</v>
      </c>
      <c r="B20" s="11" t="s">
        <v>212</v>
      </c>
      <c r="C20" s="11" t="s">
        <v>213</v>
      </c>
      <c r="D20" s="11" t="s">
        <v>214</v>
      </c>
      <c r="E20" s="11" t="n">
        <v>1.6</v>
      </c>
      <c r="F20" s="11" t="n">
        <v>1.6</v>
      </c>
      <c r="G20" s="11" t="n">
        <v>4</v>
      </c>
      <c r="H20" s="12" t="n">
        <v>770973.23</v>
      </c>
      <c r="I20" s="17" t="n">
        <v>0</v>
      </c>
      <c r="J20" s="19" t="n">
        <f aca="false">IF(MAX($H$6:$H$23)&gt;MIN($H$6:$H$23),(H20-MIN($H$6:$H$23))/(MAX($H$6:$H$23)-MIN($H$6:$H$23)),0)</f>
        <v>0.270859147014177</v>
      </c>
      <c r="K20" s="19" t="n">
        <f aca="false">IF(MAX($I$6:$I$23)&gt;MIN($I$6:$I$23),1-(I20-MIN($I$6:$I$23))/(MAX($I$6:$I$23)-MIN($I$6:$I$23)),1)</f>
        <v>1</v>
      </c>
      <c r="L20" s="20" t="n">
        <f aca="false">100*($D$3*J20+$F$3*K20+$H$3*F20/5)</f>
        <v>50.4343658805671</v>
      </c>
    </row>
    <row r="21" customFormat="false" ht="15" hidden="false" customHeight="false" outlineLevel="0" collapsed="false">
      <c r="A21" s="11" t="n">
        <v>16</v>
      </c>
      <c r="B21" s="11" t="s">
        <v>215</v>
      </c>
      <c r="C21" s="11" t="s">
        <v>216</v>
      </c>
      <c r="D21" s="11" t="s">
        <v>197</v>
      </c>
      <c r="E21" s="11" t="n">
        <v>3.3</v>
      </c>
      <c r="F21" s="11" t="n">
        <v>3.3</v>
      </c>
      <c r="G21" s="11" t="n">
        <v>4</v>
      </c>
      <c r="H21" s="12" t="n">
        <v>571342.39</v>
      </c>
      <c r="I21" s="17" t="n">
        <v>0.0892857142857143</v>
      </c>
      <c r="J21" s="19" t="n">
        <f aca="false">IF(MAX($H$6:$H$23)&gt;MIN($H$6:$H$23),(H21-MIN($H$6:$H$23))/(MAX($H$6:$H$23)-MIN($H$6:$H$23)),0)</f>
        <v>0.17062576886229</v>
      </c>
      <c r="K21" s="19" t="n">
        <f aca="false">IF(MAX($I$6:$I$23)&gt;MIN($I$6:$I$23),1-(I21-MIN($I$6:$I$23))/(MAX($I$6:$I$23)-MIN($I$6:$I$23)),1)</f>
        <v>0.441964285714286</v>
      </c>
      <c r="L21" s="20" t="n">
        <f aca="false">100*($D$3*J21+$F$3*K21+$H$3*F21/5)</f>
        <v>39.8839593259202</v>
      </c>
    </row>
    <row r="22" customFormat="false" ht="15" hidden="false" customHeight="false" outlineLevel="0" collapsed="false">
      <c r="A22" s="11" t="n">
        <v>17</v>
      </c>
      <c r="B22" s="11" t="s">
        <v>217</v>
      </c>
      <c r="C22" s="11" t="s">
        <v>218</v>
      </c>
      <c r="D22" s="11" t="s">
        <v>185</v>
      </c>
      <c r="E22" s="11" t="n">
        <v>2.5</v>
      </c>
      <c r="F22" s="11" t="n">
        <v>2.5</v>
      </c>
      <c r="G22" s="11" t="n">
        <v>3</v>
      </c>
      <c r="H22" s="12" t="n">
        <v>945962.69</v>
      </c>
      <c r="I22" s="17" t="n">
        <v>0.111369047619048</v>
      </c>
      <c r="J22" s="19" t="n">
        <f aca="false">IF(MAX($H$6:$H$23)&gt;MIN($H$6:$H$23),(H22-MIN($H$6:$H$23))/(MAX($H$6:$H$23)-MIN($H$6:$H$23)),0)</f>
        <v>0.358720244611995</v>
      </c>
      <c r="K22" s="19" t="n">
        <f aca="false">IF(MAX($I$6:$I$23)&gt;MIN($I$6:$I$23),1-(I22-MIN($I$6:$I$23))/(MAX($I$6:$I$23)-MIN($I$6:$I$23)),1)</f>
        <v>0.303943452380952</v>
      </c>
      <c r="L22" s="20" t="n">
        <f aca="false">100*($D$3*J22+$F$3*K22+$H$3*F22/5)</f>
        <v>38.4671133559084</v>
      </c>
    </row>
    <row r="23" customFormat="false" ht="15" hidden="false" customHeight="false" outlineLevel="0" collapsed="false">
      <c r="A23" s="11" t="n">
        <v>18</v>
      </c>
      <c r="B23" s="11" t="s">
        <v>219</v>
      </c>
      <c r="C23" s="11" t="s">
        <v>220</v>
      </c>
      <c r="D23" s="11" t="s">
        <v>197</v>
      </c>
      <c r="E23" s="11" t="n">
        <v>2.7</v>
      </c>
      <c r="F23" s="11" t="n">
        <v>2.7</v>
      </c>
      <c r="G23" s="11" t="n">
        <v>1</v>
      </c>
      <c r="H23" s="12" t="n">
        <v>231513.82</v>
      </c>
      <c r="I23" s="17" t="n">
        <v>0.16</v>
      </c>
      <c r="J23" s="19" t="n">
        <f aca="false">IF(MAX($H$6:$H$23)&gt;MIN($H$6:$H$23),(H23-MIN($H$6:$H$23))/(MAX($H$6:$H$23)-MIN($H$6:$H$23)),0)</f>
        <v>0</v>
      </c>
      <c r="K23" s="19" t="n">
        <f aca="false">IF(MAX($I$6:$I$23)&gt;MIN($I$6:$I$23),1-(I23-MIN($I$6:$I$23))/(MAX($I$6:$I$23)-MIN($I$6:$I$23)),1)</f>
        <v>0</v>
      </c>
      <c r="L23" s="20" t="n">
        <f aca="false">100*($D$3*J23+$F$3*K23+$H$3*F23/5)</f>
        <v>16.2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</cols>
  <sheetData>
    <row r="1" customFormat="false" ht="22.05" hidden="false" customHeight="false" outlineLevel="0" collapsed="false">
      <c r="A1" s="8" t="s">
        <v>221</v>
      </c>
    </row>
    <row r="2" customFormat="false" ht="53.7" hidden="false" customHeight="false" outlineLevel="0" collapsed="false">
      <c r="A2" s="9" t="s">
        <v>222</v>
      </c>
    </row>
    <row r="4" customFormat="false" ht="15" hidden="false" customHeight="false" outlineLevel="0" collapsed="false">
      <c r="A4" s="11" t="s">
        <v>223</v>
      </c>
      <c r="B4" s="16" t="n">
        <v>98</v>
      </c>
    </row>
    <row r="5" customFormat="false" ht="15" hidden="false" customHeight="false" outlineLevel="0" collapsed="false">
      <c r="A5" s="11" t="s">
        <v>224</v>
      </c>
      <c r="B5" s="16" t="n">
        <v>9</v>
      </c>
    </row>
    <row r="6" customFormat="false" ht="15" hidden="false" customHeight="false" outlineLevel="0" collapsed="false">
      <c r="A6" s="14" t="s">
        <v>225</v>
      </c>
      <c r="B6" s="21" t="n">
        <f aca="false">B5/B4</f>
        <v>0.0918367346938776</v>
      </c>
    </row>
    <row r="8" customFormat="false" ht="15" hidden="false" customHeight="false" outlineLevel="0" collapsed="false">
      <c r="A8" s="11" t="s">
        <v>226</v>
      </c>
      <c r="B8" s="16" t="n">
        <v>93</v>
      </c>
    </row>
    <row r="9" customFormat="false" ht="15" hidden="false" customHeight="false" outlineLevel="0" collapsed="false">
      <c r="A9" s="11" t="s">
        <v>227</v>
      </c>
      <c r="B9" s="16" t="n">
        <v>8</v>
      </c>
    </row>
    <row r="10" customFormat="false" ht="15" hidden="false" customHeight="false" outlineLevel="0" collapsed="false">
      <c r="A10" s="14" t="s">
        <v>228</v>
      </c>
      <c r="B10" s="21" t="n">
        <f aca="false">B9/B8</f>
        <v>0.0860215053763441</v>
      </c>
    </row>
    <row r="12" customFormat="false" ht="15" hidden="false" customHeight="false" outlineLevel="0" collapsed="false">
      <c r="A12" s="11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16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2"/>
    <col collapsed="false" customWidth="true" hidden="false" outlineLevel="0" max="11" min="11" style="0" width="40"/>
    <col collapsed="false" customWidth="true" hidden="false" outlineLevel="0" max="12" min="12" style="0" width="10"/>
  </cols>
  <sheetData>
    <row r="1" customFormat="false" ht="22.05" hidden="false" customHeight="false" outlineLevel="0" collapsed="false">
      <c r="A1" s="8" t="s">
        <v>230</v>
      </c>
    </row>
    <row r="2" customFormat="false" ht="199.95" hidden="false" customHeight="false" outlineLevel="0" collapsed="false">
      <c r="A2" s="9" t="s">
        <v>231</v>
      </c>
    </row>
    <row r="4" customFormat="false" ht="30" hidden="false" customHeight="true" outlineLevel="0" collapsed="false">
      <c r="A4" s="10" t="s">
        <v>232</v>
      </c>
      <c r="B4" s="10" t="s">
        <v>233</v>
      </c>
      <c r="C4" s="10" t="s">
        <v>234</v>
      </c>
      <c r="D4" s="10" t="s">
        <v>235</v>
      </c>
      <c r="E4" s="10" t="s">
        <v>236</v>
      </c>
      <c r="F4" s="10" t="s">
        <v>237</v>
      </c>
      <c r="G4" s="10" t="s">
        <v>238</v>
      </c>
      <c r="H4" s="10" t="s">
        <v>239</v>
      </c>
      <c r="I4" s="10" t="s">
        <v>240</v>
      </c>
      <c r="K4" s="10" t="s">
        <v>239</v>
      </c>
      <c r="L4" s="10" t="s">
        <v>4</v>
      </c>
    </row>
    <row r="5" customFormat="false" ht="15" hidden="false" customHeight="false" outlineLevel="0" collapsed="false">
      <c r="A5" s="11" t="s">
        <v>241</v>
      </c>
      <c r="B5" s="11" t="s">
        <v>242</v>
      </c>
      <c r="C5" s="12" t="n">
        <v>109114.18</v>
      </c>
      <c r="D5" s="11" t="n">
        <v>1</v>
      </c>
      <c r="E5" s="11" t="n">
        <v>1</v>
      </c>
      <c r="F5" s="12" t="n">
        <v>109114.18</v>
      </c>
      <c r="G5" s="11" t="s">
        <v>243</v>
      </c>
      <c r="H5" s="11" t="s">
        <v>244</v>
      </c>
      <c r="I5" s="12" t="n">
        <f aca="false">IF(ISNUMBER(C5),F5-C5,"n/a")</f>
        <v>0</v>
      </c>
      <c r="K5" s="11" t="s">
        <v>244</v>
      </c>
      <c r="L5" s="16" t="n">
        <f aca="false">COUNTIF($H$5:$H$332,"*"&amp;K5&amp;"*")</f>
        <v>110</v>
      </c>
    </row>
    <row r="6" customFormat="false" ht="15" hidden="false" customHeight="false" outlineLevel="0" collapsed="false">
      <c r="A6" s="11" t="s">
        <v>245</v>
      </c>
      <c r="B6" s="11" t="s">
        <v>246</v>
      </c>
      <c r="C6" s="12" t="n">
        <v>21724.64</v>
      </c>
      <c r="D6" s="11" t="n">
        <v>1</v>
      </c>
      <c r="E6" s="11" t="n">
        <v>0</v>
      </c>
      <c r="F6" s="12" t="n">
        <v>0</v>
      </c>
      <c r="G6" s="11" t="s">
        <v>247</v>
      </c>
      <c r="H6" s="11" t="s">
        <v>248</v>
      </c>
      <c r="I6" s="12" t="n">
        <f aca="false">IF(ISNUMBER(C6),F6-C6,"n/a")</f>
        <v>-21724.64</v>
      </c>
      <c r="K6" s="11" t="s">
        <v>248</v>
      </c>
      <c r="L6" s="16" t="n">
        <f aca="false">COUNTIF($H$5:$H$332,"*"&amp;K6&amp;"*")</f>
        <v>88</v>
      </c>
    </row>
    <row r="7" customFormat="false" ht="15" hidden="false" customHeight="false" outlineLevel="0" collapsed="false">
      <c r="A7" s="11" t="s">
        <v>249</v>
      </c>
      <c r="B7" s="11" t="s">
        <v>242</v>
      </c>
      <c r="C7" s="12" t="n">
        <v>33974.88</v>
      </c>
      <c r="D7" s="11" t="n">
        <v>1</v>
      </c>
      <c r="E7" s="11" t="n">
        <v>0</v>
      </c>
      <c r="F7" s="12" t="n">
        <v>0</v>
      </c>
      <c r="G7" s="11" t="s">
        <v>250</v>
      </c>
      <c r="H7" s="11" t="s">
        <v>248</v>
      </c>
      <c r="I7" s="12" t="n">
        <f aca="false">IF(ISNUMBER(C7),F7-C7,"n/a")</f>
        <v>-33974.88</v>
      </c>
      <c r="K7" s="11" t="s">
        <v>251</v>
      </c>
      <c r="L7" s="16" t="n">
        <f aca="false">COUNTIF($H$5:$H$332,"*"&amp;K7&amp;"*")</f>
        <v>46</v>
      </c>
    </row>
    <row r="8" customFormat="false" ht="15" hidden="false" customHeight="false" outlineLevel="0" collapsed="false">
      <c r="A8" s="11" t="s">
        <v>252</v>
      </c>
      <c r="B8" s="11" t="s">
        <v>242</v>
      </c>
      <c r="C8" s="12" t="n">
        <v>180629.84</v>
      </c>
      <c r="D8" s="11" t="n">
        <v>1</v>
      </c>
      <c r="E8" s="11" t="n">
        <v>1</v>
      </c>
      <c r="F8" s="12" t="n">
        <v>180629.84</v>
      </c>
      <c r="G8" s="11" t="s">
        <v>243</v>
      </c>
      <c r="H8" s="11" t="s">
        <v>244</v>
      </c>
      <c r="I8" s="12" t="n">
        <f aca="false">IF(ISNUMBER(C8),F8-C8,"n/a")</f>
        <v>0</v>
      </c>
      <c r="K8" s="11" t="s">
        <v>253</v>
      </c>
      <c r="L8" s="16" t="n">
        <f aca="false">COUNTIF($H$5:$H$332,"*"&amp;K8&amp;"*")</f>
        <v>40</v>
      </c>
    </row>
    <row r="9" customFormat="false" ht="15" hidden="false" customHeight="false" outlineLevel="0" collapsed="false">
      <c r="A9" s="11" t="s">
        <v>254</v>
      </c>
      <c r="B9" s="11" t="s">
        <v>242</v>
      </c>
      <c r="C9" s="12" t="n">
        <v>104397.68</v>
      </c>
      <c r="D9" s="11" t="n">
        <v>1</v>
      </c>
      <c r="E9" s="11" t="n">
        <v>1</v>
      </c>
      <c r="F9" s="12" t="n">
        <v>73078.38</v>
      </c>
      <c r="G9" s="11" t="s">
        <v>243</v>
      </c>
      <c r="H9" s="11" t="s">
        <v>251</v>
      </c>
      <c r="I9" s="12" t="n">
        <f aca="false">IF(ISNUMBER(C9),F9-C9,"n/a")</f>
        <v>-31319.3</v>
      </c>
      <c r="K9" s="11" t="s">
        <v>255</v>
      </c>
      <c r="L9" s="16" t="n">
        <f aca="false">COUNTIF($H$5:$H$332,"*"&amp;K9&amp;"*")</f>
        <v>35</v>
      </c>
    </row>
    <row r="10" customFormat="false" ht="15" hidden="false" customHeight="false" outlineLevel="0" collapsed="false">
      <c r="A10" s="11" t="s">
        <v>256</v>
      </c>
      <c r="B10" s="11" t="s">
        <v>242</v>
      </c>
      <c r="C10" s="12" t="n">
        <v>17880.99</v>
      </c>
      <c r="D10" s="11" t="n">
        <v>1</v>
      </c>
      <c r="E10" s="11" t="n">
        <v>1</v>
      </c>
      <c r="F10" s="12" t="n">
        <v>17880.99</v>
      </c>
      <c r="G10" s="11" t="s">
        <v>243</v>
      </c>
      <c r="H10" s="11" t="s">
        <v>244</v>
      </c>
      <c r="I10" s="12" t="n">
        <f aca="false">IF(ISNUMBER(C10),F10-C10,"n/a")</f>
        <v>0</v>
      </c>
      <c r="K10" s="11" t="s">
        <v>257</v>
      </c>
      <c r="L10" s="16" t="n">
        <f aca="false">COUNTIF($H$5:$H$332,"*"&amp;K10&amp;"*")</f>
        <v>10</v>
      </c>
    </row>
    <row r="11" customFormat="false" ht="15" hidden="false" customHeight="false" outlineLevel="0" collapsed="false">
      <c r="A11" s="11" t="s">
        <v>258</v>
      </c>
      <c r="B11" s="11" t="s">
        <v>242</v>
      </c>
      <c r="C11" s="12" t="n">
        <v>57672.52</v>
      </c>
      <c r="D11" s="11" t="n">
        <v>1</v>
      </c>
      <c r="E11" s="11" t="n">
        <v>1</v>
      </c>
      <c r="F11" s="12" t="n">
        <v>57672.52</v>
      </c>
      <c r="G11" s="11" t="s">
        <v>243</v>
      </c>
      <c r="H11" s="11" t="s">
        <v>244</v>
      </c>
      <c r="I11" s="12" t="n">
        <f aca="false">IF(ISNUMBER(C11),F11-C11,"n/a")</f>
        <v>0</v>
      </c>
      <c r="K11" s="11" t="s">
        <v>259</v>
      </c>
      <c r="L11" s="16" t="n">
        <f aca="false">COUNTIF($H$5:$H$332,"*"&amp;K11&amp;"*")</f>
        <v>8</v>
      </c>
    </row>
    <row r="12" customFormat="false" ht="15" hidden="false" customHeight="false" outlineLevel="0" collapsed="false">
      <c r="A12" s="11" t="s">
        <v>260</v>
      </c>
      <c r="B12" s="11" t="s">
        <v>242</v>
      </c>
      <c r="C12" s="12" t="n">
        <v>141201.64</v>
      </c>
      <c r="D12" s="11" t="n">
        <v>1</v>
      </c>
      <c r="E12" s="11" t="n">
        <v>1</v>
      </c>
      <c r="F12" s="12" t="n">
        <v>168821.36</v>
      </c>
      <c r="G12" s="11" t="s">
        <v>243</v>
      </c>
      <c r="H12" s="11" t="s">
        <v>253</v>
      </c>
      <c r="I12" s="12" t="n">
        <f aca="false">IF(ISNUMBER(C12),F12-C12,"n/a")</f>
        <v>27619.72</v>
      </c>
      <c r="K12" s="11" t="s">
        <v>261</v>
      </c>
      <c r="L12" s="16" t="n">
        <f aca="false">COUNTIF($H$5:$H$332,"*"&amp;K12&amp;"*")</f>
        <v>5</v>
      </c>
    </row>
    <row r="13" customFormat="false" ht="15" hidden="false" customHeight="false" outlineLevel="0" collapsed="false">
      <c r="A13" s="11" t="s">
        <v>262</v>
      </c>
      <c r="B13" s="11" t="s">
        <v>242</v>
      </c>
      <c r="C13" s="12" t="n">
        <v>40778.86</v>
      </c>
      <c r="D13" s="11" t="n">
        <v>1</v>
      </c>
      <c r="E13" s="11" t="n">
        <v>0</v>
      </c>
      <c r="F13" s="12" t="n">
        <v>0</v>
      </c>
      <c r="G13" s="11" t="s">
        <v>247</v>
      </c>
      <c r="H13" s="11" t="s">
        <v>248</v>
      </c>
      <c r="I13" s="12" t="n">
        <f aca="false">IF(ISNUMBER(C13),F13-C13,"n/a")</f>
        <v>-40778.86</v>
      </c>
    </row>
    <row r="14" customFormat="false" ht="15" hidden="false" customHeight="false" outlineLevel="0" collapsed="false">
      <c r="A14" s="11" t="s">
        <v>263</v>
      </c>
      <c r="B14" s="11" t="s">
        <v>242</v>
      </c>
      <c r="C14" s="12" t="n">
        <v>168178.45</v>
      </c>
      <c r="D14" s="11" t="n">
        <v>1</v>
      </c>
      <c r="E14" s="11" t="n">
        <v>1</v>
      </c>
      <c r="F14" s="12" t="n">
        <v>168178.45</v>
      </c>
      <c r="G14" s="11" t="s">
        <v>243</v>
      </c>
      <c r="H14" s="11" t="s">
        <v>244</v>
      </c>
      <c r="I14" s="12" t="n">
        <f aca="false">IF(ISNUMBER(C14),F14-C14,"n/a")</f>
        <v>0</v>
      </c>
    </row>
    <row r="15" customFormat="false" ht="15" hidden="false" customHeight="false" outlineLevel="0" collapsed="false">
      <c r="A15" s="11" t="s">
        <v>264</v>
      </c>
      <c r="B15" s="11" t="s">
        <v>242</v>
      </c>
      <c r="C15" s="12" t="n">
        <v>43233.87</v>
      </c>
      <c r="D15" s="11" t="n">
        <v>1</v>
      </c>
      <c r="E15" s="11" t="n">
        <v>1</v>
      </c>
      <c r="F15" s="12" t="n">
        <v>43233.87</v>
      </c>
      <c r="G15" s="11" t="s">
        <v>243</v>
      </c>
      <c r="H15" s="11" t="s">
        <v>244</v>
      </c>
      <c r="I15" s="12" t="n">
        <f aca="false">IF(ISNUMBER(C15),F15-C15,"n/a")</f>
        <v>0</v>
      </c>
    </row>
    <row r="16" customFormat="false" ht="15" hidden="false" customHeight="false" outlineLevel="0" collapsed="false">
      <c r="A16" s="11" t="s">
        <v>265</v>
      </c>
      <c r="B16" s="11" t="s">
        <v>242</v>
      </c>
      <c r="C16" s="12" t="n">
        <v>141177.62</v>
      </c>
      <c r="D16" s="11" t="n">
        <v>1</v>
      </c>
      <c r="E16" s="11" t="n">
        <v>0</v>
      </c>
      <c r="F16" s="12" t="n">
        <v>0</v>
      </c>
      <c r="G16" s="11" t="s">
        <v>266</v>
      </c>
      <c r="H16" s="11" t="s">
        <v>248</v>
      </c>
      <c r="I16" s="12" t="n">
        <f aca="false">IF(ISNUMBER(C16),F16-C16,"n/a")</f>
        <v>-141177.62</v>
      </c>
    </row>
    <row r="17" customFormat="false" ht="15" hidden="false" customHeight="false" outlineLevel="0" collapsed="false">
      <c r="A17" s="11" t="s">
        <v>267</v>
      </c>
      <c r="B17" s="11" t="s">
        <v>242</v>
      </c>
      <c r="C17" s="12" t="n">
        <v>25431.4</v>
      </c>
      <c r="D17" s="11" t="n">
        <v>1</v>
      </c>
      <c r="E17" s="11" t="n">
        <v>0</v>
      </c>
      <c r="F17" s="12" t="n">
        <v>0</v>
      </c>
      <c r="G17" s="11" t="s">
        <v>266</v>
      </c>
      <c r="H17" s="11" t="s">
        <v>248</v>
      </c>
      <c r="I17" s="12" t="n">
        <f aca="false">IF(ISNUMBER(C17),F17-C17,"n/a")</f>
        <v>-25431.4</v>
      </c>
    </row>
    <row r="18" customFormat="false" ht="15" hidden="false" customHeight="false" outlineLevel="0" collapsed="false">
      <c r="A18" s="11" t="s">
        <v>268</v>
      </c>
      <c r="B18" s="11" t="s">
        <v>269</v>
      </c>
      <c r="C18" s="12" t="n">
        <v>139604.32</v>
      </c>
      <c r="D18" s="11" t="n">
        <v>1</v>
      </c>
      <c r="E18" s="11" t="n">
        <v>1</v>
      </c>
      <c r="F18" s="12" t="n">
        <v>156502.06</v>
      </c>
      <c r="G18" s="11" t="s">
        <v>243</v>
      </c>
      <c r="H18" s="11" t="s">
        <v>253</v>
      </c>
      <c r="I18" s="12" t="n">
        <f aca="false">IF(ISNUMBER(C18),F18-C18,"n/a")</f>
        <v>16897.74</v>
      </c>
    </row>
    <row r="19" customFormat="false" ht="15" hidden="false" customHeight="false" outlineLevel="0" collapsed="false">
      <c r="A19" s="11" t="s">
        <v>270</v>
      </c>
      <c r="B19" s="11" t="s">
        <v>242</v>
      </c>
      <c r="C19" s="12" t="n">
        <v>130237.17</v>
      </c>
      <c r="D19" s="11" t="n">
        <v>1</v>
      </c>
      <c r="E19" s="11" t="n">
        <v>1</v>
      </c>
      <c r="F19" s="12" t="n">
        <v>130237.17</v>
      </c>
      <c r="G19" s="11" t="s">
        <v>243</v>
      </c>
      <c r="H19" s="11" t="s">
        <v>244</v>
      </c>
      <c r="I19" s="12" t="n">
        <f aca="false">IF(ISNUMBER(C19),F19-C19,"n/a")</f>
        <v>0</v>
      </c>
    </row>
    <row r="20" customFormat="false" ht="15" hidden="false" customHeight="false" outlineLevel="0" collapsed="false">
      <c r="A20" s="11" t="s">
        <v>271</v>
      </c>
      <c r="B20" s="11" t="s">
        <v>246</v>
      </c>
      <c r="C20" s="12" t="n">
        <v>80420.7</v>
      </c>
      <c r="D20" s="11" t="n">
        <v>1</v>
      </c>
      <c r="E20" s="11" t="n">
        <v>0</v>
      </c>
      <c r="F20" s="12" t="n">
        <v>0</v>
      </c>
      <c r="G20" s="11" t="s">
        <v>247</v>
      </c>
      <c r="H20" s="11" t="s">
        <v>248</v>
      </c>
      <c r="I20" s="12" t="n">
        <f aca="false">IF(ISNUMBER(C20),F20-C20,"n/a")</f>
        <v>-80420.7</v>
      </c>
    </row>
    <row r="21" customFormat="false" ht="15" hidden="false" customHeight="false" outlineLevel="0" collapsed="false">
      <c r="A21" s="11" t="s">
        <v>272</v>
      </c>
      <c r="B21" s="11" t="s">
        <v>242</v>
      </c>
      <c r="C21" s="12" t="n">
        <v>27430.41</v>
      </c>
      <c r="D21" s="11" t="n">
        <v>0</v>
      </c>
      <c r="E21" s="11" t="n">
        <v>0</v>
      </c>
      <c r="F21" s="12" t="n">
        <v>0</v>
      </c>
      <c r="G21" s="11"/>
      <c r="H21" s="11" t="s">
        <v>259</v>
      </c>
      <c r="I21" s="12" t="n">
        <f aca="false">IF(ISNUMBER(C21),F21-C21,"n/a")</f>
        <v>-27430.41</v>
      </c>
    </row>
    <row r="22" customFormat="false" ht="15" hidden="false" customHeight="false" outlineLevel="0" collapsed="false">
      <c r="A22" s="11" t="s">
        <v>273</v>
      </c>
      <c r="B22" s="11" t="s">
        <v>269</v>
      </c>
      <c r="C22" s="12" t="n">
        <v>188218.14</v>
      </c>
      <c r="D22" s="11" t="n">
        <v>1</v>
      </c>
      <c r="E22" s="11" t="n">
        <v>1</v>
      </c>
      <c r="F22" s="12" t="n">
        <v>131752.7</v>
      </c>
      <c r="G22" s="11" t="s">
        <v>243</v>
      </c>
      <c r="H22" s="11" t="s">
        <v>251</v>
      </c>
      <c r="I22" s="12" t="n">
        <f aca="false">IF(ISNUMBER(C22),F22-C22,"n/a")</f>
        <v>-56465.44</v>
      </c>
    </row>
    <row r="23" customFormat="false" ht="15" hidden="false" customHeight="false" outlineLevel="0" collapsed="false">
      <c r="A23" s="11" t="s">
        <v>274</v>
      </c>
      <c r="B23" s="11" t="s">
        <v>250</v>
      </c>
      <c r="C23" s="12" t="n">
        <v>140291.34</v>
      </c>
      <c r="D23" s="11" t="n">
        <v>0</v>
      </c>
      <c r="E23" s="11" t="n">
        <v>0</v>
      </c>
      <c r="F23" s="12" t="n">
        <v>0</v>
      </c>
      <c r="G23" s="11"/>
      <c r="H23" s="11" t="s">
        <v>259</v>
      </c>
      <c r="I23" s="12" t="n">
        <f aca="false">IF(ISNUMBER(C23),F23-C23,"n/a")</f>
        <v>-140291.34</v>
      </c>
    </row>
    <row r="24" customFormat="false" ht="15" hidden="false" customHeight="false" outlineLevel="0" collapsed="false">
      <c r="A24" s="11" t="s">
        <v>275</v>
      </c>
      <c r="B24" s="11" t="s">
        <v>242</v>
      </c>
      <c r="C24" s="12" t="n">
        <v>161580.74</v>
      </c>
      <c r="D24" s="11" t="n">
        <v>1</v>
      </c>
      <c r="E24" s="11" t="n">
        <v>1</v>
      </c>
      <c r="F24" s="12" t="n">
        <v>210054.96</v>
      </c>
      <c r="G24" s="11" t="s">
        <v>243</v>
      </c>
      <c r="H24" s="11" t="s">
        <v>253</v>
      </c>
      <c r="I24" s="12" t="n">
        <f aca="false">IF(ISNUMBER(C24),F24-C24,"n/a")</f>
        <v>48474.22</v>
      </c>
    </row>
    <row r="25" customFormat="false" ht="15" hidden="false" customHeight="false" outlineLevel="0" collapsed="false">
      <c r="A25" s="11" t="s">
        <v>276</v>
      </c>
      <c r="B25" s="11" t="s">
        <v>250</v>
      </c>
      <c r="C25" s="12" t="n">
        <v>29190.88</v>
      </c>
      <c r="D25" s="11" t="n">
        <v>1</v>
      </c>
      <c r="E25" s="11" t="n">
        <v>0</v>
      </c>
      <c r="F25" s="12" t="n">
        <v>0</v>
      </c>
      <c r="G25" s="11" t="s">
        <v>247</v>
      </c>
      <c r="H25" s="11" t="s">
        <v>248</v>
      </c>
      <c r="I25" s="12" t="n">
        <f aca="false">IF(ISNUMBER(C25),F25-C25,"n/a")</f>
        <v>-29190.88</v>
      </c>
    </row>
    <row r="26" customFormat="false" ht="15" hidden="false" customHeight="false" outlineLevel="0" collapsed="false">
      <c r="A26" s="11" t="s">
        <v>277</v>
      </c>
      <c r="B26" s="11" t="s">
        <v>246</v>
      </c>
      <c r="C26" s="12" t="n">
        <v>11854.78</v>
      </c>
      <c r="D26" s="11" t="n">
        <v>1</v>
      </c>
      <c r="E26" s="11" t="n">
        <v>1</v>
      </c>
      <c r="F26" s="12" t="n">
        <v>5927.39</v>
      </c>
      <c r="G26" s="11" t="s">
        <v>243</v>
      </c>
      <c r="H26" s="11" t="s">
        <v>278</v>
      </c>
      <c r="I26" s="12" t="n">
        <f aca="false">IF(ISNUMBER(C26),F26-C26,"n/a")</f>
        <v>-5927.39</v>
      </c>
    </row>
    <row r="27" customFormat="false" ht="15" hidden="false" customHeight="false" outlineLevel="0" collapsed="false">
      <c r="A27" s="11" t="s">
        <v>279</v>
      </c>
      <c r="B27" s="11" t="s">
        <v>242</v>
      </c>
      <c r="C27" s="12" t="n">
        <v>22602.06</v>
      </c>
      <c r="D27" s="11" t="n">
        <v>1</v>
      </c>
      <c r="E27" s="11" t="n">
        <v>0</v>
      </c>
      <c r="F27" s="12" t="n">
        <v>0</v>
      </c>
      <c r="G27" s="11" t="s">
        <v>266</v>
      </c>
      <c r="H27" s="11" t="s">
        <v>248</v>
      </c>
      <c r="I27" s="12" t="n">
        <f aca="false">IF(ISNUMBER(C27),F27-C27,"n/a")</f>
        <v>-22602.06</v>
      </c>
    </row>
    <row r="28" customFormat="false" ht="15" hidden="false" customHeight="false" outlineLevel="0" collapsed="false">
      <c r="A28" s="11" t="s">
        <v>280</v>
      </c>
      <c r="B28" s="11" t="s">
        <v>242</v>
      </c>
      <c r="C28" s="12" t="n">
        <v>98196.55</v>
      </c>
      <c r="D28" s="11" t="n">
        <v>1</v>
      </c>
      <c r="E28" s="11" t="n">
        <v>1</v>
      </c>
      <c r="F28" s="12" t="n">
        <v>98196.55</v>
      </c>
      <c r="G28" s="11" t="s">
        <v>243</v>
      </c>
      <c r="H28" s="11" t="s">
        <v>244</v>
      </c>
      <c r="I28" s="12" t="n">
        <f aca="false">IF(ISNUMBER(C28),F28-C28,"n/a")</f>
        <v>0</v>
      </c>
    </row>
    <row r="29" customFormat="false" ht="15" hidden="false" customHeight="false" outlineLevel="0" collapsed="false">
      <c r="A29" s="11" t="s">
        <v>281</v>
      </c>
      <c r="B29" s="11" t="s">
        <v>242</v>
      </c>
      <c r="C29" s="12" t="n">
        <v>64052.43</v>
      </c>
      <c r="D29" s="11" t="n">
        <v>1</v>
      </c>
      <c r="E29" s="11" t="n">
        <v>1</v>
      </c>
      <c r="F29" s="12" t="n">
        <v>64052.43</v>
      </c>
      <c r="G29" s="11" t="s">
        <v>243</v>
      </c>
      <c r="H29" s="11" t="s">
        <v>244</v>
      </c>
      <c r="I29" s="12" t="n">
        <f aca="false">IF(ISNUMBER(C29),F29-C29,"n/a")</f>
        <v>0</v>
      </c>
    </row>
    <row r="30" customFormat="false" ht="15" hidden="false" customHeight="false" outlineLevel="0" collapsed="false">
      <c r="A30" s="11" t="s">
        <v>282</v>
      </c>
      <c r="B30" s="11" t="s">
        <v>269</v>
      </c>
      <c r="C30" s="12" t="n">
        <v>74805.15</v>
      </c>
      <c r="D30" s="11" t="n">
        <v>1</v>
      </c>
      <c r="E30" s="11" t="n">
        <v>1</v>
      </c>
      <c r="F30" s="12" t="n">
        <v>74805.15</v>
      </c>
      <c r="G30" s="11" t="s">
        <v>243</v>
      </c>
      <c r="H30" s="11" t="s">
        <v>244</v>
      </c>
      <c r="I30" s="12" t="n">
        <f aca="false">IF(ISNUMBER(C30),F30-C30,"n/a")</f>
        <v>0</v>
      </c>
    </row>
    <row r="31" customFormat="false" ht="15" hidden="false" customHeight="false" outlineLevel="0" collapsed="false">
      <c r="A31" s="11" t="s">
        <v>283</v>
      </c>
      <c r="B31" s="11" t="s">
        <v>246</v>
      </c>
      <c r="C31" s="12" t="n">
        <v>58166.47</v>
      </c>
      <c r="D31" s="11" t="n">
        <v>1</v>
      </c>
      <c r="E31" s="11" t="n">
        <v>1</v>
      </c>
      <c r="F31" s="12" t="n">
        <v>58166.47</v>
      </c>
      <c r="G31" s="11" t="s">
        <v>243</v>
      </c>
      <c r="H31" s="11" t="s">
        <v>255</v>
      </c>
      <c r="I31" s="12" t="n">
        <f aca="false">IF(ISNUMBER(C31),F31-C31,"n/a")</f>
        <v>0</v>
      </c>
    </row>
    <row r="32" customFormat="false" ht="15" hidden="false" customHeight="false" outlineLevel="0" collapsed="false">
      <c r="A32" s="11" t="s">
        <v>284</v>
      </c>
      <c r="B32" s="11" t="s">
        <v>242</v>
      </c>
      <c r="C32" s="12" t="n">
        <v>134660.86</v>
      </c>
      <c r="D32" s="11" t="n">
        <v>1</v>
      </c>
      <c r="E32" s="11" t="n">
        <v>1</v>
      </c>
      <c r="F32" s="12" t="n">
        <v>67330.43</v>
      </c>
      <c r="G32" s="11" t="s">
        <v>243</v>
      </c>
      <c r="H32" s="11" t="s">
        <v>251</v>
      </c>
      <c r="I32" s="12" t="n">
        <f aca="false">IF(ISNUMBER(C32),F32-C32,"n/a")</f>
        <v>-67330.43</v>
      </c>
    </row>
    <row r="33" customFormat="false" ht="15" hidden="false" customHeight="false" outlineLevel="0" collapsed="false">
      <c r="A33" s="11" t="s">
        <v>285</v>
      </c>
      <c r="B33" s="11" t="s">
        <v>246</v>
      </c>
      <c r="C33" s="12" t="n">
        <v>87102.46</v>
      </c>
      <c r="D33" s="11" t="n">
        <v>1</v>
      </c>
      <c r="E33" s="11" t="n">
        <v>1</v>
      </c>
      <c r="F33" s="12" t="n">
        <v>113233.2</v>
      </c>
      <c r="G33" s="11" t="s">
        <v>243</v>
      </c>
      <c r="H33" s="11" t="s">
        <v>286</v>
      </c>
      <c r="I33" s="12" t="n">
        <f aca="false">IF(ISNUMBER(C33),F33-C33,"n/a")</f>
        <v>26130.74</v>
      </c>
    </row>
    <row r="34" customFormat="false" ht="15" hidden="false" customHeight="false" outlineLevel="0" collapsed="false">
      <c r="A34" s="11" t="s">
        <v>287</v>
      </c>
      <c r="B34" s="11" t="s">
        <v>250</v>
      </c>
      <c r="C34" s="12" t="n">
        <v>135193.83</v>
      </c>
      <c r="D34" s="11" t="n">
        <v>1</v>
      </c>
      <c r="E34" s="11" t="n">
        <v>1</v>
      </c>
      <c r="F34" s="12" t="n">
        <v>143687.55</v>
      </c>
      <c r="G34" s="11" t="s">
        <v>243</v>
      </c>
      <c r="H34" s="11" t="s">
        <v>253</v>
      </c>
      <c r="I34" s="12" t="n">
        <f aca="false">IF(ISNUMBER(C34),F34-C34,"n/a")</f>
        <v>8493.72</v>
      </c>
    </row>
    <row r="35" customFormat="false" ht="15" hidden="false" customHeight="false" outlineLevel="0" collapsed="false">
      <c r="A35" s="11" t="s">
        <v>288</v>
      </c>
      <c r="B35" s="11" t="s">
        <v>269</v>
      </c>
      <c r="C35" s="12" t="n">
        <v>102935.09</v>
      </c>
      <c r="D35" s="11" t="n">
        <v>1</v>
      </c>
      <c r="E35" s="11" t="n">
        <v>1</v>
      </c>
      <c r="F35" s="12" t="n">
        <v>102734.51</v>
      </c>
      <c r="G35" s="11" t="s">
        <v>243</v>
      </c>
      <c r="H35" s="11" t="s">
        <v>251</v>
      </c>
      <c r="I35" s="12" t="n">
        <f aca="false">IF(ISNUMBER(C35),F35-C35,"n/a")</f>
        <v>-200.580000000002</v>
      </c>
    </row>
    <row r="36" customFormat="false" ht="15" hidden="false" customHeight="false" outlineLevel="0" collapsed="false">
      <c r="A36" s="11" t="s">
        <v>289</v>
      </c>
      <c r="B36" s="11" t="s">
        <v>250</v>
      </c>
      <c r="C36" s="12" t="n">
        <v>175396.11</v>
      </c>
      <c r="D36" s="11" t="n">
        <v>1</v>
      </c>
      <c r="E36" s="11" t="n">
        <v>0</v>
      </c>
      <c r="F36" s="12" t="n">
        <v>0</v>
      </c>
      <c r="G36" s="11" t="s">
        <v>250</v>
      </c>
      <c r="H36" s="11" t="s">
        <v>248</v>
      </c>
      <c r="I36" s="12" t="n">
        <f aca="false">IF(ISNUMBER(C36),F36-C36,"n/a")</f>
        <v>-175396.11</v>
      </c>
    </row>
    <row r="37" customFormat="false" ht="15" hidden="false" customHeight="false" outlineLevel="0" collapsed="false">
      <c r="A37" s="11" t="s">
        <v>290</v>
      </c>
      <c r="B37" s="11" t="s">
        <v>269</v>
      </c>
      <c r="C37" s="12" t="n">
        <v>119584.01</v>
      </c>
      <c r="D37" s="11" t="n">
        <v>1</v>
      </c>
      <c r="E37" s="11" t="n">
        <v>0</v>
      </c>
      <c r="F37" s="12" t="n">
        <v>0</v>
      </c>
      <c r="G37" s="11" t="s">
        <v>247</v>
      </c>
      <c r="H37" s="11" t="s">
        <v>248</v>
      </c>
      <c r="I37" s="12" t="n">
        <f aca="false">IF(ISNUMBER(C37),F37-C37,"n/a")</f>
        <v>-119584.01</v>
      </c>
    </row>
    <row r="38" customFormat="false" ht="15" hidden="false" customHeight="false" outlineLevel="0" collapsed="false">
      <c r="A38" s="11" t="s">
        <v>291</v>
      </c>
      <c r="B38" s="11" t="s">
        <v>250</v>
      </c>
      <c r="C38" s="12" t="n">
        <v>196545.93</v>
      </c>
      <c r="D38" s="11" t="n">
        <v>1</v>
      </c>
      <c r="E38" s="11" t="n">
        <v>1</v>
      </c>
      <c r="F38" s="12" t="n">
        <v>183981.11</v>
      </c>
      <c r="G38" s="11" t="s">
        <v>243</v>
      </c>
      <c r="H38" s="11" t="s">
        <v>251</v>
      </c>
      <c r="I38" s="12" t="n">
        <f aca="false">IF(ISNUMBER(C38),F38-C38,"n/a")</f>
        <v>-12564.82</v>
      </c>
    </row>
    <row r="39" customFormat="false" ht="15" hidden="false" customHeight="false" outlineLevel="0" collapsed="false">
      <c r="A39" s="11" t="s">
        <v>292</v>
      </c>
      <c r="B39" s="11" t="s">
        <v>250</v>
      </c>
      <c r="C39" s="12" t="n">
        <v>21358.35</v>
      </c>
      <c r="D39" s="11" t="n">
        <v>1</v>
      </c>
      <c r="E39" s="11" t="n">
        <v>1</v>
      </c>
      <c r="F39" s="12" t="n">
        <v>21358.35</v>
      </c>
      <c r="G39" s="11" t="s">
        <v>243</v>
      </c>
      <c r="H39" s="11" t="s">
        <v>244</v>
      </c>
      <c r="I39" s="12" t="n">
        <f aca="false">IF(ISNUMBER(C39),F39-C39,"n/a")</f>
        <v>0</v>
      </c>
    </row>
    <row r="40" customFormat="false" ht="15" hidden="false" customHeight="false" outlineLevel="0" collapsed="false">
      <c r="A40" s="11" t="s">
        <v>293</v>
      </c>
      <c r="B40" s="11" t="s">
        <v>242</v>
      </c>
      <c r="C40" s="12" t="n">
        <v>131014.48</v>
      </c>
      <c r="D40" s="11" t="n">
        <v>1</v>
      </c>
      <c r="E40" s="11" t="n">
        <v>0</v>
      </c>
      <c r="F40" s="12" t="n">
        <v>0</v>
      </c>
      <c r="G40" s="11" t="s">
        <v>250</v>
      </c>
      <c r="H40" s="11" t="s">
        <v>248</v>
      </c>
      <c r="I40" s="12" t="n">
        <f aca="false">IF(ISNUMBER(C40),F40-C40,"n/a")</f>
        <v>-131014.48</v>
      </c>
    </row>
    <row r="41" customFormat="false" ht="15" hidden="false" customHeight="false" outlineLevel="0" collapsed="false">
      <c r="A41" s="11" t="s">
        <v>294</v>
      </c>
      <c r="B41" s="11" t="s">
        <v>246</v>
      </c>
      <c r="C41" s="12" t="n">
        <v>56215.9</v>
      </c>
      <c r="D41" s="11" t="n">
        <v>1</v>
      </c>
      <c r="E41" s="11" t="n">
        <v>1</v>
      </c>
      <c r="F41" s="12" t="n">
        <v>56215.9</v>
      </c>
      <c r="G41" s="11" t="s">
        <v>243</v>
      </c>
      <c r="H41" s="11" t="s">
        <v>255</v>
      </c>
      <c r="I41" s="12" t="n">
        <f aca="false">IF(ISNUMBER(C41),F41-C41,"n/a")</f>
        <v>0</v>
      </c>
    </row>
    <row r="42" customFormat="false" ht="15" hidden="false" customHeight="false" outlineLevel="0" collapsed="false">
      <c r="A42" s="11" t="s">
        <v>295</v>
      </c>
      <c r="B42" s="11" t="s">
        <v>250</v>
      </c>
      <c r="C42" s="12" t="n">
        <v>141569.71</v>
      </c>
      <c r="D42" s="11" t="n">
        <v>1</v>
      </c>
      <c r="E42" s="11" t="n">
        <v>1</v>
      </c>
      <c r="F42" s="12" t="n">
        <v>141569.71</v>
      </c>
      <c r="G42" s="11" t="s">
        <v>243</v>
      </c>
      <c r="H42" s="11" t="s">
        <v>244</v>
      </c>
      <c r="I42" s="12" t="n">
        <f aca="false">IF(ISNUMBER(C42),F42-C42,"n/a")</f>
        <v>0</v>
      </c>
    </row>
    <row r="43" customFormat="false" ht="15" hidden="false" customHeight="false" outlineLevel="0" collapsed="false">
      <c r="A43" s="11" t="s">
        <v>296</v>
      </c>
      <c r="B43" s="11" t="s">
        <v>242</v>
      </c>
      <c r="C43" s="12" t="n">
        <v>32157.81</v>
      </c>
      <c r="D43" s="11" t="n">
        <v>1</v>
      </c>
      <c r="E43" s="11" t="n">
        <v>1</v>
      </c>
      <c r="F43" s="12" t="n">
        <v>54738.31</v>
      </c>
      <c r="G43" s="11" t="s">
        <v>243</v>
      </c>
      <c r="H43" s="11" t="s">
        <v>253</v>
      </c>
      <c r="I43" s="12" t="n">
        <f aca="false">IF(ISNUMBER(C43),F43-C43,"n/a")</f>
        <v>22580.5</v>
      </c>
    </row>
    <row r="44" customFormat="false" ht="15" hidden="false" customHeight="false" outlineLevel="0" collapsed="false">
      <c r="A44" s="11" t="s">
        <v>297</v>
      </c>
      <c r="B44" s="11" t="s">
        <v>242</v>
      </c>
      <c r="C44" s="12" t="n">
        <v>107969.1</v>
      </c>
      <c r="D44" s="11" t="n">
        <v>0</v>
      </c>
      <c r="E44" s="11" t="n">
        <v>0</v>
      </c>
      <c r="F44" s="12" t="n">
        <v>0</v>
      </c>
      <c r="G44" s="11"/>
      <c r="H44" s="11" t="s">
        <v>259</v>
      </c>
      <c r="I44" s="12" t="n">
        <f aca="false">IF(ISNUMBER(C44),F44-C44,"n/a")</f>
        <v>-107969.1</v>
      </c>
    </row>
    <row r="45" customFormat="false" ht="15" hidden="false" customHeight="false" outlineLevel="0" collapsed="false">
      <c r="A45" s="11" t="s">
        <v>298</v>
      </c>
      <c r="B45" s="11" t="s">
        <v>242</v>
      </c>
      <c r="C45" s="12" t="n">
        <v>88663.82</v>
      </c>
      <c r="D45" s="11" t="n">
        <v>1</v>
      </c>
      <c r="E45" s="11" t="n">
        <v>0</v>
      </c>
      <c r="F45" s="12" t="n">
        <v>0</v>
      </c>
      <c r="G45" s="11" t="s">
        <v>266</v>
      </c>
      <c r="H45" s="11" t="s">
        <v>248</v>
      </c>
      <c r="I45" s="12" t="n">
        <f aca="false">IF(ISNUMBER(C45),F45-C45,"n/a")</f>
        <v>-88663.82</v>
      </c>
    </row>
    <row r="46" customFormat="false" ht="15" hidden="false" customHeight="false" outlineLevel="0" collapsed="false">
      <c r="A46" s="11" t="s">
        <v>299</v>
      </c>
      <c r="B46" s="11" t="s">
        <v>242</v>
      </c>
      <c r="C46" s="12" t="n">
        <v>31749.05</v>
      </c>
      <c r="D46" s="11" t="n">
        <v>1</v>
      </c>
      <c r="E46" s="11" t="n">
        <v>1</v>
      </c>
      <c r="F46" s="12" t="n">
        <v>27686.04</v>
      </c>
      <c r="G46" s="11" t="s">
        <v>243</v>
      </c>
      <c r="H46" s="11" t="s">
        <v>251</v>
      </c>
      <c r="I46" s="12" t="n">
        <f aca="false">IF(ISNUMBER(C46),F46-C46,"n/a")</f>
        <v>-4063.01</v>
      </c>
    </row>
    <row r="47" customFormat="false" ht="15" hidden="false" customHeight="false" outlineLevel="0" collapsed="false">
      <c r="A47" s="11" t="s">
        <v>300</v>
      </c>
      <c r="B47" s="11" t="s">
        <v>246</v>
      </c>
      <c r="C47" s="12" t="n">
        <v>100493.15</v>
      </c>
      <c r="D47" s="11" t="n">
        <v>2</v>
      </c>
      <c r="E47" s="11" t="n">
        <v>1</v>
      </c>
      <c r="F47" s="12" t="n">
        <v>320939.45</v>
      </c>
      <c r="G47" s="11" t="s">
        <v>301</v>
      </c>
      <c r="H47" s="11" t="s">
        <v>302</v>
      </c>
      <c r="I47" s="12" t="n">
        <f aca="false">IF(ISNUMBER(C47),F47-C47,"n/a")</f>
        <v>220446.3</v>
      </c>
    </row>
    <row r="48" customFormat="false" ht="15" hidden="false" customHeight="false" outlineLevel="0" collapsed="false">
      <c r="A48" s="11" t="s">
        <v>303</v>
      </c>
      <c r="B48" s="11" t="s">
        <v>242</v>
      </c>
      <c r="C48" s="12" t="n">
        <v>70379.66</v>
      </c>
      <c r="D48" s="11" t="n">
        <v>1</v>
      </c>
      <c r="E48" s="11" t="n">
        <v>1</v>
      </c>
      <c r="F48" s="12" t="n">
        <v>70379.66</v>
      </c>
      <c r="G48" s="11" t="s">
        <v>243</v>
      </c>
      <c r="H48" s="11" t="s">
        <v>244</v>
      </c>
      <c r="I48" s="12" t="n">
        <f aca="false">IF(ISNUMBER(C48),F48-C48,"n/a")</f>
        <v>0</v>
      </c>
    </row>
    <row r="49" customFormat="false" ht="15" hidden="false" customHeight="false" outlineLevel="0" collapsed="false">
      <c r="A49" s="11" t="s">
        <v>304</v>
      </c>
      <c r="B49" s="11" t="s">
        <v>242</v>
      </c>
      <c r="C49" s="12" t="n">
        <v>39842.03</v>
      </c>
      <c r="D49" s="11" t="n">
        <v>1</v>
      </c>
      <c r="E49" s="11" t="n">
        <v>1</v>
      </c>
      <c r="F49" s="12" t="n">
        <v>39842.03</v>
      </c>
      <c r="G49" s="11" t="s">
        <v>243</v>
      </c>
      <c r="H49" s="11" t="s">
        <v>244</v>
      </c>
      <c r="I49" s="12" t="n">
        <f aca="false">IF(ISNUMBER(C49),F49-C49,"n/a")</f>
        <v>0</v>
      </c>
    </row>
    <row r="50" customFormat="false" ht="15" hidden="false" customHeight="false" outlineLevel="0" collapsed="false">
      <c r="A50" s="11" t="s">
        <v>305</v>
      </c>
      <c r="B50" s="11" t="s">
        <v>242</v>
      </c>
      <c r="C50" s="12" t="n">
        <v>80190.59</v>
      </c>
      <c r="D50" s="11" t="n">
        <v>1</v>
      </c>
      <c r="E50" s="11" t="n">
        <v>1</v>
      </c>
      <c r="F50" s="12" t="n">
        <v>80190.59</v>
      </c>
      <c r="G50" s="11" t="s">
        <v>243</v>
      </c>
      <c r="H50" s="11" t="s">
        <v>244</v>
      </c>
      <c r="I50" s="12" t="n">
        <f aca="false">IF(ISNUMBER(C50),F50-C50,"n/a")</f>
        <v>0</v>
      </c>
    </row>
    <row r="51" customFormat="false" ht="15" hidden="false" customHeight="false" outlineLevel="0" collapsed="false">
      <c r="A51" s="11" t="s">
        <v>306</v>
      </c>
      <c r="B51" s="11" t="s">
        <v>242</v>
      </c>
      <c r="C51" s="12" t="n">
        <v>49922.85</v>
      </c>
      <c r="D51" s="11" t="n">
        <v>1</v>
      </c>
      <c r="E51" s="11" t="n">
        <v>1</v>
      </c>
      <c r="F51" s="12" t="n">
        <v>49866.55</v>
      </c>
      <c r="G51" s="11" t="s">
        <v>243</v>
      </c>
      <c r="H51" s="11" t="s">
        <v>251</v>
      </c>
      <c r="I51" s="12" t="n">
        <f aca="false">IF(ISNUMBER(C51),F51-C51,"n/a")</f>
        <v>-56.2999999999956</v>
      </c>
    </row>
    <row r="52" customFormat="false" ht="15" hidden="false" customHeight="false" outlineLevel="0" collapsed="false">
      <c r="A52" s="11" t="s">
        <v>307</v>
      </c>
      <c r="B52" s="11" t="s">
        <v>242</v>
      </c>
      <c r="C52" s="12" t="n">
        <v>104461.03</v>
      </c>
      <c r="D52" s="11" t="n">
        <v>0</v>
      </c>
      <c r="E52" s="11" t="n">
        <v>0</v>
      </c>
      <c r="F52" s="12" t="n">
        <v>0</v>
      </c>
      <c r="G52" s="11"/>
      <c r="H52" s="11" t="s">
        <v>259</v>
      </c>
      <c r="I52" s="12" t="n">
        <f aca="false">IF(ISNUMBER(C52),F52-C52,"n/a")</f>
        <v>-104461.03</v>
      </c>
    </row>
    <row r="53" customFormat="false" ht="15" hidden="false" customHeight="false" outlineLevel="0" collapsed="false">
      <c r="A53" s="11" t="s">
        <v>308</v>
      </c>
      <c r="B53" s="11" t="s">
        <v>246</v>
      </c>
      <c r="C53" s="12" t="n">
        <v>101394.45</v>
      </c>
      <c r="D53" s="11" t="n">
        <v>1</v>
      </c>
      <c r="E53" s="11" t="n">
        <v>0</v>
      </c>
      <c r="F53" s="12" t="n">
        <v>0</v>
      </c>
      <c r="G53" s="11" t="s">
        <v>247</v>
      </c>
      <c r="H53" s="11" t="s">
        <v>248</v>
      </c>
      <c r="I53" s="12" t="n">
        <f aca="false">IF(ISNUMBER(C53),F53-C53,"n/a")</f>
        <v>-101394.45</v>
      </c>
    </row>
    <row r="54" customFormat="false" ht="15" hidden="false" customHeight="false" outlineLevel="0" collapsed="false">
      <c r="A54" s="11" t="s">
        <v>309</v>
      </c>
      <c r="B54" s="11" t="s">
        <v>246</v>
      </c>
      <c r="C54" s="12" t="n">
        <v>127138.6</v>
      </c>
      <c r="D54" s="11" t="n">
        <v>1</v>
      </c>
      <c r="E54" s="11" t="n">
        <v>1</v>
      </c>
      <c r="F54" s="12" t="n">
        <v>171095.52</v>
      </c>
      <c r="G54" s="11" t="s">
        <v>243</v>
      </c>
      <c r="H54" s="11" t="s">
        <v>286</v>
      </c>
      <c r="I54" s="12" t="n">
        <f aca="false">IF(ISNUMBER(C54),F54-C54,"n/a")</f>
        <v>43956.92</v>
      </c>
    </row>
    <row r="55" customFormat="false" ht="15" hidden="false" customHeight="false" outlineLevel="0" collapsed="false">
      <c r="A55" s="11" t="s">
        <v>310</v>
      </c>
      <c r="B55" s="11" t="s">
        <v>242</v>
      </c>
      <c r="C55" s="12" t="n">
        <v>71135.85</v>
      </c>
      <c r="D55" s="11" t="n">
        <v>1</v>
      </c>
      <c r="E55" s="11" t="n">
        <v>1</v>
      </c>
      <c r="F55" s="12" t="n">
        <v>49795.09</v>
      </c>
      <c r="G55" s="11" t="s">
        <v>243</v>
      </c>
      <c r="H55" s="11" t="s">
        <v>251</v>
      </c>
      <c r="I55" s="12" t="n">
        <f aca="false">IF(ISNUMBER(C55),F55-C55,"n/a")</f>
        <v>-21340.76</v>
      </c>
    </row>
    <row r="56" customFormat="false" ht="15" hidden="false" customHeight="false" outlineLevel="0" collapsed="false">
      <c r="A56" s="11" t="s">
        <v>311</v>
      </c>
      <c r="B56" s="11" t="s">
        <v>250</v>
      </c>
      <c r="C56" s="12" t="n">
        <v>64121.27</v>
      </c>
      <c r="D56" s="11" t="n">
        <v>1</v>
      </c>
      <c r="E56" s="11" t="n">
        <v>0</v>
      </c>
      <c r="F56" s="12" t="n">
        <v>0</v>
      </c>
      <c r="G56" s="11" t="s">
        <v>247</v>
      </c>
      <c r="H56" s="11" t="s">
        <v>248</v>
      </c>
      <c r="I56" s="12" t="n">
        <f aca="false">IF(ISNUMBER(C56),F56-C56,"n/a")</f>
        <v>-64121.27</v>
      </c>
    </row>
    <row r="57" customFormat="false" ht="15" hidden="false" customHeight="false" outlineLevel="0" collapsed="false">
      <c r="A57" s="11" t="s">
        <v>312</v>
      </c>
      <c r="B57" s="11" t="s">
        <v>250</v>
      </c>
      <c r="C57" s="12" t="n">
        <v>4010.91</v>
      </c>
      <c r="D57" s="11" t="n">
        <v>1</v>
      </c>
      <c r="E57" s="11" t="n">
        <v>0</v>
      </c>
      <c r="F57" s="12" t="n">
        <v>0</v>
      </c>
      <c r="G57" s="11" t="s">
        <v>250</v>
      </c>
      <c r="H57" s="11" t="s">
        <v>248</v>
      </c>
      <c r="I57" s="12" t="n">
        <f aca="false">IF(ISNUMBER(C57),F57-C57,"n/a")</f>
        <v>-4010.91</v>
      </c>
    </row>
    <row r="58" customFormat="false" ht="15" hidden="false" customHeight="false" outlineLevel="0" collapsed="false">
      <c r="A58" s="11" t="s">
        <v>313</v>
      </c>
      <c r="B58" s="11" t="s">
        <v>250</v>
      </c>
      <c r="C58" s="12" t="n">
        <v>154521.63</v>
      </c>
      <c r="D58" s="11" t="n">
        <v>1</v>
      </c>
      <c r="E58" s="11" t="n">
        <v>1</v>
      </c>
      <c r="F58" s="12" t="n">
        <v>154521.63</v>
      </c>
      <c r="G58" s="11" t="s">
        <v>243</v>
      </c>
      <c r="H58" s="11" t="s">
        <v>244</v>
      </c>
      <c r="I58" s="12" t="n">
        <f aca="false">IF(ISNUMBER(C58),F58-C58,"n/a")</f>
        <v>0</v>
      </c>
    </row>
    <row r="59" customFormat="false" ht="15" hidden="false" customHeight="false" outlineLevel="0" collapsed="false">
      <c r="A59" s="11" t="s">
        <v>314</v>
      </c>
      <c r="B59" s="11" t="s">
        <v>269</v>
      </c>
      <c r="C59" s="12" t="n">
        <v>119015.93</v>
      </c>
      <c r="D59" s="11" t="n">
        <v>1</v>
      </c>
      <c r="E59" s="11" t="n">
        <v>0</v>
      </c>
      <c r="F59" s="12" t="n">
        <v>0</v>
      </c>
      <c r="G59" s="11" t="s">
        <v>266</v>
      </c>
      <c r="H59" s="11" t="s">
        <v>248</v>
      </c>
      <c r="I59" s="12" t="n">
        <f aca="false">IF(ISNUMBER(C59),F59-C59,"n/a")</f>
        <v>-119015.93</v>
      </c>
    </row>
    <row r="60" customFormat="false" ht="15" hidden="false" customHeight="false" outlineLevel="0" collapsed="false">
      <c r="A60" s="11" t="s">
        <v>315</v>
      </c>
      <c r="B60" s="11" t="s">
        <v>250</v>
      </c>
      <c r="C60" s="12" t="n">
        <v>18640.84</v>
      </c>
      <c r="D60" s="11" t="n">
        <v>1</v>
      </c>
      <c r="E60" s="11" t="n">
        <v>1</v>
      </c>
      <c r="F60" s="12" t="n">
        <v>18640.84</v>
      </c>
      <c r="G60" s="11" t="s">
        <v>243</v>
      </c>
      <c r="H60" s="11" t="s">
        <v>244</v>
      </c>
      <c r="I60" s="12" t="n">
        <f aca="false">IF(ISNUMBER(C60),F60-C60,"n/a")</f>
        <v>0</v>
      </c>
    </row>
    <row r="61" customFormat="false" ht="15" hidden="false" customHeight="false" outlineLevel="0" collapsed="false">
      <c r="A61" s="11" t="s">
        <v>316</v>
      </c>
      <c r="B61" s="11" t="s">
        <v>250</v>
      </c>
      <c r="C61" s="12" t="n">
        <v>4511.74</v>
      </c>
      <c r="D61" s="11" t="n">
        <v>1</v>
      </c>
      <c r="E61" s="11" t="n">
        <v>1</v>
      </c>
      <c r="F61" s="12" t="n">
        <v>4511.74</v>
      </c>
      <c r="G61" s="11" t="s">
        <v>243</v>
      </c>
      <c r="H61" s="11" t="s">
        <v>244</v>
      </c>
      <c r="I61" s="12" t="n">
        <f aca="false">IF(ISNUMBER(C61),F61-C61,"n/a")</f>
        <v>0</v>
      </c>
    </row>
    <row r="62" customFormat="false" ht="15" hidden="false" customHeight="false" outlineLevel="0" collapsed="false">
      <c r="A62" s="11" t="s">
        <v>317</v>
      </c>
      <c r="B62" s="11" t="s">
        <v>242</v>
      </c>
      <c r="C62" s="12" t="n">
        <v>103794.82</v>
      </c>
      <c r="D62" s="11" t="n">
        <v>1</v>
      </c>
      <c r="E62" s="11" t="n">
        <v>1</v>
      </c>
      <c r="F62" s="12" t="n">
        <v>103794.82</v>
      </c>
      <c r="G62" s="11" t="s">
        <v>243</v>
      </c>
      <c r="H62" s="11" t="s">
        <v>244</v>
      </c>
      <c r="I62" s="12" t="n">
        <f aca="false">IF(ISNUMBER(C62),F62-C62,"n/a")</f>
        <v>0</v>
      </c>
    </row>
    <row r="63" customFormat="false" ht="15" hidden="false" customHeight="false" outlineLevel="0" collapsed="false">
      <c r="A63" s="11" t="s">
        <v>318</v>
      </c>
      <c r="B63" s="11" t="s">
        <v>269</v>
      </c>
      <c r="C63" s="12" t="n">
        <v>144271.29</v>
      </c>
      <c r="D63" s="11" t="n">
        <v>1</v>
      </c>
      <c r="E63" s="11" t="n">
        <v>0</v>
      </c>
      <c r="F63" s="12" t="n">
        <v>0</v>
      </c>
      <c r="G63" s="11" t="s">
        <v>266</v>
      </c>
      <c r="H63" s="11" t="s">
        <v>248</v>
      </c>
      <c r="I63" s="12" t="n">
        <f aca="false">IF(ISNUMBER(C63),F63-C63,"n/a")</f>
        <v>-144271.29</v>
      </c>
    </row>
    <row r="64" customFormat="false" ht="15" hidden="false" customHeight="false" outlineLevel="0" collapsed="false">
      <c r="A64" s="11" t="s">
        <v>319</v>
      </c>
      <c r="B64" s="11" t="s">
        <v>242</v>
      </c>
      <c r="C64" s="12" t="n">
        <v>172606.66</v>
      </c>
      <c r="D64" s="11" t="n">
        <v>1</v>
      </c>
      <c r="E64" s="11" t="n">
        <v>1</v>
      </c>
      <c r="F64" s="12" t="n">
        <v>172606.66</v>
      </c>
      <c r="G64" s="11" t="s">
        <v>243</v>
      </c>
      <c r="H64" s="11" t="s">
        <v>244</v>
      </c>
      <c r="I64" s="12" t="n">
        <f aca="false">IF(ISNUMBER(C64),F64-C64,"n/a")</f>
        <v>0</v>
      </c>
    </row>
    <row r="65" customFormat="false" ht="15" hidden="false" customHeight="false" outlineLevel="0" collapsed="false">
      <c r="A65" s="11" t="s">
        <v>320</v>
      </c>
      <c r="B65" s="11" t="s">
        <v>250</v>
      </c>
      <c r="C65" s="12" t="n">
        <v>24725.25</v>
      </c>
      <c r="D65" s="11" t="n">
        <v>1</v>
      </c>
      <c r="E65" s="11" t="n">
        <v>1</v>
      </c>
      <c r="F65" s="12" t="n">
        <v>24725.25</v>
      </c>
      <c r="G65" s="11" t="s">
        <v>243</v>
      </c>
      <c r="H65" s="11" t="s">
        <v>244</v>
      </c>
      <c r="I65" s="12" t="n">
        <f aca="false">IF(ISNUMBER(C65),F65-C65,"n/a")</f>
        <v>0</v>
      </c>
    </row>
    <row r="66" customFormat="false" ht="15" hidden="false" customHeight="false" outlineLevel="0" collapsed="false">
      <c r="A66" s="11" t="s">
        <v>321</v>
      </c>
      <c r="B66" s="11" t="s">
        <v>269</v>
      </c>
      <c r="C66" s="12" t="n">
        <v>104214.12</v>
      </c>
      <c r="D66" s="11" t="n">
        <v>1</v>
      </c>
      <c r="E66" s="11" t="n">
        <v>1</v>
      </c>
      <c r="F66" s="12" t="n">
        <v>103988.9</v>
      </c>
      <c r="G66" s="11" t="s">
        <v>243</v>
      </c>
      <c r="H66" s="11" t="s">
        <v>251</v>
      </c>
      <c r="I66" s="12" t="n">
        <f aca="false">IF(ISNUMBER(C66),F66-C66,"n/a")</f>
        <v>-225.220000000001</v>
      </c>
    </row>
    <row r="67" customFormat="false" ht="15" hidden="false" customHeight="false" outlineLevel="0" collapsed="false">
      <c r="A67" s="11" t="s">
        <v>322</v>
      </c>
      <c r="B67" s="11" t="s">
        <v>242</v>
      </c>
      <c r="C67" s="12" t="n">
        <v>24787.98</v>
      </c>
      <c r="D67" s="11" t="n">
        <v>1</v>
      </c>
      <c r="E67" s="11" t="n">
        <v>1</v>
      </c>
      <c r="F67" s="12" t="n">
        <v>55365.37</v>
      </c>
      <c r="G67" s="11" t="s">
        <v>243</v>
      </c>
      <c r="H67" s="11" t="s">
        <v>253</v>
      </c>
      <c r="I67" s="12" t="n">
        <f aca="false">IF(ISNUMBER(C67),F67-C67,"n/a")</f>
        <v>30577.39</v>
      </c>
    </row>
    <row r="68" customFormat="false" ht="15" hidden="false" customHeight="false" outlineLevel="0" collapsed="false">
      <c r="A68" s="11" t="s">
        <v>323</v>
      </c>
      <c r="B68" s="11" t="s">
        <v>242</v>
      </c>
      <c r="C68" s="12" t="n">
        <v>120536.64</v>
      </c>
      <c r="D68" s="11" t="n">
        <v>1</v>
      </c>
      <c r="E68" s="11" t="n">
        <v>0</v>
      </c>
      <c r="F68" s="12" t="n">
        <v>0</v>
      </c>
      <c r="G68" s="11" t="s">
        <v>250</v>
      </c>
      <c r="H68" s="11" t="s">
        <v>248</v>
      </c>
      <c r="I68" s="12" t="n">
        <f aca="false">IF(ISNUMBER(C68),F68-C68,"n/a")</f>
        <v>-120536.64</v>
      </c>
    </row>
    <row r="69" customFormat="false" ht="15" hidden="false" customHeight="false" outlineLevel="0" collapsed="false">
      <c r="A69" s="11" t="s">
        <v>324</v>
      </c>
      <c r="B69" s="11" t="s">
        <v>269</v>
      </c>
      <c r="C69" s="12" t="n">
        <v>118036.77</v>
      </c>
      <c r="D69" s="11" t="n">
        <v>1</v>
      </c>
      <c r="E69" s="11" t="n">
        <v>0</v>
      </c>
      <c r="F69" s="12" t="n">
        <v>0</v>
      </c>
      <c r="G69" s="11" t="s">
        <v>247</v>
      </c>
      <c r="H69" s="11" t="s">
        <v>248</v>
      </c>
      <c r="I69" s="12" t="n">
        <f aca="false">IF(ISNUMBER(C69),F69-C69,"n/a")</f>
        <v>-118036.77</v>
      </c>
    </row>
    <row r="70" customFormat="false" ht="15" hidden="false" customHeight="false" outlineLevel="0" collapsed="false">
      <c r="A70" s="11" t="s">
        <v>325</v>
      </c>
      <c r="B70" s="11" t="s">
        <v>242</v>
      </c>
      <c r="C70" s="12" t="n">
        <v>68518.87</v>
      </c>
      <c r="D70" s="11" t="n">
        <v>1</v>
      </c>
      <c r="E70" s="11" t="n">
        <v>0</v>
      </c>
      <c r="F70" s="12" t="n">
        <v>0</v>
      </c>
      <c r="G70" s="11" t="s">
        <v>250</v>
      </c>
      <c r="H70" s="11" t="s">
        <v>248</v>
      </c>
      <c r="I70" s="12" t="n">
        <f aca="false">IF(ISNUMBER(C70),F70-C70,"n/a")</f>
        <v>-68518.87</v>
      </c>
    </row>
    <row r="71" customFormat="false" ht="15" hidden="false" customHeight="false" outlineLevel="0" collapsed="false">
      <c r="A71" s="11" t="s">
        <v>326</v>
      </c>
      <c r="B71" s="11" t="s">
        <v>242</v>
      </c>
      <c r="C71" s="12" t="n">
        <v>14920.73</v>
      </c>
      <c r="D71" s="11" t="n">
        <v>2</v>
      </c>
      <c r="E71" s="11" t="n">
        <v>1</v>
      </c>
      <c r="F71" s="12" t="n">
        <v>14920.73</v>
      </c>
      <c r="G71" s="11" t="s">
        <v>301</v>
      </c>
      <c r="H71" s="11" t="s">
        <v>261</v>
      </c>
      <c r="I71" s="12" t="n">
        <f aca="false">IF(ISNUMBER(C71),F71-C71,"n/a")</f>
        <v>0</v>
      </c>
    </row>
    <row r="72" customFormat="false" ht="15" hidden="false" customHeight="false" outlineLevel="0" collapsed="false">
      <c r="A72" s="11" t="s">
        <v>327</v>
      </c>
      <c r="B72" s="11" t="s">
        <v>250</v>
      </c>
      <c r="C72" s="12" t="n">
        <v>166130.39</v>
      </c>
      <c r="D72" s="11" t="n">
        <v>1</v>
      </c>
      <c r="E72" s="11" t="n">
        <v>1</v>
      </c>
      <c r="F72" s="12" t="n">
        <v>166130.39</v>
      </c>
      <c r="G72" s="11" t="s">
        <v>243</v>
      </c>
      <c r="H72" s="11" t="s">
        <v>244</v>
      </c>
      <c r="I72" s="12" t="n">
        <f aca="false">IF(ISNUMBER(C72),F72-C72,"n/a")</f>
        <v>0</v>
      </c>
    </row>
    <row r="73" customFormat="false" ht="15" hidden="false" customHeight="false" outlineLevel="0" collapsed="false">
      <c r="A73" s="11" t="s">
        <v>328</v>
      </c>
      <c r="B73" s="11" t="s">
        <v>242</v>
      </c>
      <c r="C73" s="12" t="n">
        <v>13159.1</v>
      </c>
      <c r="D73" s="11" t="n">
        <v>1</v>
      </c>
      <c r="E73" s="11" t="n">
        <v>1</v>
      </c>
      <c r="F73" s="12" t="n">
        <v>9974.29</v>
      </c>
      <c r="G73" s="11" t="s">
        <v>243</v>
      </c>
      <c r="H73" s="11" t="s">
        <v>251</v>
      </c>
      <c r="I73" s="12" t="n">
        <f aca="false">IF(ISNUMBER(C73),F73-C73,"n/a")</f>
        <v>-3184.81</v>
      </c>
    </row>
    <row r="74" customFormat="false" ht="15" hidden="false" customHeight="false" outlineLevel="0" collapsed="false">
      <c r="A74" s="11" t="s">
        <v>329</v>
      </c>
      <c r="B74" s="11" t="s">
        <v>242</v>
      </c>
      <c r="C74" s="12" t="n">
        <v>50578.94</v>
      </c>
      <c r="D74" s="11" t="n">
        <v>1</v>
      </c>
      <c r="E74" s="11" t="n">
        <v>1</v>
      </c>
      <c r="F74" s="12" t="n">
        <v>60974.37</v>
      </c>
      <c r="G74" s="11" t="s">
        <v>243</v>
      </c>
      <c r="H74" s="11" t="s">
        <v>253</v>
      </c>
      <c r="I74" s="12" t="n">
        <f aca="false">IF(ISNUMBER(C74),F74-C74,"n/a")</f>
        <v>10395.43</v>
      </c>
    </row>
    <row r="75" customFormat="false" ht="15" hidden="false" customHeight="false" outlineLevel="0" collapsed="false">
      <c r="A75" s="11" t="s">
        <v>330</v>
      </c>
      <c r="B75" s="11" t="s">
        <v>269</v>
      </c>
      <c r="C75" s="12" t="n">
        <v>76029.14</v>
      </c>
      <c r="D75" s="11" t="n">
        <v>1</v>
      </c>
      <c r="E75" s="11" t="n">
        <v>1</v>
      </c>
      <c r="F75" s="12" t="n">
        <v>96127.77</v>
      </c>
      <c r="G75" s="11" t="s">
        <v>243</v>
      </c>
      <c r="H75" s="11" t="s">
        <v>253</v>
      </c>
      <c r="I75" s="12" t="n">
        <f aca="false">IF(ISNUMBER(C75),F75-C75,"n/a")</f>
        <v>20098.63</v>
      </c>
    </row>
    <row r="76" customFormat="false" ht="15" hidden="false" customHeight="false" outlineLevel="0" collapsed="false">
      <c r="A76" s="11" t="s">
        <v>331</v>
      </c>
      <c r="B76" s="11" t="s">
        <v>250</v>
      </c>
      <c r="C76" s="12" t="n">
        <v>132077.56</v>
      </c>
      <c r="D76" s="11" t="n">
        <v>1</v>
      </c>
      <c r="E76" s="11" t="n">
        <v>0</v>
      </c>
      <c r="F76" s="12" t="n">
        <v>0</v>
      </c>
      <c r="G76" s="11" t="s">
        <v>266</v>
      </c>
      <c r="H76" s="11" t="s">
        <v>248</v>
      </c>
      <c r="I76" s="12" t="n">
        <f aca="false">IF(ISNUMBER(C76),F76-C76,"n/a")</f>
        <v>-132077.56</v>
      </c>
    </row>
    <row r="77" customFormat="false" ht="15" hidden="false" customHeight="false" outlineLevel="0" collapsed="false">
      <c r="A77" s="11" t="s">
        <v>332</v>
      </c>
      <c r="B77" s="11" t="s">
        <v>242</v>
      </c>
      <c r="C77" s="12" t="n">
        <v>8342.49</v>
      </c>
      <c r="D77" s="11" t="n">
        <v>1</v>
      </c>
      <c r="E77" s="11" t="n">
        <v>1</v>
      </c>
      <c r="F77" s="12" t="n">
        <v>8342.49</v>
      </c>
      <c r="G77" s="11" t="s">
        <v>243</v>
      </c>
      <c r="H77" s="11" t="s">
        <v>244</v>
      </c>
      <c r="I77" s="12" t="n">
        <f aca="false">IF(ISNUMBER(C77),F77-C77,"n/a")</f>
        <v>0</v>
      </c>
    </row>
    <row r="78" customFormat="false" ht="15" hidden="false" customHeight="false" outlineLevel="0" collapsed="false">
      <c r="A78" s="11" t="s">
        <v>333</v>
      </c>
      <c r="B78" s="11" t="s">
        <v>242</v>
      </c>
      <c r="C78" s="12" t="n">
        <v>36919.85</v>
      </c>
      <c r="D78" s="11" t="n">
        <v>1</v>
      </c>
      <c r="E78" s="11" t="n">
        <v>1</v>
      </c>
      <c r="F78" s="12" t="n">
        <v>18459.92</v>
      </c>
      <c r="G78" s="11" t="s">
        <v>243</v>
      </c>
      <c r="H78" s="11" t="s">
        <v>251</v>
      </c>
      <c r="I78" s="12" t="n">
        <f aca="false">IF(ISNUMBER(C78),F78-C78,"n/a")</f>
        <v>-18459.93</v>
      </c>
    </row>
    <row r="79" customFormat="false" ht="15" hidden="false" customHeight="false" outlineLevel="0" collapsed="false">
      <c r="A79" s="11" t="s">
        <v>334</v>
      </c>
      <c r="B79" s="11" t="s">
        <v>269</v>
      </c>
      <c r="C79" s="12" t="n">
        <v>105538.37</v>
      </c>
      <c r="D79" s="11" t="n">
        <v>1</v>
      </c>
      <c r="E79" s="11" t="n">
        <v>0</v>
      </c>
      <c r="F79" s="12" t="n">
        <v>0</v>
      </c>
      <c r="G79" s="11" t="s">
        <v>247</v>
      </c>
      <c r="H79" s="11" t="s">
        <v>248</v>
      </c>
      <c r="I79" s="12" t="n">
        <f aca="false">IF(ISNUMBER(C79),F79-C79,"n/a")</f>
        <v>-105538.37</v>
      </c>
    </row>
    <row r="80" customFormat="false" ht="15" hidden="false" customHeight="false" outlineLevel="0" collapsed="false">
      <c r="A80" s="11" t="s">
        <v>335</v>
      </c>
      <c r="B80" s="11" t="s">
        <v>242</v>
      </c>
      <c r="C80" s="12" t="n">
        <v>58221.61</v>
      </c>
      <c r="D80" s="11" t="n">
        <v>1</v>
      </c>
      <c r="E80" s="11" t="n">
        <v>1</v>
      </c>
      <c r="F80" s="12" t="n">
        <v>66954.85</v>
      </c>
      <c r="G80" s="11" t="s">
        <v>243</v>
      </c>
      <c r="H80" s="11" t="s">
        <v>253</v>
      </c>
      <c r="I80" s="12" t="n">
        <f aca="false">IF(ISNUMBER(C80),F80-C80,"n/a")</f>
        <v>8733.24000000001</v>
      </c>
    </row>
    <row r="81" customFormat="false" ht="15" hidden="false" customHeight="false" outlineLevel="0" collapsed="false">
      <c r="A81" s="11" t="s">
        <v>336</v>
      </c>
      <c r="B81" s="11" t="s">
        <v>250</v>
      </c>
      <c r="C81" s="12" t="n">
        <v>70771.2</v>
      </c>
      <c r="D81" s="11" t="n">
        <v>1</v>
      </c>
      <c r="E81" s="11" t="n">
        <v>0</v>
      </c>
      <c r="F81" s="12" t="n">
        <v>0</v>
      </c>
      <c r="G81" s="11" t="s">
        <v>266</v>
      </c>
      <c r="H81" s="11" t="s">
        <v>248</v>
      </c>
      <c r="I81" s="12" t="n">
        <f aca="false">IF(ISNUMBER(C81),F81-C81,"n/a")</f>
        <v>-70771.2</v>
      </c>
    </row>
    <row r="82" customFormat="false" ht="15" hidden="false" customHeight="false" outlineLevel="0" collapsed="false">
      <c r="A82" s="11" t="s">
        <v>337</v>
      </c>
      <c r="B82" s="11" t="s">
        <v>269</v>
      </c>
      <c r="C82" s="12" t="n">
        <v>142183.2</v>
      </c>
      <c r="D82" s="11" t="n">
        <v>1</v>
      </c>
      <c r="E82" s="11" t="n">
        <v>1</v>
      </c>
      <c r="F82" s="12" t="n">
        <v>142183.2</v>
      </c>
      <c r="G82" s="11" t="s">
        <v>243</v>
      </c>
      <c r="H82" s="11" t="s">
        <v>244</v>
      </c>
      <c r="I82" s="12" t="n">
        <f aca="false">IF(ISNUMBER(C82),F82-C82,"n/a")</f>
        <v>0</v>
      </c>
    </row>
    <row r="83" customFormat="false" ht="15" hidden="false" customHeight="false" outlineLevel="0" collapsed="false">
      <c r="A83" s="11" t="s">
        <v>338</v>
      </c>
      <c r="B83" s="11" t="s">
        <v>242</v>
      </c>
      <c r="C83" s="12" t="n">
        <v>143017.93</v>
      </c>
      <c r="D83" s="11" t="n">
        <v>1</v>
      </c>
      <c r="E83" s="11" t="n">
        <v>0</v>
      </c>
      <c r="F83" s="12" t="n">
        <v>0</v>
      </c>
      <c r="G83" s="11" t="s">
        <v>247</v>
      </c>
      <c r="H83" s="11" t="s">
        <v>248</v>
      </c>
      <c r="I83" s="12" t="n">
        <f aca="false">IF(ISNUMBER(C83),F83-C83,"n/a")</f>
        <v>-143017.93</v>
      </c>
    </row>
    <row r="84" customFormat="false" ht="15" hidden="false" customHeight="false" outlineLevel="0" collapsed="false">
      <c r="A84" s="11" t="s">
        <v>339</v>
      </c>
      <c r="B84" s="11" t="s">
        <v>242</v>
      </c>
      <c r="C84" s="12" t="n">
        <v>13038.96</v>
      </c>
      <c r="D84" s="11" t="n">
        <v>1</v>
      </c>
      <c r="E84" s="11" t="n">
        <v>0</v>
      </c>
      <c r="F84" s="12" t="n">
        <v>0</v>
      </c>
      <c r="G84" s="11" t="s">
        <v>247</v>
      </c>
      <c r="H84" s="11" t="s">
        <v>248</v>
      </c>
      <c r="I84" s="12" t="n">
        <f aca="false">IF(ISNUMBER(C84),F84-C84,"n/a")</f>
        <v>-13038.96</v>
      </c>
    </row>
    <row r="85" customFormat="false" ht="15" hidden="false" customHeight="false" outlineLevel="0" collapsed="false">
      <c r="A85" s="11" t="s">
        <v>340</v>
      </c>
      <c r="B85" s="11" t="s">
        <v>242</v>
      </c>
      <c r="C85" s="12" t="n">
        <v>189373.93</v>
      </c>
      <c r="D85" s="11" t="n">
        <v>1</v>
      </c>
      <c r="E85" s="11" t="n">
        <v>0</v>
      </c>
      <c r="F85" s="12" t="n">
        <v>0</v>
      </c>
      <c r="G85" s="11" t="s">
        <v>247</v>
      </c>
      <c r="H85" s="11" t="s">
        <v>248</v>
      </c>
      <c r="I85" s="12" t="n">
        <f aca="false">IF(ISNUMBER(C85),F85-C85,"n/a")</f>
        <v>-189373.93</v>
      </c>
    </row>
    <row r="86" customFormat="false" ht="15" hidden="false" customHeight="false" outlineLevel="0" collapsed="false">
      <c r="A86" s="11" t="s">
        <v>341</v>
      </c>
      <c r="B86" s="11" t="s">
        <v>242</v>
      </c>
      <c r="C86" s="12" t="n">
        <v>224837.1</v>
      </c>
      <c r="D86" s="11" t="n">
        <v>0</v>
      </c>
      <c r="E86" s="11" t="n">
        <v>0</v>
      </c>
      <c r="F86" s="12" t="n">
        <v>0</v>
      </c>
      <c r="G86" s="11"/>
      <c r="H86" s="11" t="s">
        <v>259</v>
      </c>
      <c r="I86" s="12" t="n">
        <f aca="false">IF(ISNUMBER(C86),F86-C86,"n/a")</f>
        <v>-224837.1</v>
      </c>
    </row>
    <row r="87" customFormat="false" ht="15" hidden="false" customHeight="false" outlineLevel="0" collapsed="false">
      <c r="A87" s="11" t="s">
        <v>342</v>
      </c>
      <c r="B87" s="11" t="s">
        <v>242</v>
      </c>
      <c r="C87" s="12" t="n">
        <v>53303.95</v>
      </c>
      <c r="D87" s="11" t="n">
        <v>1</v>
      </c>
      <c r="E87" s="11" t="n">
        <v>1</v>
      </c>
      <c r="F87" s="12" t="n">
        <v>53303.95</v>
      </c>
      <c r="G87" s="11" t="s">
        <v>243</v>
      </c>
      <c r="H87" s="11" t="s">
        <v>244</v>
      </c>
      <c r="I87" s="12" t="n">
        <f aca="false">IF(ISNUMBER(C87),F87-C87,"n/a")</f>
        <v>0</v>
      </c>
    </row>
    <row r="88" customFormat="false" ht="15" hidden="false" customHeight="false" outlineLevel="0" collapsed="false">
      <c r="A88" s="11" t="s">
        <v>343</v>
      </c>
      <c r="B88" s="11" t="s">
        <v>242</v>
      </c>
      <c r="C88" s="12" t="n">
        <v>124400.9</v>
      </c>
      <c r="D88" s="11" t="n">
        <v>1</v>
      </c>
      <c r="E88" s="11" t="n">
        <v>1</v>
      </c>
      <c r="F88" s="12" t="n">
        <v>124119.38</v>
      </c>
      <c r="G88" s="11" t="s">
        <v>243</v>
      </c>
      <c r="H88" s="11" t="s">
        <v>251</v>
      </c>
      <c r="I88" s="12" t="n">
        <f aca="false">IF(ISNUMBER(C88),F88-C88,"n/a")</f>
        <v>-281.51999999999</v>
      </c>
    </row>
    <row r="89" customFormat="false" ht="15" hidden="false" customHeight="false" outlineLevel="0" collapsed="false">
      <c r="A89" s="11" t="s">
        <v>344</v>
      </c>
      <c r="B89" s="11" t="s">
        <v>242</v>
      </c>
      <c r="C89" s="12" t="n">
        <v>217987.79</v>
      </c>
      <c r="D89" s="11" t="n">
        <v>1</v>
      </c>
      <c r="E89" s="11" t="n">
        <v>0</v>
      </c>
      <c r="F89" s="12" t="n">
        <v>0</v>
      </c>
      <c r="G89" s="11" t="s">
        <v>247</v>
      </c>
      <c r="H89" s="11" t="s">
        <v>248</v>
      </c>
      <c r="I89" s="12" t="n">
        <f aca="false">IF(ISNUMBER(C89),F89-C89,"n/a")</f>
        <v>-217987.79</v>
      </c>
    </row>
    <row r="90" customFormat="false" ht="15" hidden="false" customHeight="false" outlineLevel="0" collapsed="false">
      <c r="A90" s="11" t="s">
        <v>345</v>
      </c>
      <c r="B90" s="11" t="s">
        <v>242</v>
      </c>
      <c r="C90" s="12" t="n">
        <v>113750.26</v>
      </c>
      <c r="D90" s="11" t="n">
        <v>1</v>
      </c>
      <c r="E90" s="11" t="n">
        <v>1</v>
      </c>
      <c r="F90" s="12" t="n">
        <v>113750.26</v>
      </c>
      <c r="G90" s="11" t="s">
        <v>243</v>
      </c>
      <c r="H90" s="11" t="s">
        <v>244</v>
      </c>
      <c r="I90" s="12" t="n">
        <f aca="false">IF(ISNUMBER(C90),F90-C90,"n/a")</f>
        <v>0</v>
      </c>
    </row>
    <row r="91" customFormat="false" ht="15" hidden="false" customHeight="false" outlineLevel="0" collapsed="false">
      <c r="A91" s="11" t="s">
        <v>346</v>
      </c>
      <c r="B91" s="11" t="s">
        <v>242</v>
      </c>
      <c r="C91" s="12" t="n">
        <v>78530.15</v>
      </c>
      <c r="D91" s="11" t="n">
        <v>1</v>
      </c>
      <c r="E91" s="11" t="n">
        <v>1</v>
      </c>
      <c r="F91" s="12" t="n">
        <v>39265.07</v>
      </c>
      <c r="G91" s="11" t="s">
        <v>243</v>
      </c>
      <c r="H91" s="11" t="s">
        <v>251</v>
      </c>
      <c r="I91" s="12" t="n">
        <f aca="false">IF(ISNUMBER(C91),F91-C91,"n/a")</f>
        <v>-39265.08</v>
      </c>
    </row>
    <row r="92" customFormat="false" ht="15" hidden="false" customHeight="false" outlineLevel="0" collapsed="false">
      <c r="A92" s="11" t="s">
        <v>347</v>
      </c>
      <c r="B92" s="11" t="s">
        <v>269</v>
      </c>
      <c r="C92" s="12" t="n">
        <v>190335.48</v>
      </c>
      <c r="D92" s="11" t="n">
        <v>1</v>
      </c>
      <c r="E92" s="11" t="n">
        <v>0</v>
      </c>
      <c r="F92" s="12" t="n">
        <v>0</v>
      </c>
      <c r="G92" s="11" t="s">
        <v>250</v>
      </c>
      <c r="H92" s="11" t="s">
        <v>248</v>
      </c>
      <c r="I92" s="12" t="n">
        <f aca="false">IF(ISNUMBER(C92),F92-C92,"n/a")</f>
        <v>-190335.48</v>
      </c>
    </row>
    <row r="93" customFormat="false" ht="15" hidden="false" customHeight="false" outlineLevel="0" collapsed="false">
      <c r="A93" s="11" t="s">
        <v>348</v>
      </c>
      <c r="B93" s="11" t="s">
        <v>242</v>
      </c>
      <c r="C93" s="12" t="n">
        <v>20278.89</v>
      </c>
      <c r="D93" s="11" t="n">
        <v>1</v>
      </c>
      <c r="E93" s="11" t="n">
        <v>1</v>
      </c>
      <c r="F93" s="12" t="n">
        <v>20278.89</v>
      </c>
      <c r="G93" s="11" t="s">
        <v>243</v>
      </c>
      <c r="H93" s="11" t="s">
        <v>244</v>
      </c>
      <c r="I93" s="12" t="n">
        <f aca="false">IF(ISNUMBER(C93),F93-C93,"n/a")</f>
        <v>0</v>
      </c>
    </row>
    <row r="94" customFormat="false" ht="15" hidden="false" customHeight="false" outlineLevel="0" collapsed="false">
      <c r="A94" s="11" t="s">
        <v>349</v>
      </c>
      <c r="B94" s="11" t="s">
        <v>269</v>
      </c>
      <c r="C94" s="12" t="n">
        <v>127561.31</v>
      </c>
      <c r="D94" s="11" t="n">
        <v>1</v>
      </c>
      <c r="E94" s="11" t="n">
        <v>1</v>
      </c>
      <c r="F94" s="12" t="n">
        <v>139080.17</v>
      </c>
      <c r="G94" s="11" t="s">
        <v>243</v>
      </c>
      <c r="H94" s="11" t="s">
        <v>253</v>
      </c>
      <c r="I94" s="12" t="n">
        <f aca="false">IF(ISNUMBER(C94),F94-C94,"n/a")</f>
        <v>11518.86</v>
      </c>
    </row>
    <row r="95" customFormat="false" ht="15" hidden="false" customHeight="false" outlineLevel="0" collapsed="false">
      <c r="A95" s="11" t="s">
        <v>350</v>
      </c>
      <c r="B95" s="11" t="s">
        <v>269</v>
      </c>
      <c r="C95" s="12" t="n">
        <v>128908.95</v>
      </c>
      <c r="D95" s="11" t="n">
        <v>1</v>
      </c>
      <c r="E95" s="11" t="n">
        <v>1</v>
      </c>
      <c r="F95" s="12" t="n">
        <v>128276.3</v>
      </c>
      <c r="G95" s="11" t="s">
        <v>243</v>
      </c>
      <c r="H95" s="11" t="s">
        <v>251</v>
      </c>
      <c r="I95" s="12" t="n">
        <f aca="false">IF(ISNUMBER(C95),F95-C95,"n/a")</f>
        <v>-632.649999999994</v>
      </c>
    </row>
    <row r="96" customFormat="false" ht="15" hidden="false" customHeight="false" outlineLevel="0" collapsed="false">
      <c r="A96" s="11" t="s">
        <v>351</v>
      </c>
      <c r="B96" s="11" t="s">
        <v>242</v>
      </c>
      <c r="C96" s="12" t="n">
        <v>76752.16</v>
      </c>
      <c r="D96" s="11" t="n">
        <v>1</v>
      </c>
      <c r="E96" s="11" t="n">
        <v>0</v>
      </c>
      <c r="F96" s="12" t="n">
        <v>0</v>
      </c>
      <c r="G96" s="11" t="s">
        <v>247</v>
      </c>
      <c r="H96" s="11" t="s">
        <v>248</v>
      </c>
      <c r="I96" s="12" t="n">
        <f aca="false">IF(ISNUMBER(C96),F96-C96,"n/a")</f>
        <v>-76752.16</v>
      </c>
    </row>
    <row r="97" customFormat="false" ht="15" hidden="false" customHeight="false" outlineLevel="0" collapsed="false">
      <c r="A97" s="11" t="s">
        <v>352</v>
      </c>
      <c r="B97" s="11" t="s">
        <v>242</v>
      </c>
      <c r="C97" s="12" t="n">
        <v>16201.73</v>
      </c>
      <c r="D97" s="11" t="n">
        <v>1</v>
      </c>
      <c r="E97" s="11" t="n">
        <v>1</v>
      </c>
      <c r="F97" s="12" t="n">
        <v>16201.73</v>
      </c>
      <c r="G97" s="11" t="s">
        <v>243</v>
      </c>
      <c r="H97" s="11" t="s">
        <v>244</v>
      </c>
      <c r="I97" s="12" t="n">
        <f aca="false">IF(ISNUMBER(C97),F97-C97,"n/a")</f>
        <v>0</v>
      </c>
    </row>
    <row r="98" customFormat="false" ht="15" hidden="false" customHeight="false" outlineLevel="0" collapsed="false">
      <c r="A98" s="11" t="s">
        <v>353</v>
      </c>
      <c r="B98" s="11" t="s">
        <v>269</v>
      </c>
      <c r="C98" s="12" t="n">
        <v>38979.02</v>
      </c>
      <c r="D98" s="11" t="n">
        <v>1</v>
      </c>
      <c r="E98" s="11" t="n">
        <v>1</v>
      </c>
      <c r="F98" s="12" t="n">
        <v>19489.51</v>
      </c>
      <c r="G98" s="11" t="s">
        <v>243</v>
      </c>
      <c r="H98" s="11" t="s">
        <v>251</v>
      </c>
      <c r="I98" s="12" t="n">
        <f aca="false">IF(ISNUMBER(C98),F98-C98,"n/a")</f>
        <v>-19489.51</v>
      </c>
    </row>
    <row r="99" customFormat="false" ht="15" hidden="false" customHeight="false" outlineLevel="0" collapsed="false">
      <c r="A99" s="11" t="s">
        <v>354</v>
      </c>
      <c r="B99" s="11" t="s">
        <v>242</v>
      </c>
      <c r="C99" s="12" t="n">
        <v>133028.67</v>
      </c>
      <c r="D99" s="11" t="n">
        <v>1</v>
      </c>
      <c r="E99" s="11" t="n">
        <v>0</v>
      </c>
      <c r="F99" s="12" t="n">
        <v>0</v>
      </c>
      <c r="G99" s="11" t="s">
        <v>250</v>
      </c>
      <c r="H99" s="11" t="s">
        <v>248</v>
      </c>
      <c r="I99" s="12" t="n">
        <f aca="false">IF(ISNUMBER(C99),F99-C99,"n/a")</f>
        <v>-133028.67</v>
      </c>
    </row>
    <row r="100" customFormat="false" ht="15" hidden="false" customHeight="false" outlineLevel="0" collapsed="false">
      <c r="A100" s="11" t="s">
        <v>355</v>
      </c>
      <c r="B100" s="11"/>
      <c r="C100" s="12"/>
      <c r="D100" s="11" t="n">
        <v>1</v>
      </c>
      <c r="E100" s="11" t="n">
        <v>0</v>
      </c>
      <c r="F100" s="12" t="n">
        <v>0</v>
      </c>
      <c r="G100" s="11" t="s">
        <v>266</v>
      </c>
      <c r="H100" s="11" t="s">
        <v>257</v>
      </c>
      <c r="I100" s="12" t="str">
        <f aca="false">IF(ISNUMBER(C100),F100-C100,"n/a")</f>
        <v>n/a</v>
      </c>
    </row>
    <row r="101" customFormat="false" ht="15" hidden="false" customHeight="false" outlineLevel="0" collapsed="false">
      <c r="A101" s="11" t="s">
        <v>356</v>
      </c>
      <c r="B101" s="11" t="s">
        <v>242</v>
      </c>
      <c r="C101" s="12" t="n">
        <v>102114.63</v>
      </c>
      <c r="D101" s="11" t="n">
        <v>1</v>
      </c>
      <c r="E101" s="11" t="n">
        <v>1</v>
      </c>
      <c r="F101" s="12" t="n">
        <v>102114.63</v>
      </c>
      <c r="G101" s="11" t="s">
        <v>243</v>
      </c>
      <c r="H101" s="11" t="s">
        <v>244</v>
      </c>
      <c r="I101" s="12" t="n">
        <f aca="false">IF(ISNUMBER(C101),F101-C101,"n/a")</f>
        <v>0</v>
      </c>
    </row>
    <row r="102" customFormat="false" ht="15" hidden="false" customHeight="false" outlineLevel="0" collapsed="false">
      <c r="A102" s="11" t="s">
        <v>357</v>
      </c>
      <c r="B102" s="11" t="s">
        <v>250</v>
      </c>
      <c r="C102" s="12" t="n">
        <v>27808.29</v>
      </c>
      <c r="D102" s="11" t="n">
        <v>1</v>
      </c>
      <c r="E102" s="11" t="n">
        <v>1</v>
      </c>
      <c r="F102" s="12" t="n">
        <v>31979.53</v>
      </c>
      <c r="G102" s="11" t="s">
        <v>243</v>
      </c>
      <c r="H102" s="11" t="s">
        <v>253</v>
      </c>
      <c r="I102" s="12" t="n">
        <f aca="false">IF(ISNUMBER(C102),F102-C102,"n/a")</f>
        <v>4171.24</v>
      </c>
    </row>
    <row r="103" customFormat="false" ht="15" hidden="false" customHeight="false" outlineLevel="0" collapsed="false">
      <c r="A103" s="11" t="s">
        <v>358</v>
      </c>
      <c r="B103" s="11" t="s">
        <v>242</v>
      </c>
      <c r="C103" s="12" t="n">
        <v>47190.36</v>
      </c>
      <c r="D103" s="11" t="n">
        <v>1</v>
      </c>
      <c r="E103" s="11" t="n">
        <v>0</v>
      </c>
      <c r="F103" s="12" t="n">
        <v>0</v>
      </c>
      <c r="G103" s="11" t="s">
        <v>266</v>
      </c>
      <c r="H103" s="11" t="s">
        <v>248</v>
      </c>
      <c r="I103" s="12" t="n">
        <f aca="false">IF(ISNUMBER(C103),F103-C103,"n/a")</f>
        <v>-47190.36</v>
      </c>
    </row>
    <row r="104" customFormat="false" ht="15" hidden="false" customHeight="false" outlineLevel="0" collapsed="false">
      <c r="A104" s="11" t="s">
        <v>359</v>
      </c>
      <c r="B104" s="11" t="s">
        <v>242</v>
      </c>
      <c r="C104" s="12" t="n">
        <v>72902.75</v>
      </c>
      <c r="D104" s="11" t="n">
        <v>1</v>
      </c>
      <c r="E104" s="11" t="n">
        <v>1</v>
      </c>
      <c r="F104" s="12" t="n">
        <v>72902.75</v>
      </c>
      <c r="G104" s="11" t="s">
        <v>243</v>
      </c>
      <c r="H104" s="11" t="s">
        <v>244</v>
      </c>
      <c r="I104" s="12" t="n">
        <f aca="false">IF(ISNUMBER(C104),F104-C104,"n/a")</f>
        <v>0</v>
      </c>
    </row>
    <row r="105" customFormat="false" ht="15" hidden="false" customHeight="false" outlineLevel="0" collapsed="false">
      <c r="A105" s="11" t="s">
        <v>360</v>
      </c>
      <c r="B105" s="11" t="s">
        <v>269</v>
      </c>
      <c r="C105" s="12" t="n">
        <v>114108.78</v>
      </c>
      <c r="D105" s="11" t="n">
        <v>1</v>
      </c>
      <c r="E105" s="11" t="n">
        <v>0</v>
      </c>
      <c r="F105" s="12" t="n">
        <v>0</v>
      </c>
      <c r="G105" s="11" t="s">
        <v>266</v>
      </c>
      <c r="H105" s="11" t="s">
        <v>248</v>
      </c>
      <c r="I105" s="12" t="n">
        <f aca="false">IF(ISNUMBER(C105),F105-C105,"n/a")</f>
        <v>-114108.78</v>
      </c>
    </row>
    <row r="106" customFormat="false" ht="15" hidden="false" customHeight="false" outlineLevel="0" collapsed="false">
      <c r="A106" s="11" t="s">
        <v>361</v>
      </c>
      <c r="B106" s="11" t="s">
        <v>242</v>
      </c>
      <c r="C106" s="12" t="n">
        <v>138312.17</v>
      </c>
      <c r="D106" s="11" t="n">
        <v>1</v>
      </c>
      <c r="E106" s="11" t="n">
        <v>1</v>
      </c>
      <c r="F106" s="12" t="n">
        <v>179805.82</v>
      </c>
      <c r="G106" s="11" t="s">
        <v>243</v>
      </c>
      <c r="H106" s="11" t="s">
        <v>253</v>
      </c>
      <c r="I106" s="12" t="n">
        <f aca="false">IF(ISNUMBER(C106),F106-C106,"n/a")</f>
        <v>41493.65</v>
      </c>
    </row>
    <row r="107" customFormat="false" ht="15" hidden="false" customHeight="false" outlineLevel="0" collapsed="false">
      <c r="A107" s="11" t="s">
        <v>362</v>
      </c>
      <c r="B107" s="11" t="s">
        <v>242</v>
      </c>
      <c r="C107" s="12" t="n">
        <v>79229.47</v>
      </c>
      <c r="D107" s="11" t="n">
        <v>1</v>
      </c>
      <c r="E107" s="11" t="n">
        <v>0</v>
      </c>
      <c r="F107" s="12" t="n">
        <v>0</v>
      </c>
      <c r="G107" s="11" t="s">
        <v>266</v>
      </c>
      <c r="H107" s="11" t="s">
        <v>248</v>
      </c>
      <c r="I107" s="12" t="n">
        <f aca="false">IF(ISNUMBER(C107),F107-C107,"n/a")</f>
        <v>-79229.47</v>
      </c>
    </row>
    <row r="108" customFormat="false" ht="15" hidden="false" customHeight="false" outlineLevel="0" collapsed="false">
      <c r="A108" s="11" t="s">
        <v>363</v>
      </c>
      <c r="B108" s="11" t="s">
        <v>242</v>
      </c>
      <c r="C108" s="12" t="n">
        <v>38433.81</v>
      </c>
      <c r="D108" s="11" t="n">
        <v>1</v>
      </c>
      <c r="E108" s="11" t="n">
        <v>1</v>
      </c>
      <c r="F108" s="12" t="n">
        <v>131635.23</v>
      </c>
      <c r="G108" s="11" t="s">
        <v>243</v>
      </c>
      <c r="H108" s="11" t="s">
        <v>253</v>
      </c>
      <c r="I108" s="12" t="n">
        <f aca="false">IF(ISNUMBER(C108),F108-C108,"n/a")</f>
        <v>93201.42</v>
      </c>
    </row>
    <row r="109" customFormat="false" ht="15" hidden="false" customHeight="false" outlineLevel="0" collapsed="false">
      <c r="A109" s="11" t="s">
        <v>364</v>
      </c>
      <c r="B109" s="11" t="s">
        <v>250</v>
      </c>
      <c r="C109" s="12" t="n">
        <v>34579.89</v>
      </c>
      <c r="D109" s="11" t="n">
        <v>1</v>
      </c>
      <c r="E109" s="11" t="n">
        <v>1</v>
      </c>
      <c r="F109" s="12" t="n">
        <v>44887.01</v>
      </c>
      <c r="G109" s="11" t="s">
        <v>243</v>
      </c>
      <c r="H109" s="11" t="s">
        <v>253</v>
      </c>
      <c r="I109" s="12" t="n">
        <f aca="false">IF(ISNUMBER(C109),F109-C109,"n/a")</f>
        <v>10307.12</v>
      </c>
    </row>
    <row r="110" customFormat="false" ht="15" hidden="false" customHeight="false" outlineLevel="0" collapsed="false">
      <c r="A110" s="11" t="s">
        <v>365</v>
      </c>
      <c r="B110" s="11" t="s">
        <v>242</v>
      </c>
      <c r="C110" s="12" t="n">
        <v>161566.24</v>
      </c>
      <c r="D110" s="11" t="n">
        <v>1</v>
      </c>
      <c r="E110" s="11" t="n">
        <v>1</v>
      </c>
      <c r="F110" s="12" t="n">
        <v>161566.24</v>
      </c>
      <c r="G110" s="11" t="s">
        <v>243</v>
      </c>
      <c r="H110" s="11" t="s">
        <v>244</v>
      </c>
      <c r="I110" s="12" t="n">
        <f aca="false">IF(ISNUMBER(C110),F110-C110,"n/a")</f>
        <v>0</v>
      </c>
    </row>
    <row r="111" customFormat="false" ht="15" hidden="false" customHeight="false" outlineLevel="0" collapsed="false">
      <c r="A111" s="11" t="s">
        <v>366</v>
      </c>
      <c r="B111" s="11" t="s">
        <v>246</v>
      </c>
      <c r="C111" s="12" t="n">
        <v>107383.73</v>
      </c>
      <c r="D111" s="11" t="n">
        <v>1</v>
      </c>
      <c r="E111" s="11" t="n">
        <v>1</v>
      </c>
      <c r="F111" s="12" t="n">
        <v>107383.73</v>
      </c>
      <c r="G111" s="11" t="s">
        <v>243</v>
      </c>
      <c r="H111" s="11" t="s">
        <v>255</v>
      </c>
      <c r="I111" s="12" t="n">
        <f aca="false">IF(ISNUMBER(C111),F111-C111,"n/a")</f>
        <v>0</v>
      </c>
    </row>
    <row r="112" customFormat="false" ht="15" hidden="false" customHeight="false" outlineLevel="0" collapsed="false">
      <c r="A112" s="11" t="s">
        <v>367</v>
      </c>
      <c r="B112" s="11" t="s">
        <v>242</v>
      </c>
      <c r="C112" s="12" t="n">
        <v>113386.32</v>
      </c>
      <c r="D112" s="11" t="n">
        <v>1</v>
      </c>
      <c r="E112" s="11" t="n">
        <v>1</v>
      </c>
      <c r="F112" s="12" t="n">
        <v>113386.32</v>
      </c>
      <c r="G112" s="11" t="s">
        <v>243</v>
      </c>
      <c r="H112" s="11" t="s">
        <v>244</v>
      </c>
      <c r="I112" s="12" t="n">
        <f aca="false">IF(ISNUMBER(C112),F112-C112,"n/a")</f>
        <v>0</v>
      </c>
    </row>
    <row r="113" customFormat="false" ht="15" hidden="false" customHeight="false" outlineLevel="0" collapsed="false">
      <c r="A113" s="11" t="s">
        <v>368</v>
      </c>
      <c r="B113" s="11" t="s">
        <v>246</v>
      </c>
      <c r="C113" s="12" t="n">
        <v>113749.58</v>
      </c>
      <c r="D113" s="11" t="n">
        <v>1</v>
      </c>
      <c r="E113" s="11" t="n">
        <v>1</v>
      </c>
      <c r="F113" s="12" t="n">
        <v>113749.58</v>
      </c>
      <c r="G113" s="11" t="s">
        <v>243</v>
      </c>
      <c r="H113" s="11" t="s">
        <v>255</v>
      </c>
      <c r="I113" s="12" t="n">
        <f aca="false">IF(ISNUMBER(C113),F113-C113,"n/a")</f>
        <v>0</v>
      </c>
    </row>
    <row r="114" customFormat="false" ht="15" hidden="false" customHeight="false" outlineLevel="0" collapsed="false">
      <c r="A114" s="11" t="s">
        <v>369</v>
      </c>
      <c r="B114" s="11" t="s">
        <v>242</v>
      </c>
      <c r="C114" s="12" t="n">
        <v>159148.04</v>
      </c>
      <c r="D114" s="11" t="n">
        <v>1</v>
      </c>
      <c r="E114" s="11" t="n">
        <v>1</v>
      </c>
      <c r="F114" s="12" t="n">
        <v>183020.25</v>
      </c>
      <c r="G114" s="11" t="s">
        <v>243</v>
      </c>
      <c r="H114" s="11" t="s">
        <v>253</v>
      </c>
      <c r="I114" s="12" t="n">
        <f aca="false">IF(ISNUMBER(C114),F114-C114,"n/a")</f>
        <v>23872.21</v>
      </c>
    </row>
    <row r="115" customFormat="false" ht="15" hidden="false" customHeight="false" outlineLevel="0" collapsed="false">
      <c r="A115" s="11" t="s">
        <v>370</v>
      </c>
      <c r="B115" s="11" t="s">
        <v>242</v>
      </c>
      <c r="C115" s="12" t="n">
        <v>32861.83</v>
      </c>
      <c r="D115" s="11" t="n">
        <v>1</v>
      </c>
      <c r="E115" s="11" t="n">
        <v>1</v>
      </c>
      <c r="F115" s="12" t="n">
        <v>42720.38</v>
      </c>
      <c r="G115" s="11" t="s">
        <v>243</v>
      </c>
      <c r="H115" s="11" t="s">
        <v>253</v>
      </c>
      <c r="I115" s="12" t="n">
        <f aca="false">IF(ISNUMBER(C115),F115-C115,"n/a")</f>
        <v>9858.55</v>
      </c>
    </row>
    <row r="116" customFormat="false" ht="15" hidden="false" customHeight="false" outlineLevel="0" collapsed="false">
      <c r="A116" s="11" t="s">
        <v>371</v>
      </c>
      <c r="B116" s="11" t="s">
        <v>269</v>
      </c>
      <c r="C116" s="12" t="n">
        <v>65130.47</v>
      </c>
      <c r="D116" s="11" t="n">
        <v>1</v>
      </c>
      <c r="E116" s="11" t="n">
        <v>1</v>
      </c>
      <c r="F116" s="12" t="n">
        <v>65130.47</v>
      </c>
      <c r="G116" s="11" t="s">
        <v>243</v>
      </c>
      <c r="H116" s="11" t="s">
        <v>244</v>
      </c>
      <c r="I116" s="12" t="n">
        <f aca="false">IF(ISNUMBER(C116),F116-C116,"n/a")</f>
        <v>0</v>
      </c>
    </row>
    <row r="117" customFormat="false" ht="15" hidden="false" customHeight="false" outlineLevel="0" collapsed="false">
      <c r="A117" s="11" t="s">
        <v>372</v>
      </c>
      <c r="B117" s="11" t="s">
        <v>269</v>
      </c>
      <c r="C117" s="12" t="n">
        <v>3774.98</v>
      </c>
      <c r="D117" s="11" t="n">
        <v>1</v>
      </c>
      <c r="E117" s="11" t="n">
        <v>1</v>
      </c>
      <c r="F117" s="12" t="n">
        <v>3774.98</v>
      </c>
      <c r="G117" s="11" t="s">
        <v>243</v>
      </c>
      <c r="H117" s="11" t="s">
        <v>244</v>
      </c>
      <c r="I117" s="12" t="n">
        <f aca="false">IF(ISNUMBER(C117),F117-C117,"n/a")</f>
        <v>0</v>
      </c>
    </row>
    <row r="118" customFormat="false" ht="15" hidden="false" customHeight="false" outlineLevel="0" collapsed="false">
      <c r="A118" s="11" t="s">
        <v>373</v>
      </c>
      <c r="B118" s="11" t="s">
        <v>242</v>
      </c>
      <c r="C118" s="12" t="n">
        <v>219470.86</v>
      </c>
      <c r="D118" s="11" t="n">
        <v>1</v>
      </c>
      <c r="E118" s="11" t="n">
        <v>1</v>
      </c>
      <c r="F118" s="12" t="n">
        <v>219470.86</v>
      </c>
      <c r="G118" s="11" t="s">
        <v>243</v>
      </c>
      <c r="H118" s="11" t="s">
        <v>244</v>
      </c>
      <c r="I118" s="12" t="n">
        <f aca="false">IF(ISNUMBER(C118),F118-C118,"n/a")</f>
        <v>0</v>
      </c>
    </row>
    <row r="119" customFormat="false" ht="15" hidden="false" customHeight="false" outlineLevel="0" collapsed="false">
      <c r="A119" s="11" t="s">
        <v>374</v>
      </c>
      <c r="B119" s="11" t="s">
        <v>246</v>
      </c>
      <c r="C119" s="12" t="n">
        <v>32168.28</v>
      </c>
      <c r="D119" s="11" t="n">
        <v>1</v>
      </c>
      <c r="E119" s="11" t="n">
        <v>1</v>
      </c>
      <c r="F119" s="12" t="n">
        <v>16084.14</v>
      </c>
      <c r="G119" s="11" t="s">
        <v>243</v>
      </c>
      <c r="H119" s="11" t="s">
        <v>278</v>
      </c>
      <c r="I119" s="12" t="n">
        <f aca="false">IF(ISNUMBER(C119),F119-C119,"n/a")</f>
        <v>-16084.14</v>
      </c>
    </row>
    <row r="120" customFormat="false" ht="15" hidden="false" customHeight="false" outlineLevel="0" collapsed="false">
      <c r="A120" s="11" t="s">
        <v>375</v>
      </c>
      <c r="B120" s="11" t="s">
        <v>269</v>
      </c>
      <c r="C120" s="12" t="n">
        <v>16084.14</v>
      </c>
      <c r="D120" s="11" t="n">
        <v>1</v>
      </c>
      <c r="E120" s="11" t="n">
        <v>1</v>
      </c>
      <c r="F120" s="12" t="n">
        <v>16084.14</v>
      </c>
      <c r="G120" s="11" t="s">
        <v>243</v>
      </c>
      <c r="H120" s="11" t="s">
        <v>244</v>
      </c>
      <c r="I120" s="12" t="n">
        <f aca="false">IF(ISNUMBER(C120),F120-C120,"n/a")</f>
        <v>0</v>
      </c>
    </row>
    <row r="121" customFormat="false" ht="15" hidden="false" customHeight="false" outlineLevel="0" collapsed="false">
      <c r="A121" s="11" t="s">
        <v>376</v>
      </c>
      <c r="B121" s="11" t="s">
        <v>246</v>
      </c>
      <c r="C121" s="12" t="n">
        <v>136297.54</v>
      </c>
      <c r="D121" s="11" t="n">
        <v>1</v>
      </c>
      <c r="E121" s="11" t="n">
        <v>0</v>
      </c>
      <c r="F121" s="12" t="n">
        <v>0</v>
      </c>
      <c r="G121" s="11" t="s">
        <v>250</v>
      </c>
      <c r="H121" s="11" t="s">
        <v>248</v>
      </c>
      <c r="I121" s="12" t="n">
        <f aca="false">IF(ISNUMBER(C121),F121-C121,"n/a")</f>
        <v>-136297.54</v>
      </c>
    </row>
    <row r="122" customFormat="false" ht="15" hidden="false" customHeight="false" outlineLevel="0" collapsed="false">
      <c r="A122" s="11" t="s">
        <v>377</v>
      </c>
      <c r="B122" s="11" t="s">
        <v>269</v>
      </c>
      <c r="C122" s="12" t="n">
        <v>133613.87</v>
      </c>
      <c r="D122" s="11" t="n">
        <v>1</v>
      </c>
      <c r="E122" s="11" t="n">
        <v>1</v>
      </c>
      <c r="F122" s="12" t="n">
        <v>133613.87</v>
      </c>
      <c r="G122" s="11" t="s">
        <v>243</v>
      </c>
      <c r="H122" s="11" t="s">
        <v>244</v>
      </c>
      <c r="I122" s="12" t="n">
        <f aca="false">IF(ISNUMBER(C122),F122-C122,"n/a")</f>
        <v>0</v>
      </c>
    </row>
    <row r="123" customFormat="false" ht="15" hidden="false" customHeight="false" outlineLevel="0" collapsed="false">
      <c r="A123" s="11" t="s">
        <v>378</v>
      </c>
      <c r="B123" s="11" t="s">
        <v>242</v>
      </c>
      <c r="C123" s="12" t="n">
        <v>54451.15</v>
      </c>
      <c r="D123" s="11" t="n">
        <v>1</v>
      </c>
      <c r="E123" s="11" t="n">
        <v>1</v>
      </c>
      <c r="F123" s="12" t="n">
        <v>54451.15</v>
      </c>
      <c r="G123" s="11" t="s">
        <v>243</v>
      </c>
      <c r="H123" s="11" t="s">
        <v>244</v>
      </c>
      <c r="I123" s="12" t="n">
        <f aca="false">IF(ISNUMBER(C123),F123-C123,"n/a")</f>
        <v>0</v>
      </c>
    </row>
    <row r="124" customFormat="false" ht="15" hidden="false" customHeight="false" outlineLevel="0" collapsed="false">
      <c r="A124" s="11" t="s">
        <v>379</v>
      </c>
      <c r="B124" s="11" t="s">
        <v>242</v>
      </c>
      <c r="C124" s="12" t="n">
        <v>86014.92</v>
      </c>
      <c r="D124" s="11" t="n">
        <v>1</v>
      </c>
      <c r="E124" s="11" t="n">
        <v>0</v>
      </c>
      <c r="F124" s="12" t="n">
        <v>0</v>
      </c>
      <c r="G124" s="11" t="s">
        <v>266</v>
      </c>
      <c r="H124" s="11" t="s">
        <v>248</v>
      </c>
      <c r="I124" s="12" t="n">
        <f aca="false">IF(ISNUMBER(C124),F124-C124,"n/a")</f>
        <v>-86014.92</v>
      </c>
    </row>
    <row r="125" customFormat="false" ht="15" hidden="false" customHeight="false" outlineLevel="0" collapsed="false">
      <c r="A125" s="11" t="s">
        <v>380</v>
      </c>
      <c r="B125" s="11" t="s">
        <v>269</v>
      </c>
      <c r="C125" s="12" t="n">
        <v>173489.04</v>
      </c>
      <c r="D125" s="11" t="n">
        <v>1</v>
      </c>
      <c r="E125" s="11" t="n">
        <v>1</v>
      </c>
      <c r="F125" s="12" t="n">
        <v>121442.33</v>
      </c>
      <c r="G125" s="11" t="s">
        <v>243</v>
      </c>
      <c r="H125" s="11" t="s">
        <v>251</v>
      </c>
      <c r="I125" s="12" t="n">
        <f aca="false">IF(ISNUMBER(C125),F125-C125,"n/a")</f>
        <v>-52046.71</v>
      </c>
    </row>
    <row r="126" customFormat="false" ht="15" hidden="false" customHeight="false" outlineLevel="0" collapsed="false">
      <c r="A126" s="11" t="s">
        <v>381</v>
      </c>
      <c r="B126" s="11" t="s">
        <v>242</v>
      </c>
      <c r="C126" s="12" t="n">
        <v>143472.24</v>
      </c>
      <c r="D126" s="11" t="n">
        <v>1</v>
      </c>
      <c r="E126" s="11" t="n">
        <v>1</v>
      </c>
      <c r="F126" s="12" t="n">
        <v>143472.24</v>
      </c>
      <c r="G126" s="11" t="s">
        <v>243</v>
      </c>
      <c r="H126" s="11" t="s">
        <v>244</v>
      </c>
      <c r="I126" s="12" t="n">
        <f aca="false">IF(ISNUMBER(C126),F126-C126,"n/a")</f>
        <v>0</v>
      </c>
    </row>
    <row r="127" customFormat="false" ht="15" hidden="false" customHeight="false" outlineLevel="0" collapsed="false">
      <c r="A127" s="11" t="s">
        <v>382</v>
      </c>
      <c r="B127" s="11" t="s">
        <v>242</v>
      </c>
      <c r="C127" s="12" t="n">
        <v>9301.18</v>
      </c>
      <c r="D127" s="11" t="n">
        <v>1</v>
      </c>
      <c r="E127" s="11" t="n">
        <v>1</v>
      </c>
      <c r="F127" s="12" t="n">
        <v>9301.18</v>
      </c>
      <c r="G127" s="11" t="s">
        <v>243</v>
      </c>
      <c r="H127" s="11" t="s">
        <v>244</v>
      </c>
      <c r="I127" s="12" t="n">
        <f aca="false">IF(ISNUMBER(C127),F127-C127,"n/a")</f>
        <v>0</v>
      </c>
    </row>
    <row r="128" customFormat="false" ht="15" hidden="false" customHeight="false" outlineLevel="0" collapsed="false">
      <c r="A128" s="11" t="s">
        <v>383</v>
      </c>
      <c r="B128" s="11" t="s">
        <v>242</v>
      </c>
      <c r="C128" s="12" t="n">
        <v>122707.68</v>
      </c>
      <c r="D128" s="11" t="n">
        <v>1</v>
      </c>
      <c r="E128" s="11" t="n">
        <v>1</v>
      </c>
      <c r="F128" s="12" t="n">
        <v>191043.02</v>
      </c>
      <c r="G128" s="11" t="s">
        <v>243</v>
      </c>
      <c r="H128" s="11" t="s">
        <v>253</v>
      </c>
      <c r="I128" s="12" t="n">
        <f aca="false">IF(ISNUMBER(C128),F128-C128,"n/a")</f>
        <v>68335.34</v>
      </c>
    </row>
    <row r="129" customFormat="false" ht="15" hidden="false" customHeight="false" outlineLevel="0" collapsed="false">
      <c r="A129" s="11" t="s">
        <v>384</v>
      </c>
      <c r="B129" s="11" t="s">
        <v>250</v>
      </c>
      <c r="C129" s="12" t="n">
        <v>169947.46</v>
      </c>
      <c r="D129" s="11" t="n">
        <v>1</v>
      </c>
      <c r="E129" s="11" t="n">
        <v>1</v>
      </c>
      <c r="F129" s="12" t="n">
        <v>169947.46</v>
      </c>
      <c r="G129" s="11" t="s">
        <v>243</v>
      </c>
      <c r="H129" s="11" t="s">
        <v>244</v>
      </c>
      <c r="I129" s="12" t="n">
        <f aca="false">IF(ISNUMBER(C129),F129-C129,"n/a")</f>
        <v>0</v>
      </c>
    </row>
    <row r="130" customFormat="false" ht="15" hidden="false" customHeight="false" outlineLevel="0" collapsed="false">
      <c r="A130" s="11" t="s">
        <v>385</v>
      </c>
      <c r="B130" s="11" t="s">
        <v>242</v>
      </c>
      <c r="C130" s="12" t="n">
        <v>25721.45</v>
      </c>
      <c r="D130" s="11" t="n">
        <v>1</v>
      </c>
      <c r="E130" s="11" t="n">
        <v>0</v>
      </c>
      <c r="F130" s="12" t="n">
        <v>0</v>
      </c>
      <c r="G130" s="11" t="s">
        <v>250</v>
      </c>
      <c r="H130" s="11" t="s">
        <v>248</v>
      </c>
      <c r="I130" s="12" t="n">
        <f aca="false">IF(ISNUMBER(C130),F130-C130,"n/a")</f>
        <v>-25721.45</v>
      </c>
    </row>
    <row r="131" customFormat="false" ht="15" hidden="false" customHeight="false" outlineLevel="0" collapsed="false">
      <c r="A131" s="11" t="s">
        <v>386</v>
      </c>
      <c r="B131" s="11" t="s">
        <v>242</v>
      </c>
      <c r="C131" s="12" t="n">
        <v>78658.69</v>
      </c>
      <c r="D131" s="11" t="n">
        <v>1</v>
      </c>
      <c r="E131" s="11" t="n">
        <v>1</v>
      </c>
      <c r="F131" s="12" t="n">
        <v>78658.69</v>
      </c>
      <c r="G131" s="11" t="s">
        <v>243</v>
      </c>
      <c r="H131" s="11" t="s">
        <v>244</v>
      </c>
      <c r="I131" s="12" t="n">
        <f aca="false">IF(ISNUMBER(C131),F131-C131,"n/a")</f>
        <v>0</v>
      </c>
    </row>
    <row r="132" customFormat="false" ht="15" hidden="false" customHeight="false" outlineLevel="0" collapsed="false">
      <c r="A132" s="11" t="s">
        <v>387</v>
      </c>
      <c r="B132" s="11" t="s">
        <v>242</v>
      </c>
      <c r="C132" s="12" t="n">
        <v>52914.11</v>
      </c>
      <c r="D132" s="11" t="n">
        <v>1</v>
      </c>
      <c r="E132" s="11" t="n">
        <v>0</v>
      </c>
      <c r="F132" s="12" t="n">
        <v>0</v>
      </c>
      <c r="G132" s="11" t="s">
        <v>266</v>
      </c>
      <c r="H132" s="11" t="s">
        <v>248</v>
      </c>
      <c r="I132" s="12" t="n">
        <f aca="false">IF(ISNUMBER(C132),F132-C132,"n/a")</f>
        <v>-52914.11</v>
      </c>
    </row>
    <row r="133" customFormat="false" ht="15" hidden="false" customHeight="false" outlineLevel="0" collapsed="false">
      <c r="A133" s="11" t="s">
        <v>388</v>
      </c>
      <c r="B133" s="11" t="s">
        <v>269</v>
      </c>
      <c r="C133" s="12" t="n">
        <v>114760.35</v>
      </c>
      <c r="D133" s="11" t="n">
        <v>1</v>
      </c>
      <c r="E133" s="11" t="n">
        <v>1</v>
      </c>
      <c r="F133" s="12" t="n">
        <v>114760.35</v>
      </c>
      <c r="G133" s="11" t="s">
        <v>243</v>
      </c>
      <c r="H133" s="11" t="s">
        <v>244</v>
      </c>
      <c r="I133" s="12" t="n">
        <f aca="false">IF(ISNUMBER(C133),F133-C133,"n/a")</f>
        <v>0</v>
      </c>
    </row>
    <row r="134" customFormat="false" ht="15" hidden="false" customHeight="false" outlineLevel="0" collapsed="false">
      <c r="A134" s="11" t="s">
        <v>389</v>
      </c>
      <c r="B134" s="11" t="s">
        <v>250</v>
      </c>
      <c r="C134" s="12" t="n">
        <v>169639.43</v>
      </c>
      <c r="D134" s="11" t="n">
        <v>1</v>
      </c>
      <c r="E134" s="11" t="n">
        <v>0</v>
      </c>
      <c r="F134" s="12" t="n">
        <v>0</v>
      </c>
      <c r="G134" s="11" t="s">
        <v>266</v>
      </c>
      <c r="H134" s="11" t="s">
        <v>248</v>
      </c>
      <c r="I134" s="12" t="n">
        <f aca="false">IF(ISNUMBER(C134),F134-C134,"n/a")</f>
        <v>-169639.43</v>
      </c>
    </row>
    <row r="135" customFormat="false" ht="15" hidden="false" customHeight="false" outlineLevel="0" collapsed="false">
      <c r="A135" s="11" t="s">
        <v>390</v>
      </c>
      <c r="B135" s="11" t="s">
        <v>242</v>
      </c>
      <c r="C135" s="12" t="n">
        <v>18495.35</v>
      </c>
      <c r="D135" s="11" t="n">
        <v>1</v>
      </c>
      <c r="E135" s="11" t="n">
        <v>0</v>
      </c>
      <c r="F135" s="12" t="n">
        <v>0</v>
      </c>
      <c r="G135" s="11" t="s">
        <v>247</v>
      </c>
      <c r="H135" s="11" t="s">
        <v>248</v>
      </c>
      <c r="I135" s="12" t="n">
        <f aca="false">IF(ISNUMBER(C135),F135-C135,"n/a")</f>
        <v>-18495.35</v>
      </c>
    </row>
    <row r="136" customFormat="false" ht="15" hidden="false" customHeight="false" outlineLevel="0" collapsed="false">
      <c r="A136" s="11" t="s">
        <v>391</v>
      </c>
      <c r="B136" s="11" t="s">
        <v>269</v>
      </c>
      <c r="C136" s="12" t="n">
        <v>79777.2</v>
      </c>
      <c r="D136" s="11" t="n">
        <v>1</v>
      </c>
      <c r="E136" s="11" t="n">
        <v>1</v>
      </c>
      <c r="F136" s="12" t="n">
        <v>64365.24</v>
      </c>
      <c r="G136" s="11" t="s">
        <v>243</v>
      </c>
      <c r="H136" s="11" t="s">
        <v>251</v>
      </c>
      <c r="I136" s="12" t="n">
        <f aca="false">IF(ISNUMBER(C136),F136-C136,"n/a")</f>
        <v>-15411.96</v>
      </c>
    </row>
    <row r="137" customFormat="false" ht="15" hidden="false" customHeight="false" outlineLevel="0" collapsed="false">
      <c r="A137" s="11" t="s">
        <v>392</v>
      </c>
      <c r="B137" s="11" t="s">
        <v>269</v>
      </c>
      <c r="C137" s="12" t="n">
        <v>70612.09</v>
      </c>
      <c r="D137" s="11" t="n">
        <v>1</v>
      </c>
      <c r="E137" s="11" t="n">
        <v>1</v>
      </c>
      <c r="F137" s="12" t="n">
        <v>70612.09</v>
      </c>
      <c r="G137" s="11" t="s">
        <v>243</v>
      </c>
      <c r="H137" s="11" t="s">
        <v>244</v>
      </c>
      <c r="I137" s="12" t="n">
        <f aca="false">IF(ISNUMBER(C137),F137-C137,"n/a")</f>
        <v>0</v>
      </c>
    </row>
    <row r="138" customFormat="false" ht="15" hidden="false" customHeight="false" outlineLevel="0" collapsed="false">
      <c r="A138" s="11" t="s">
        <v>393</v>
      </c>
      <c r="B138" s="11" t="s">
        <v>246</v>
      </c>
      <c r="C138" s="12" t="n">
        <v>44583.49</v>
      </c>
      <c r="D138" s="11" t="n">
        <v>1</v>
      </c>
      <c r="E138" s="11" t="n">
        <v>1</v>
      </c>
      <c r="F138" s="12" t="n">
        <v>51271.01</v>
      </c>
      <c r="G138" s="11" t="s">
        <v>243</v>
      </c>
      <c r="H138" s="11" t="s">
        <v>286</v>
      </c>
      <c r="I138" s="12" t="n">
        <f aca="false">IF(ISNUMBER(C138),F138-C138,"n/a")</f>
        <v>6687.52</v>
      </c>
    </row>
    <row r="139" customFormat="false" ht="15" hidden="false" customHeight="false" outlineLevel="0" collapsed="false">
      <c r="A139" s="11" t="s">
        <v>394</v>
      </c>
      <c r="B139" s="11" t="s">
        <v>246</v>
      </c>
      <c r="C139" s="12" t="n">
        <v>94567.23</v>
      </c>
      <c r="D139" s="11" t="n">
        <v>1</v>
      </c>
      <c r="E139" s="11" t="n">
        <v>1</v>
      </c>
      <c r="F139" s="12" t="n">
        <v>120210.4</v>
      </c>
      <c r="G139" s="11" t="s">
        <v>243</v>
      </c>
      <c r="H139" s="11" t="s">
        <v>286</v>
      </c>
      <c r="I139" s="12" t="n">
        <f aca="false">IF(ISNUMBER(C139),F139-C139,"n/a")</f>
        <v>25643.17</v>
      </c>
    </row>
    <row r="140" customFormat="false" ht="15" hidden="false" customHeight="false" outlineLevel="0" collapsed="false">
      <c r="A140" s="11" t="s">
        <v>395</v>
      </c>
      <c r="B140" s="11" t="s">
        <v>242</v>
      </c>
      <c r="C140" s="12" t="n">
        <v>73792.99</v>
      </c>
      <c r="D140" s="11" t="n">
        <v>1</v>
      </c>
      <c r="E140" s="11" t="n">
        <v>1</v>
      </c>
      <c r="F140" s="12" t="n">
        <v>73792.99</v>
      </c>
      <c r="G140" s="11" t="s">
        <v>243</v>
      </c>
      <c r="H140" s="11" t="s">
        <v>244</v>
      </c>
      <c r="I140" s="12" t="n">
        <f aca="false">IF(ISNUMBER(C140),F140-C140,"n/a")</f>
        <v>0</v>
      </c>
    </row>
    <row r="141" customFormat="false" ht="15" hidden="false" customHeight="false" outlineLevel="0" collapsed="false">
      <c r="A141" s="11" t="s">
        <v>396</v>
      </c>
      <c r="B141" s="11" t="s">
        <v>242</v>
      </c>
      <c r="C141" s="12" t="n">
        <v>169891.52</v>
      </c>
      <c r="D141" s="11" t="n">
        <v>1</v>
      </c>
      <c r="E141" s="11" t="n">
        <v>1</v>
      </c>
      <c r="F141" s="12" t="n">
        <v>84945.76</v>
      </c>
      <c r="G141" s="11" t="s">
        <v>243</v>
      </c>
      <c r="H141" s="11" t="s">
        <v>251</v>
      </c>
      <c r="I141" s="12" t="n">
        <f aca="false">IF(ISNUMBER(C141),F141-C141,"n/a")</f>
        <v>-84945.76</v>
      </c>
    </row>
    <row r="142" customFormat="false" ht="15" hidden="false" customHeight="false" outlineLevel="0" collapsed="false">
      <c r="A142" s="11" t="s">
        <v>397</v>
      </c>
      <c r="B142" s="11" t="s">
        <v>269</v>
      </c>
      <c r="C142" s="12" t="n">
        <v>38187.4</v>
      </c>
      <c r="D142" s="11" t="n">
        <v>1</v>
      </c>
      <c r="E142" s="11" t="n">
        <v>0</v>
      </c>
      <c r="F142" s="12" t="n">
        <v>0</v>
      </c>
      <c r="G142" s="11" t="s">
        <v>250</v>
      </c>
      <c r="H142" s="11" t="s">
        <v>248</v>
      </c>
      <c r="I142" s="12" t="n">
        <f aca="false">IF(ISNUMBER(C142),F142-C142,"n/a")</f>
        <v>-38187.4</v>
      </c>
    </row>
    <row r="143" customFormat="false" ht="15" hidden="false" customHeight="false" outlineLevel="0" collapsed="false">
      <c r="A143" s="11" t="s">
        <v>398</v>
      </c>
      <c r="B143" s="11" t="s">
        <v>269</v>
      </c>
      <c r="C143" s="12" t="n">
        <v>110460.18</v>
      </c>
      <c r="D143" s="11" t="n">
        <v>1</v>
      </c>
      <c r="E143" s="11" t="n">
        <v>1</v>
      </c>
      <c r="F143" s="12" t="n">
        <v>92783.24</v>
      </c>
      <c r="G143" s="11" t="s">
        <v>243</v>
      </c>
      <c r="H143" s="11" t="s">
        <v>251</v>
      </c>
      <c r="I143" s="12" t="n">
        <f aca="false">IF(ISNUMBER(C143),F143-C143,"n/a")</f>
        <v>-17676.94</v>
      </c>
    </row>
    <row r="144" customFormat="false" ht="15" hidden="false" customHeight="false" outlineLevel="0" collapsed="false">
      <c r="A144" s="11" t="s">
        <v>399</v>
      </c>
      <c r="B144" s="11" t="s">
        <v>242</v>
      </c>
      <c r="C144" s="12" t="n">
        <v>147810.45</v>
      </c>
      <c r="D144" s="11" t="n">
        <v>1</v>
      </c>
      <c r="E144" s="11" t="n">
        <v>1</v>
      </c>
      <c r="F144" s="12" t="n">
        <v>192153.59</v>
      </c>
      <c r="G144" s="11" t="s">
        <v>243</v>
      </c>
      <c r="H144" s="11" t="s">
        <v>253</v>
      </c>
      <c r="I144" s="12" t="n">
        <f aca="false">IF(ISNUMBER(C144),F144-C144,"n/a")</f>
        <v>44343.14</v>
      </c>
    </row>
    <row r="145" customFormat="false" ht="15" hidden="false" customHeight="false" outlineLevel="0" collapsed="false">
      <c r="A145" s="11" t="s">
        <v>400</v>
      </c>
      <c r="B145" s="11" t="s">
        <v>242</v>
      </c>
      <c r="C145" s="12" t="n">
        <v>24000.92</v>
      </c>
      <c r="D145" s="11" t="n">
        <v>1</v>
      </c>
      <c r="E145" s="11" t="n">
        <v>1</v>
      </c>
      <c r="F145" s="12" t="n">
        <v>24000.92</v>
      </c>
      <c r="G145" s="11" t="s">
        <v>243</v>
      </c>
      <c r="H145" s="11" t="s">
        <v>244</v>
      </c>
      <c r="I145" s="12" t="n">
        <f aca="false">IF(ISNUMBER(C145),F145-C145,"n/a")</f>
        <v>0</v>
      </c>
    </row>
    <row r="146" customFormat="false" ht="15" hidden="false" customHeight="false" outlineLevel="0" collapsed="false">
      <c r="A146" s="11" t="s">
        <v>401</v>
      </c>
      <c r="B146" s="11" t="s">
        <v>246</v>
      </c>
      <c r="C146" s="12" t="n">
        <v>85063.37</v>
      </c>
      <c r="D146" s="11" t="n">
        <v>1</v>
      </c>
      <c r="E146" s="11" t="n">
        <v>1</v>
      </c>
      <c r="F146" s="12" t="n">
        <v>85063.37</v>
      </c>
      <c r="G146" s="11" t="s">
        <v>243</v>
      </c>
      <c r="H146" s="11" t="s">
        <v>255</v>
      </c>
      <c r="I146" s="12" t="n">
        <f aca="false">IF(ISNUMBER(C146),F146-C146,"n/a")</f>
        <v>0</v>
      </c>
    </row>
    <row r="147" customFormat="false" ht="15" hidden="false" customHeight="false" outlineLevel="0" collapsed="false">
      <c r="A147" s="11" t="s">
        <v>402</v>
      </c>
      <c r="B147" s="11" t="s">
        <v>269</v>
      </c>
      <c r="C147" s="12" t="n">
        <v>165460.68</v>
      </c>
      <c r="D147" s="11" t="n">
        <v>1</v>
      </c>
      <c r="E147" s="11" t="n">
        <v>1</v>
      </c>
      <c r="F147" s="12" t="n">
        <v>82730.34</v>
      </c>
      <c r="G147" s="11" t="s">
        <v>243</v>
      </c>
      <c r="H147" s="11" t="s">
        <v>251</v>
      </c>
      <c r="I147" s="12" t="n">
        <f aca="false">IF(ISNUMBER(C147),F147-C147,"n/a")</f>
        <v>-82730.34</v>
      </c>
    </row>
    <row r="148" customFormat="false" ht="15" hidden="false" customHeight="false" outlineLevel="0" collapsed="false">
      <c r="A148" s="11" t="s">
        <v>403</v>
      </c>
      <c r="B148" s="11" t="s">
        <v>242</v>
      </c>
      <c r="C148" s="12" t="n">
        <v>92233.59</v>
      </c>
      <c r="D148" s="11" t="n">
        <v>1</v>
      </c>
      <c r="E148" s="11" t="n">
        <v>0</v>
      </c>
      <c r="F148" s="12" t="n">
        <v>0</v>
      </c>
      <c r="G148" s="11" t="s">
        <v>266</v>
      </c>
      <c r="H148" s="11" t="s">
        <v>248</v>
      </c>
      <c r="I148" s="12" t="n">
        <f aca="false">IF(ISNUMBER(C148),F148-C148,"n/a")</f>
        <v>-92233.59</v>
      </c>
    </row>
    <row r="149" customFormat="false" ht="15" hidden="false" customHeight="false" outlineLevel="0" collapsed="false">
      <c r="A149" s="11" t="s">
        <v>404</v>
      </c>
      <c r="B149" s="11" t="s">
        <v>242</v>
      </c>
      <c r="C149" s="12" t="n">
        <v>58908.81</v>
      </c>
      <c r="D149" s="11" t="n">
        <v>1</v>
      </c>
      <c r="E149" s="11" t="n">
        <v>1</v>
      </c>
      <c r="F149" s="12" t="n">
        <v>41236.17</v>
      </c>
      <c r="G149" s="11" t="s">
        <v>243</v>
      </c>
      <c r="H149" s="11" t="s">
        <v>251</v>
      </c>
      <c r="I149" s="12" t="n">
        <f aca="false">IF(ISNUMBER(C149),F149-C149,"n/a")</f>
        <v>-17672.64</v>
      </c>
    </row>
    <row r="150" customFormat="false" ht="15" hidden="false" customHeight="false" outlineLevel="0" collapsed="false">
      <c r="A150" s="11" t="s">
        <v>405</v>
      </c>
      <c r="B150" s="11" t="s">
        <v>250</v>
      </c>
      <c r="C150" s="12" t="n">
        <v>270507.92</v>
      </c>
      <c r="D150" s="11" t="n">
        <v>1</v>
      </c>
      <c r="E150" s="11" t="n">
        <v>0</v>
      </c>
      <c r="F150" s="12" t="n">
        <v>0</v>
      </c>
      <c r="G150" s="11" t="s">
        <v>266</v>
      </c>
      <c r="H150" s="11" t="s">
        <v>248</v>
      </c>
      <c r="I150" s="12" t="n">
        <f aca="false">IF(ISNUMBER(C150),F150-C150,"n/a")</f>
        <v>-270507.92</v>
      </c>
    </row>
    <row r="151" customFormat="false" ht="15" hidden="false" customHeight="false" outlineLevel="0" collapsed="false">
      <c r="A151" s="11" t="s">
        <v>406</v>
      </c>
      <c r="B151" s="11" t="s">
        <v>242</v>
      </c>
      <c r="C151" s="12" t="n">
        <v>57839.01</v>
      </c>
      <c r="D151" s="11" t="n">
        <v>1</v>
      </c>
      <c r="E151" s="11" t="n">
        <v>1</v>
      </c>
      <c r="F151" s="12" t="n">
        <v>75190.71</v>
      </c>
      <c r="G151" s="11" t="s">
        <v>243</v>
      </c>
      <c r="H151" s="11" t="s">
        <v>253</v>
      </c>
      <c r="I151" s="12" t="n">
        <f aca="false">IF(ISNUMBER(C151),F151-C151,"n/a")</f>
        <v>17351.7</v>
      </c>
    </row>
    <row r="152" customFormat="false" ht="15" hidden="false" customHeight="false" outlineLevel="0" collapsed="false">
      <c r="A152" s="11" t="s">
        <v>407</v>
      </c>
      <c r="B152" s="11" t="s">
        <v>242</v>
      </c>
      <c r="C152" s="12" t="n">
        <v>80420.7</v>
      </c>
      <c r="D152" s="11" t="n">
        <v>1</v>
      </c>
      <c r="E152" s="11" t="n">
        <v>1</v>
      </c>
      <c r="F152" s="12" t="n">
        <v>40210.35</v>
      </c>
      <c r="G152" s="11" t="s">
        <v>243</v>
      </c>
      <c r="H152" s="11" t="s">
        <v>251</v>
      </c>
      <c r="I152" s="12" t="n">
        <f aca="false">IF(ISNUMBER(C152),F152-C152,"n/a")</f>
        <v>-40210.35</v>
      </c>
    </row>
    <row r="153" customFormat="false" ht="15" hidden="false" customHeight="false" outlineLevel="0" collapsed="false">
      <c r="A153" s="11" t="s">
        <v>408</v>
      </c>
      <c r="B153" s="11" t="s">
        <v>242</v>
      </c>
      <c r="C153" s="12" t="n">
        <v>242286.69</v>
      </c>
      <c r="D153" s="11" t="n">
        <v>1</v>
      </c>
      <c r="E153" s="11" t="n">
        <v>1</v>
      </c>
      <c r="F153" s="12" t="n">
        <v>242286.7</v>
      </c>
      <c r="G153" s="11" t="s">
        <v>243</v>
      </c>
      <c r="H153" s="11" t="s">
        <v>244</v>
      </c>
      <c r="I153" s="12" t="n">
        <f aca="false">IF(ISNUMBER(C153),F153-C153,"n/a")</f>
        <v>0.0100000000093132</v>
      </c>
    </row>
    <row r="154" customFormat="false" ht="15" hidden="false" customHeight="false" outlineLevel="0" collapsed="false">
      <c r="A154" s="11" t="s">
        <v>409</v>
      </c>
      <c r="B154" s="11" t="s">
        <v>269</v>
      </c>
      <c r="C154" s="12" t="n">
        <v>47020.48</v>
      </c>
      <c r="D154" s="11" t="n">
        <v>1</v>
      </c>
      <c r="E154" s="11" t="n">
        <v>1</v>
      </c>
      <c r="F154" s="12" t="n">
        <v>47020.48</v>
      </c>
      <c r="G154" s="11" t="s">
        <v>243</v>
      </c>
      <c r="H154" s="11" t="s">
        <v>244</v>
      </c>
      <c r="I154" s="12" t="n">
        <f aca="false">IF(ISNUMBER(C154),F154-C154,"n/a")</f>
        <v>0</v>
      </c>
    </row>
    <row r="155" customFormat="false" ht="15" hidden="false" customHeight="false" outlineLevel="0" collapsed="false">
      <c r="A155" s="11" t="s">
        <v>410</v>
      </c>
      <c r="B155" s="11" t="s">
        <v>242</v>
      </c>
      <c r="C155" s="12" t="n">
        <v>136681.68</v>
      </c>
      <c r="D155" s="11" t="n">
        <v>1</v>
      </c>
      <c r="E155" s="11" t="n">
        <v>1</v>
      </c>
      <c r="F155" s="12" t="n">
        <v>136681.68</v>
      </c>
      <c r="G155" s="11" t="s">
        <v>243</v>
      </c>
      <c r="H155" s="11" t="s">
        <v>244</v>
      </c>
      <c r="I155" s="12" t="n">
        <f aca="false">IF(ISNUMBER(C155),F155-C155,"n/a")</f>
        <v>0</v>
      </c>
    </row>
    <row r="156" customFormat="false" ht="15" hidden="false" customHeight="false" outlineLevel="0" collapsed="false">
      <c r="A156" s="11" t="s">
        <v>411</v>
      </c>
      <c r="B156" s="11" t="s">
        <v>242</v>
      </c>
      <c r="C156" s="12" t="n">
        <v>179268.9</v>
      </c>
      <c r="D156" s="11" t="n">
        <v>2</v>
      </c>
      <c r="E156" s="11" t="n">
        <v>1</v>
      </c>
      <c r="F156" s="12" t="n">
        <v>179268.9</v>
      </c>
      <c r="G156" s="11" t="s">
        <v>301</v>
      </c>
      <c r="H156" s="11" t="s">
        <v>261</v>
      </c>
      <c r="I156" s="12" t="n">
        <f aca="false">IF(ISNUMBER(C156),F156-C156,"n/a")</f>
        <v>0</v>
      </c>
    </row>
    <row r="157" customFormat="false" ht="15" hidden="false" customHeight="false" outlineLevel="0" collapsed="false">
      <c r="A157" s="11" t="s">
        <v>412</v>
      </c>
      <c r="B157" s="11" t="s">
        <v>242</v>
      </c>
      <c r="C157" s="12" t="n">
        <v>21122.18</v>
      </c>
      <c r="D157" s="11" t="n">
        <v>1</v>
      </c>
      <c r="E157" s="11" t="n">
        <v>0</v>
      </c>
      <c r="F157" s="12" t="n">
        <v>0</v>
      </c>
      <c r="G157" s="11" t="s">
        <v>247</v>
      </c>
      <c r="H157" s="11" t="s">
        <v>248</v>
      </c>
      <c r="I157" s="12" t="n">
        <f aca="false">IF(ISNUMBER(C157),F157-C157,"n/a")</f>
        <v>-21122.18</v>
      </c>
    </row>
    <row r="158" customFormat="false" ht="15" hidden="false" customHeight="false" outlineLevel="0" collapsed="false">
      <c r="A158" s="11" t="s">
        <v>413</v>
      </c>
      <c r="B158" s="11" t="s">
        <v>242</v>
      </c>
      <c r="C158" s="12" t="n">
        <v>21069.46</v>
      </c>
      <c r="D158" s="11" t="n">
        <v>1</v>
      </c>
      <c r="E158" s="11" t="n">
        <v>1</v>
      </c>
      <c r="F158" s="12" t="n">
        <v>21069.46</v>
      </c>
      <c r="G158" s="11" t="s">
        <v>243</v>
      </c>
      <c r="H158" s="11" t="s">
        <v>244</v>
      </c>
      <c r="I158" s="12" t="n">
        <f aca="false">IF(ISNUMBER(C158),F158-C158,"n/a")</f>
        <v>0</v>
      </c>
    </row>
    <row r="159" customFormat="false" ht="15" hidden="false" customHeight="false" outlineLevel="0" collapsed="false">
      <c r="A159" s="11" t="s">
        <v>414</v>
      </c>
      <c r="B159" s="11" t="s">
        <v>242</v>
      </c>
      <c r="C159" s="12" t="n">
        <v>3184.81</v>
      </c>
      <c r="D159" s="11" t="n">
        <v>1</v>
      </c>
      <c r="E159" s="11" t="n">
        <v>0</v>
      </c>
      <c r="F159" s="12" t="n">
        <v>0</v>
      </c>
      <c r="G159" s="11" t="s">
        <v>247</v>
      </c>
      <c r="H159" s="11" t="s">
        <v>248</v>
      </c>
      <c r="I159" s="12" t="n">
        <f aca="false">IF(ISNUMBER(C159),F159-C159,"n/a")</f>
        <v>-3184.81</v>
      </c>
    </row>
    <row r="160" customFormat="false" ht="15" hidden="false" customHeight="false" outlineLevel="0" collapsed="false">
      <c r="A160" s="11" t="s">
        <v>415</v>
      </c>
      <c r="B160" s="11" t="s">
        <v>250</v>
      </c>
      <c r="C160" s="12" t="n">
        <v>59341.84</v>
      </c>
      <c r="D160" s="11" t="n">
        <v>1</v>
      </c>
      <c r="E160" s="11" t="n">
        <v>0</v>
      </c>
      <c r="F160" s="12" t="n">
        <v>0</v>
      </c>
      <c r="G160" s="11" t="s">
        <v>266</v>
      </c>
      <c r="H160" s="11" t="s">
        <v>248</v>
      </c>
      <c r="I160" s="12" t="n">
        <f aca="false">IF(ISNUMBER(C160),F160-C160,"n/a")</f>
        <v>-59341.84</v>
      </c>
    </row>
    <row r="161" customFormat="false" ht="15" hidden="false" customHeight="false" outlineLevel="0" collapsed="false">
      <c r="A161" s="11" t="s">
        <v>416</v>
      </c>
      <c r="B161" s="11" t="s">
        <v>242</v>
      </c>
      <c r="C161" s="12" t="n">
        <v>109892.3</v>
      </c>
      <c r="D161" s="11" t="n">
        <v>1</v>
      </c>
      <c r="E161" s="11" t="n">
        <v>1</v>
      </c>
      <c r="F161" s="12" t="n">
        <v>109892.3</v>
      </c>
      <c r="G161" s="11" t="s">
        <v>243</v>
      </c>
      <c r="H161" s="11" t="s">
        <v>244</v>
      </c>
      <c r="I161" s="12" t="n">
        <f aca="false">IF(ISNUMBER(C161),F161-C161,"n/a")</f>
        <v>0</v>
      </c>
    </row>
    <row r="162" customFormat="false" ht="15" hidden="false" customHeight="false" outlineLevel="0" collapsed="false">
      <c r="A162" s="11" t="s">
        <v>417</v>
      </c>
      <c r="B162" s="11" t="s">
        <v>242</v>
      </c>
      <c r="C162" s="12" t="n">
        <v>19780.61</v>
      </c>
      <c r="D162" s="11" t="n">
        <v>1</v>
      </c>
      <c r="E162" s="11" t="n">
        <v>0</v>
      </c>
      <c r="F162" s="12" t="n">
        <v>0</v>
      </c>
      <c r="G162" s="11" t="s">
        <v>250</v>
      </c>
      <c r="H162" s="11" t="s">
        <v>248</v>
      </c>
      <c r="I162" s="12" t="n">
        <f aca="false">IF(ISNUMBER(C162),F162-C162,"n/a")</f>
        <v>-19780.61</v>
      </c>
    </row>
    <row r="163" customFormat="false" ht="15" hidden="false" customHeight="false" outlineLevel="0" collapsed="false">
      <c r="A163" s="11" t="s">
        <v>418</v>
      </c>
      <c r="B163" s="11" t="s">
        <v>250</v>
      </c>
      <c r="C163" s="12" t="n">
        <v>15622.68</v>
      </c>
      <c r="D163" s="11" t="n">
        <v>1</v>
      </c>
      <c r="E163" s="11" t="n">
        <v>1</v>
      </c>
      <c r="F163" s="12" t="n">
        <v>15622.68</v>
      </c>
      <c r="G163" s="11" t="s">
        <v>243</v>
      </c>
      <c r="H163" s="11" t="s">
        <v>244</v>
      </c>
      <c r="I163" s="12" t="n">
        <f aca="false">IF(ISNUMBER(C163),F163-C163,"n/a")</f>
        <v>0</v>
      </c>
    </row>
    <row r="164" customFormat="false" ht="15" hidden="false" customHeight="false" outlineLevel="0" collapsed="false">
      <c r="A164" s="11" t="s">
        <v>419</v>
      </c>
      <c r="B164" s="11" t="s">
        <v>242</v>
      </c>
      <c r="C164" s="12" t="n">
        <v>92866.58</v>
      </c>
      <c r="D164" s="11" t="n">
        <v>1</v>
      </c>
      <c r="E164" s="11" t="n">
        <v>1</v>
      </c>
      <c r="F164" s="12" t="n">
        <v>92866.58</v>
      </c>
      <c r="G164" s="11" t="s">
        <v>243</v>
      </c>
      <c r="H164" s="11" t="s">
        <v>244</v>
      </c>
      <c r="I164" s="12" t="n">
        <f aca="false">IF(ISNUMBER(C164),F164-C164,"n/a")</f>
        <v>0</v>
      </c>
    </row>
    <row r="165" customFormat="false" ht="15" hidden="false" customHeight="false" outlineLevel="0" collapsed="false">
      <c r="A165" s="11" t="s">
        <v>420</v>
      </c>
      <c r="B165" s="11" t="s">
        <v>250</v>
      </c>
      <c r="C165" s="12" t="n">
        <v>144901.04</v>
      </c>
      <c r="D165" s="11" t="n">
        <v>1</v>
      </c>
      <c r="E165" s="11" t="n">
        <v>1</v>
      </c>
      <c r="F165" s="12" t="n">
        <v>144901.04</v>
      </c>
      <c r="G165" s="11" t="s">
        <v>243</v>
      </c>
      <c r="H165" s="11" t="s">
        <v>244</v>
      </c>
      <c r="I165" s="12" t="n">
        <f aca="false">IF(ISNUMBER(C165),F165-C165,"n/a")</f>
        <v>0</v>
      </c>
    </row>
    <row r="166" customFormat="false" ht="15" hidden="false" customHeight="false" outlineLevel="0" collapsed="false">
      <c r="A166" s="11" t="s">
        <v>421</v>
      </c>
      <c r="B166" s="11" t="s">
        <v>250</v>
      </c>
      <c r="C166" s="12" t="n">
        <v>12077.44</v>
      </c>
      <c r="D166" s="11" t="n">
        <v>1</v>
      </c>
      <c r="E166" s="11" t="n">
        <v>0</v>
      </c>
      <c r="F166" s="12" t="n">
        <v>0</v>
      </c>
      <c r="G166" s="11" t="s">
        <v>250</v>
      </c>
      <c r="H166" s="11" t="s">
        <v>248</v>
      </c>
      <c r="I166" s="12" t="n">
        <f aca="false">IF(ISNUMBER(C166),F166-C166,"n/a")</f>
        <v>-12077.44</v>
      </c>
    </row>
    <row r="167" customFormat="false" ht="15" hidden="false" customHeight="false" outlineLevel="0" collapsed="false">
      <c r="A167" s="11" t="s">
        <v>422</v>
      </c>
      <c r="B167" s="11" t="s">
        <v>242</v>
      </c>
      <c r="C167" s="12" t="n">
        <v>51601.73</v>
      </c>
      <c r="D167" s="11" t="n">
        <v>1</v>
      </c>
      <c r="E167" s="11" t="n">
        <v>1</v>
      </c>
      <c r="F167" s="12" t="n">
        <v>51601.73</v>
      </c>
      <c r="G167" s="11" t="s">
        <v>243</v>
      </c>
      <c r="H167" s="11" t="s">
        <v>244</v>
      </c>
      <c r="I167" s="12" t="n">
        <f aca="false">IF(ISNUMBER(C167),F167-C167,"n/a")</f>
        <v>0</v>
      </c>
    </row>
    <row r="168" customFormat="false" ht="15" hidden="false" customHeight="false" outlineLevel="0" collapsed="false">
      <c r="A168" s="11" t="s">
        <v>423</v>
      </c>
      <c r="B168" s="11" t="s">
        <v>246</v>
      </c>
      <c r="C168" s="12" t="n">
        <v>184862.7</v>
      </c>
      <c r="D168" s="11" t="n">
        <v>1</v>
      </c>
      <c r="E168" s="11" t="n">
        <v>1</v>
      </c>
      <c r="F168" s="12" t="n">
        <v>184862.7</v>
      </c>
      <c r="G168" s="11" t="s">
        <v>243</v>
      </c>
      <c r="H168" s="11" t="s">
        <v>255</v>
      </c>
      <c r="I168" s="12" t="n">
        <f aca="false">IF(ISNUMBER(C168),F168-C168,"n/a")</f>
        <v>0</v>
      </c>
    </row>
    <row r="169" customFormat="false" ht="15" hidden="false" customHeight="false" outlineLevel="0" collapsed="false">
      <c r="A169" s="11" t="s">
        <v>424</v>
      </c>
      <c r="B169" s="11" t="s">
        <v>242</v>
      </c>
      <c r="C169" s="12" t="n">
        <v>60641.05</v>
      </c>
      <c r="D169" s="11" t="n">
        <v>1</v>
      </c>
      <c r="E169" s="11" t="n">
        <v>1</v>
      </c>
      <c r="F169" s="12" t="n">
        <v>60641.05</v>
      </c>
      <c r="G169" s="11" t="s">
        <v>243</v>
      </c>
      <c r="H169" s="11" t="s">
        <v>244</v>
      </c>
      <c r="I169" s="12" t="n">
        <f aca="false">IF(ISNUMBER(C169),F169-C169,"n/a")</f>
        <v>0</v>
      </c>
    </row>
    <row r="170" customFormat="false" ht="15" hidden="false" customHeight="false" outlineLevel="0" collapsed="false">
      <c r="A170" s="11" t="s">
        <v>425</v>
      </c>
      <c r="B170" s="11" t="s">
        <v>246</v>
      </c>
      <c r="C170" s="12" t="n">
        <v>82375.97</v>
      </c>
      <c r="D170" s="11" t="n">
        <v>1</v>
      </c>
      <c r="E170" s="11" t="n">
        <v>0</v>
      </c>
      <c r="F170" s="12" t="n">
        <v>0</v>
      </c>
      <c r="G170" s="11" t="s">
        <v>250</v>
      </c>
      <c r="H170" s="11" t="s">
        <v>248</v>
      </c>
      <c r="I170" s="12" t="n">
        <f aca="false">IF(ISNUMBER(C170),F170-C170,"n/a")</f>
        <v>-82375.97</v>
      </c>
    </row>
    <row r="171" customFormat="false" ht="15" hidden="false" customHeight="false" outlineLevel="0" collapsed="false">
      <c r="A171" s="11" t="s">
        <v>426</v>
      </c>
      <c r="B171" s="11" t="s">
        <v>242</v>
      </c>
      <c r="C171" s="12" t="n">
        <v>39483.2</v>
      </c>
      <c r="D171" s="11" t="n">
        <v>1</v>
      </c>
      <c r="E171" s="11" t="n">
        <v>0</v>
      </c>
      <c r="F171" s="12" t="n">
        <v>0</v>
      </c>
      <c r="G171" s="11" t="s">
        <v>250</v>
      </c>
      <c r="H171" s="11" t="s">
        <v>248</v>
      </c>
      <c r="I171" s="12" t="n">
        <f aca="false">IF(ISNUMBER(C171),F171-C171,"n/a")</f>
        <v>-39483.2</v>
      </c>
    </row>
    <row r="172" customFormat="false" ht="15" hidden="false" customHeight="false" outlineLevel="0" collapsed="false">
      <c r="A172" s="11" t="s">
        <v>427</v>
      </c>
      <c r="B172" s="11" t="s">
        <v>242</v>
      </c>
      <c r="C172" s="12" t="n">
        <v>33822.72</v>
      </c>
      <c r="D172" s="11" t="n">
        <v>1</v>
      </c>
      <c r="E172" s="11" t="n">
        <v>1</v>
      </c>
      <c r="F172" s="12" t="n">
        <v>33822.72</v>
      </c>
      <c r="G172" s="11" t="s">
        <v>243</v>
      </c>
      <c r="H172" s="11" t="s">
        <v>244</v>
      </c>
      <c r="I172" s="12" t="n">
        <f aca="false">IF(ISNUMBER(C172),F172-C172,"n/a")</f>
        <v>0</v>
      </c>
    </row>
    <row r="173" customFormat="false" ht="15" hidden="false" customHeight="false" outlineLevel="0" collapsed="false">
      <c r="A173" s="11" t="s">
        <v>428</v>
      </c>
      <c r="B173" s="11" t="s">
        <v>250</v>
      </c>
      <c r="C173" s="12" t="n">
        <v>107279.68</v>
      </c>
      <c r="D173" s="11" t="n">
        <v>0</v>
      </c>
      <c r="E173" s="11" t="n">
        <v>0</v>
      </c>
      <c r="F173" s="12" t="n">
        <v>0</v>
      </c>
      <c r="G173" s="11"/>
      <c r="H173" s="11" t="s">
        <v>259</v>
      </c>
      <c r="I173" s="12" t="n">
        <f aca="false">IF(ISNUMBER(C173),F173-C173,"n/a")</f>
        <v>-107279.68</v>
      </c>
    </row>
    <row r="174" customFormat="false" ht="15" hidden="false" customHeight="false" outlineLevel="0" collapsed="false">
      <c r="A174" s="11" t="s">
        <v>429</v>
      </c>
      <c r="B174" s="11" t="s">
        <v>242</v>
      </c>
      <c r="C174" s="12" t="n">
        <v>174448.4</v>
      </c>
      <c r="D174" s="11" t="n">
        <v>1</v>
      </c>
      <c r="E174" s="11" t="n">
        <v>0</v>
      </c>
      <c r="F174" s="12" t="n">
        <v>0</v>
      </c>
      <c r="G174" s="11" t="s">
        <v>247</v>
      </c>
      <c r="H174" s="11" t="s">
        <v>248</v>
      </c>
      <c r="I174" s="12" t="n">
        <f aca="false">IF(ISNUMBER(C174),F174-C174,"n/a")</f>
        <v>-174448.4</v>
      </c>
    </row>
    <row r="175" customFormat="false" ht="15" hidden="false" customHeight="false" outlineLevel="0" collapsed="false">
      <c r="A175" s="11" t="s">
        <v>430</v>
      </c>
      <c r="B175" s="11" t="s">
        <v>250</v>
      </c>
      <c r="C175" s="12" t="n">
        <v>93071.87</v>
      </c>
      <c r="D175" s="11" t="n">
        <v>1</v>
      </c>
      <c r="E175" s="11" t="n">
        <v>0</v>
      </c>
      <c r="F175" s="12" t="n">
        <v>0</v>
      </c>
      <c r="G175" s="11" t="s">
        <v>266</v>
      </c>
      <c r="H175" s="11" t="s">
        <v>248</v>
      </c>
      <c r="I175" s="12" t="n">
        <f aca="false">IF(ISNUMBER(C175),F175-C175,"n/a")</f>
        <v>-93071.87</v>
      </c>
    </row>
    <row r="176" customFormat="false" ht="15" hidden="false" customHeight="false" outlineLevel="0" collapsed="false">
      <c r="A176" s="11" t="s">
        <v>431</v>
      </c>
      <c r="B176" s="11" t="s">
        <v>242</v>
      </c>
      <c r="C176" s="12" t="n">
        <v>11630.62</v>
      </c>
      <c r="D176" s="11" t="n">
        <v>1</v>
      </c>
      <c r="E176" s="11" t="n">
        <v>1</v>
      </c>
      <c r="F176" s="12" t="n">
        <v>11630.62</v>
      </c>
      <c r="G176" s="11" t="s">
        <v>243</v>
      </c>
      <c r="H176" s="11" t="s">
        <v>244</v>
      </c>
      <c r="I176" s="12" t="n">
        <f aca="false">IF(ISNUMBER(C176),F176-C176,"n/a")</f>
        <v>0</v>
      </c>
    </row>
    <row r="177" customFormat="false" ht="15" hidden="false" customHeight="false" outlineLevel="0" collapsed="false">
      <c r="A177" s="11" t="s">
        <v>432</v>
      </c>
      <c r="B177" s="11" t="s">
        <v>242</v>
      </c>
      <c r="C177" s="12" t="n">
        <v>100390.77</v>
      </c>
      <c r="D177" s="11" t="n">
        <v>1</v>
      </c>
      <c r="E177" s="11" t="n">
        <v>1</v>
      </c>
      <c r="F177" s="12" t="n">
        <v>110211.66</v>
      </c>
      <c r="G177" s="11" t="s">
        <v>243</v>
      </c>
      <c r="H177" s="11" t="s">
        <v>253</v>
      </c>
      <c r="I177" s="12" t="n">
        <f aca="false">IF(ISNUMBER(C177),F177-C177,"n/a")</f>
        <v>9820.89</v>
      </c>
    </row>
    <row r="178" customFormat="false" ht="15" hidden="false" customHeight="false" outlineLevel="0" collapsed="false">
      <c r="A178" s="11" t="s">
        <v>433</v>
      </c>
      <c r="B178" s="11" t="s">
        <v>269</v>
      </c>
      <c r="C178" s="12" t="n">
        <v>85908.79</v>
      </c>
      <c r="D178" s="11" t="n">
        <v>1</v>
      </c>
      <c r="E178" s="11" t="n">
        <v>0</v>
      </c>
      <c r="F178" s="12" t="n">
        <v>0</v>
      </c>
      <c r="G178" s="11" t="s">
        <v>250</v>
      </c>
      <c r="H178" s="11" t="s">
        <v>248</v>
      </c>
      <c r="I178" s="12" t="n">
        <f aca="false">IF(ISNUMBER(C178),F178-C178,"n/a")</f>
        <v>-85908.79</v>
      </c>
    </row>
    <row r="179" customFormat="false" ht="15" hidden="false" customHeight="false" outlineLevel="0" collapsed="false">
      <c r="A179" s="11" t="s">
        <v>434</v>
      </c>
      <c r="B179" s="11" t="s">
        <v>250</v>
      </c>
      <c r="C179" s="12" t="n">
        <v>36568.25</v>
      </c>
      <c r="D179" s="11" t="n">
        <v>1</v>
      </c>
      <c r="E179" s="11" t="n">
        <v>1</v>
      </c>
      <c r="F179" s="12" t="n">
        <v>36501.39</v>
      </c>
      <c r="G179" s="11" t="s">
        <v>243</v>
      </c>
      <c r="H179" s="11" t="s">
        <v>251</v>
      </c>
      <c r="I179" s="12" t="n">
        <f aca="false">IF(ISNUMBER(C179),F179-C179,"n/a")</f>
        <v>-66.8600000000006</v>
      </c>
    </row>
    <row r="180" customFormat="false" ht="15" hidden="false" customHeight="false" outlineLevel="0" collapsed="false">
      <c r="A180" s="11" t="s">
        <v>435</v>
      </c>
      <c r="B180" s="11" t="s">
        <v>242</v>
      </c>
      <c r="C180" s="12" t="n">
        <v>137941.77</v>
      </c>
      <c r="D180" s="11" t="n">
        <v>1</v>
      </c>
      <c r="E180" s="11" t="n">
        <v>0</v>
      </c>
      <c r="F180" s="12" t="n">
        <v>0</v>
      </c>
      <c r="G180" s="11" t="s">
        <v>266</v>
      </c>
      <c r="H180" s="11" t="s">
        <v>248</v>
      </c>
      <c r="I180" s="12" t="n">
        <f aca="false">IF(ISNUMBER(C180),F180-C180,"n/a")</f>
        <v>-137941.77</v>
      </c>
    </row>
    <row r="181" customFormat="false" ht="15" hidden="false" customHeight="false" outlineLevel="0" collapsed="false">
      <c r="A181" s="11" t="s">
        <v>436</v>
      </c>
      <c r="B181" s="11" t="s">
        <v>246</v>
      </c>
      <c r="C181" s="12" t="n">
        <v>11175.62</v>
      </c>
      <c r="D181" s="11" t="n">
        <v>1</v>
      </c>
      <c r="E181" s="11" t="n">
        <v>1</v>
      </c>
      <c r="F181" s="12" t="n">
        <v>11175.62</v>
      </c>
      <c r="G181" s="11" t="s">
        <v>243</v>
      </c>
      <c r="H181" s="11" t="s">
        <v>255</v>
      </c>
      <c r="I181" s="12" t="n">
        <f aca="false">IF(ISNUMBER(C181),F181-C181,"n/a")</f>
        <v>0</v>
      </c>
    </row>
    <row r="182" customFormat="false" ht="15" hidden="false" customHeight="false" outlineLevel="0" collapsed="false">
      <c r="A182" s="11" t="s">
        <v>437</v>
      </c>
      <c r="B182" s="11" t="s">
        <v>269</v>
      </c>
      <c r="C182" s="12" t="n">
        <v>55298.81</v>
      </c>
      <c r="D182" s="11" t="n">
        <v>1</v>
      </c>
      <c r="E182" s="11" t="n">
        <v>1</v>
      </c>
      <c r="F182" s="12" t="n">
        <v>27649.4</v>
      </c>
      <c r="G182" s="11" t="s">
        <v>243</v>
      </c>
      <c r="H182" s="11" t="s">
        <v>251</v>
      </c>
      <c r="I182" s="12" t="n">
        <f aca="false">IF(ISNUMBER(C182),F182-C182,"n/a")</f>
        <v>-27649.41</v>
      </c>
    </row>
    <row r="183" customFormat="false" ht="15" hidden="false" customHeight="false" outlineLevel="0" collapsed="false">
      <c r="A183" s="11" t="s">
        <v>438</v>
      </c>
      <c r="B183" s="11" t="s">
        <v>250</v>
      </c>
      <c r="C183" s="12" t="n">
        <v>91355.03</v>
      </c>
      <c r="D183" s="11" t="n">
        <v>0</v>
      </c>
      <c r="E183" s="11" t="n">
        <v>0</v>
      </c>
      <c r="F183" s="12" t="n">
        <v>0</v>
      </c>
      <c r="G183" s="11"/>
      <c r="H183" s="11" t="s">
        <v>259</v>
      </c>
      <c r="I183" s="12" t="n">
        <f aca="false">IF(ISNUMBER(C183),F183-C183,"n/a")</f>
        <v>-91355.03</v>
      </c>
    </row>
    <row r="184" customFormat="false" ht="15" hidden="false" customHeight="false" outlineLevel="0" collapsed="false">
      <c r="A184" s="11" t="s">
        <v>439</v>
      </c>
      <c r="B184" s="11" t="s">
        <v>250</v>
      </c>
      <c r="C184" s="12" t="n">
        <v>85251.43</v>
      </c>
      <c r="D184" s="11" t="n">
        <v>1</v>
      </c>
      <c r="E184" s="11" t="n">
        <v>0</v>
      </c>
      <c r="F184" s="12" t="n">
        <v>0</v>
      </c>
      <c r="G184" s="11" t="s">
        <v>247</v>
      </c>
      <c r="H184" s="11" t="s">
        <v>248</v>
      </c>
      <c r="I184" s="12" t="n">
        <f aca="false">IF(ISNUMBER(C184),F184-C184,"n/a")</f>
        <v>-85251.43</v>
      </c>
    </row>
    <row r="185" customFormat="false" ht="15" hidden="false" customHeight="false" outlineLevel="0" collapsed="false">
      <c r="A185" s="11" t="s">
        <v>440</v>
      </c>
      <c r="B185" s="11" t="s">
        <v>242</v>
      </c>
      <c r="C185" s="12" t="n">
        <v>22580.5</v>
      </c>
      <c r="D185" s="11" t="n">
        <v>1</v>
      </c>
      <c r="E185" s="11" t="n">
        <v>1</v>
      </c>
      <c r="F185" s="12" t="n">
        <v>22580.5</v>
      </c>
      <c r="G185" s="11" t="s">
        <v>243</v>
      </c>
      <c r="H185" s="11" t="s">
        <v>244</v>
      </c>
      <c r="I185" s="12" t="n">
        <f aca="false">IF(ISNUMBER(C185),F185-C185,"n/a")</f>
        <v>0</v>
      </c>
    </row>
    <row r="186" customFormat="false" ht="15" hidden="false" customHeight="false" outlineLevel="0" collapsed="false">
      <c r="A186" s="11" t="s">
        <v>441</v>
      </c>
      <c r="B186" s="11" t="s">
        <v>242</v>
      </c>
      <c r="C186" s="12" t="n">
        <v>38858.28</v>
      </c>
      <c r="D186" s="11" t="n">
        <v>1</v>
      </c>
      <c r="E186" s="11" t="n">
        <v>1</v>
      </c>
      <c r="F186" s="12" t="n">
        <v>38858.28</v>
      </c>
      <c r="G186" s="11" t="s">
        <v>243</v>
      </c>
      <c r="H186" s="11" t="s">
        <v>244</v>
      </c>
      <c r="I186" s="12" t="n">
        <f aca="false">IF(ISNUMBER(C186),F186-C186,"n/a")</f>
        <v>0</v>
      </c>
    </row>
    <row r="187" customFormat="false" ht="15" hidden="false" customHeight="false" outlineLevel="0" collapsed="false">
      <c r="A187" s="11" t="s">
        <v>442</v>
      </c>
      <c r="B187" s="11" t="s">
        <v>250</v>
      </c>
      <c r="C187" s="12" t="n">
        <v>28021.66</v>
      </c>
      <c r="D187" s="11" t="n">
        <v>1</v>
      </c>
      <c r="E187" s="11" t="n">
        <v>1</v>
      </c>
      <c r="F187" s="12" t="n">
        <v>34081.99</v>
      </c>
      <c r="G187" s="11" t="s">
        <v>243</v>
      </c>
      <c r="H187" s="11" t="s">
        <v>253</v>
      </c>
      <c r="I187" s="12" t="n">
        <f aca="false">IF(ISNUMBER(C187),F187-C187,"n/a")</f>
        <v>6060.33</v>
      </c>
    </row>
    <row r="188" customFormat="false" ht="15" hidden="false" customHeight="false" outlineLevel="0" collapsed="false">
      <c r="A188" s="11" t="s">
        <v>443</v>
      </c>
      <c r="B188" s="11" t="s">
        <v>242</v>
      </c>
      <c r="C188" s="12" t="n">
        <v>118577.94</v>
      </c>
      <c r="D188" s="11" t="n">
        <v>1</v>
      </c>
      <c r="E188" s="11" t="n">
        <v>1</v>
      </c>
      <c r="F188" s="12" t="n">
        <v>117460.38</v>
      </c>
      <c r="G188" s="11" t="s">
        <v>243</v>
      </c>
      <c r="H188" s="11" t="s">
        <v>251</v>
      </c>
      <c r="I188" s="12" t="n">
        <f aca="false">IF(ISNUMBER(C188),F188-C188,"n/a")</f>
        <v>-1117.56</v>
      </c>
    </row>
    <row r="189" customFormat="false" ht="15" hidden="false" customHeight="false" outlineLevel="0" collapsed="false">
      <c r="A189" s="11" t="s">
        <v>444</v>
      </c>
      <c r="B189" s="11" t="s">
        <v>250</v>
      </c>
      <c r="C189" s="12" t="n">
        <v>112780.49</v>
      </c>
      <c r="D189" s="11" t="n">
        <v>1</v>
      </c>
      <c r="E189" s="11" t="n">
        <v>1</v>
      </c>
      <c r="F189" s="12" t="n">
        <v>112048.58</v>
      </c>
      <c r="G189" s="11" t="s">
        <v>243</v>
      </c>
      <c r="H189" s="11" t="s">
        <v>251</v>
      </c>
      <c r="I189" s="12" t="n">
        <f aca="false">IF(ISNUMBER(C189),F189-C189,"n/a")</f>
        <v>-731.910000000004</v>
      </c>
    </row>
    <row r="190" customFormat="false" ht="15" hidden="false" customHeight="false" outlineLevel="0" collapsed="false">
      <c r="A190" s="11" t="s">
        <v>445</v>
      </c>
      <c r="B190" s="11" t="s">
        <v>242</v>
      </c>
      <c r="C190" s="12" t="n">
        <v>96387.65</v>
      </c>
      <c r="D190" s="11" t="n">
        <v>1</v>
      </c>
      <c r="E190" s="11" t="n">
        <v>1</v>
      </c>
      <c r="F190" s="12" t="n">
        <v>48193.82</v>
      </c>
      <c r="G190" s="11" t="s">
        <v>243</v>
      </c>
      <c r="H190" s="11" t="s">
        <v>251</v>
      </c>
      <c r="I190" s="12" t="n">
        <f aca="false">IF(ISNUMBER(C190),F190-C190,"n/a")</f>
        <v>-48193.83</v>
      </c>
    </row>
    <row r="191" customFormat="false" ht="15" hidden="false" customHeight="false" outlineLevel="0" collapsed="false">
      <c r="A191" s="11" t="s">
        <v>446</v>
      </c>
      <c r="B191" s="11" t="s">
        <v>269</v>
      </c>
      <c r="C191" s="12" t="n">
        <v>152473.28</v>
      </c>
      <c r="D191" s="11" t="n">
        <v>1</v>
      </c>
      <c r="E191" s="11" t="n">
        <v>1</v>
      </c>
      <c r="F191" s="12" t="n">
        <v>152473.28</v>
      </c>
      <c r="G191" s="11" t="s">
        <v>243</v>
      </c>
      <c r="H191" s="11" t="s">
        <v>244</v>
      </c>
      <c r="I191" s="12" t="n">
        <f aca="false">IF(ISNUMBER(C191),F191-C191,"n/a")</f>
        <v>0</v>
      </c>
    </row>
    <row r="192" customFormat="false" ht="15" hidden="false" customHeight="false" outlineLevel="0" collapsed="false">
      <c r="A192" s="11" t="s">
        <v>447</v>
      </c>
      <c r="B192" s="11" t="s">
        <v>250</v>
      </c>
      <c r="C192" s="12" t="n">
        <v>39169.14</v>
      </c>
      <c r="D192" s="11" t="n">
        <v>1</v>
      </c>
      <c r="E192" s="11" t="n">
        <v>0</v>
      </c>
      <c r="F192" s="12" t="n">
        <v>0</v>
      </c>
      <c r="G192" s="11" t="s">
        <v>250</v>
      </c>
      <c r="H192" s="11" t="s">
        <v>248</v>
      </c>
      <c r="I192" s="12" t="n">
        <f aca="false">IF(ISNUMBER(C192),F192-C192,"n/a")</f>
        <v>-39169.14</v>
      </c>
    </row>
    <row r="193" customFormat="false" ht="15" hidden="false" customHeight="false" outlineLevel="0" collapsed="false">
      <c r="A193" s="11" t="s">
        <v>448</v>
      </c>
      <c r="B193" s="11" t="s">
        <v>242</v>
      </c>
      <c r="C193" s="12" t="n">
        <v>129501.58</v>
      </c>
      <c r="D193" s="11" t="n">
        <v>1</v>
      </c>
      <c r="E193" s="11" t="n">
        <v>1</v>
      </c>
      <c r="F193" s="12" t="n">
        <v>129501.58</v>
      </c>
      <c r="G193" s="11" t="s">
        <v>243</v>
      </c>
      <c r="H193" s="11" t="s">
        <v>244</v>
      </c>
      <c r="I193" s="12" t="n">
        <f aca="false">IF(ISNUMBER(C193),F193-C193,"n/a")</f>
        <v>0</v>
      </c>
    </row>
    <row r="194" customFormat="false" ht="15" hidden="false" customHeight="false" outlineLevel="0" collapsed="false">
      <c r="A194" s="11" t="s">
        <v>449</v>
      </c>
      <c r="B194" s="11" t="s">
        <v>269</v>
      </c>
      <c r="C194" s="12" t="n">
        <v>68143.96</v>
      </c>
      <c r="D194" s="11" t="n">
        <v>1</v>
      </c>
      <c r="E194" s="11" t="n">
        <v>1</v>
      </c>
      <c r="F194" s="12" t="n">
        <v>88587.15</v>
      </c>
      <c r="G194" s="11" t="s">
        <v>243</v>
      </c>
      <c r="H194" s="11" t="s">
        <v>253</v>
      </c>
      <c r="I194" s="12" t="n">
        <f aca="false">IF(ISNUMBER(C194),F194-C194,"n/a")</f>
        <v>20443.19</v>
      </c>
    </row>
    <row r="195" customFormat="false" ht="15" hidden="false" customHeight="false" outlineLevel="0" collapsed="false">
      <c r="A195" s="11" t="s">
        <v>450</v>
      </c>
      <c r="B195" s="11" t="s">
        <v>246</v>
      </c>
      <c r="C195" s="12" t="n">
        <v>33974.88</v>
      </c>
      <c r="D195" s="11" t="n">
        <v>1</v>
      </c>
      <c r="E195" s="11" t="n">
        <v>0</v>
      </c>
      <c r="F195" s="12" t="n">
        <v>0</v>
      </c>
      <c r="G195" s="11" t="s">
        <v>266</v>
      </c>
      <c r="H195" s="11" t="s">
        <v>248</v>
      </c>
      <c r="I195" s="12" t="n">
        <f aca="false">IF(ISNUMBER(C195),F195-C195,"n/a")</f>
        <v>-33974.88</v>
      </c>
    </row>
    <row r="196" customFormat="false" ht="15" hidden="false" customHeight="false" outlineLevel="0" collapsed="false">
      <c r="A196" s="11" t="s">
        <v>451</v>
      </c>
      <c r="B196" s="11" t="s">
        <v>242</v>
      </c>
      <c r="C196" s="12" t="n">
        <v>13548.3</v>
      </c>
      <c r="D196" s="11" t="n">
        <v>1</v>
      </c>
      <c r="E196" s="11" t="n">
        <v>0</v>
      </c>
      <c r="F196" s="12" t="n">
        <v>0</v>
      </c>
      <c r="G196" s="11" t="s">
        <v>250</v>
      </c>
      <c r="H196" s="11" t="s">
        <v>248</v>
      </c>
      <c r="I196" s="12" t="n">
        <f aca="false">IF(ISNUMBER(C196),F196-C196,"n/a")</f>
        <v>-13548.3</v>
      </c>
    </row>
    <row r="197" customFormat="false" ht="15" hidden="false" customHeight="false" outlineLevel="0" collapsed="false">
      <c r="A197" s="11" t="s">
        <v>452</v>
      </c>
      <c r="B197" s="11" t="s">
        <v>246</v>
      </c>
      <c r="C197" s="12" t="n">
        <v>45158.28</v>
      </c>
      <c r="D197" s="11" t="n">
        <v>1</v>
      </c>
      <c r="E197" s="11" t="n">
        <v>1</v>
      </c>
      <c r="F197" s="12" t="n">
        <v>45158.28</v>
      </c>
      <c r="G197" s="11" t="s">
        <v>243</v>
      </c>
      <c r="H197" s="11" t="s">
        <v>255</v>
      </c>
      <c r="I197" s="12" t="n">
        <f aca="false">IF(ISNUMBER(C197),F197-C197,"n/a")</f>
        <v>0</v>
      </c>
    </row>
    <row r="198" customFormat="false" ht="15" hidden="false" customHeight="false" outlineLevel="0" collapsed="false">
      <c r="A198" s="11" t="s">
        <v>453</v>
      </c>
      <c r="B198" s="11" t="s">
        <v>246</v>
      </c>
      <c r="C198" s="12" t="n">
        <v>233365.67</v>
      </c>
      <c r="D198" s="11" t="n">
        <v>1</v>
      </c>
      <c r="E198" s="11" t="n">
        <v>0</v>
      </c>
      <c r="F198" s="12" t="n">
        <v>0</v>
      </c>
      <c r="G198" s="11" t="s">
        <v>247</v>
      </c>
      <c r="H198" s="11" t="s">
        <v>248</v>
      </c>
      <c r="I198" s="12" t="n">
        <f aca="false">IF(ISNUMBER(C198),F198-C198,"n/a")</f>
        <v>-233365.67</v>
      </c>
    </row>
    <row r="199" customFormat="false" ht="15" hidden="false" customHeight="false" outlineLevel="0" collapsed="false">
      <c r="A199" s="11" t="s">
        <v>454</v>
      </c>
      <c r="B199" s="11" t="s">
        <v>242</v>
      </c>
      <c r="C199" s="12" t="n">
        <v>217241.53</v>
      </c>
      <c r="D199" s="11" t="n">
        <v>1</v>
      </c>
      <c r="E199" s="11" t="n">
        <v>1</v>
      </c>
      <c r="F199" s="12" t="n">
        <v>217241.53</v>
      </c>
      <c r="G199" s="11" t="s">
        <v>243</v>
      </c>
      <c r="H199" s="11" t="s">
        <v>244</v>
      </c>
      <c r="I199" s="12" t="n">
        <f aca="false">IF(ISNUMBER(C199),F199-C199,"n/a")</f>
        <v>0</v>
      </c>
    </row>
    <row r="200" customFormat="false" ht="15" hidden="false" customHeight="false" outlineLevel="0" collapsed="false">
      <c r="A200" s="11" t="s">
        <v>455</v>
      </c>
      <c r="B200" s="11" t="s">
        <v>242</v>
      </c>
      <c r="C200" s="12" t="n">
        <v>82240.62</v>
      </c>
      <c r="D200" s="11" t="n">
        <v>1</v>
      </c>
      <c r="E200" s="11" t="n">
        <v>1</v>
      </c>
      <c r="F200" s="12" t="n">
        <v>82240.62</v>
      </c>
      <c r="G200" s="11" t="s">
        <v>243</v>
      </c>
      <c r="H200" s="11" t="s">
        <v>244</v>
      </c>
      <c r="I200" s="12" t="n">
        <f aca="false">IF(ISNUMBER(C200),F200-C200,"n/a")</f>
        <v>0</v>
      </c>
    </row>
    <row r="201" customFormat="false" ht="15" hidden="false" customHeight="false" outlineLevel="0" collapsed="false">
      <c r="A201" s="11" t="s">
        <v>456</v>
      </c>
      <c r="B201" s="11" t="s">
        <v>242</v>
      </c>
      <c r="C201" s="12" t="n">
        <v>75515.41</v>
      </c>
      <c r="D201" s="11" t="n">
        <v>1</v>
      </c>
      <c r="E201" s="11" t="n">
        <v>1</v>
      </c>
      <c r="F201" s="12" t="n">
        <v>86842.72</v>
      </c>
      <c r="G201" s="11" t="s">
        <v>243</v>
      </c>
      <c r="H201" s="11" t="s">
        <v>253</v>
      </c>
      <c r="I201" s="12" t="n">
        <f aca="false">IF(ISNUMBER(C201),F201-C201,"n/a")</f>
        <v>11327.31</v>
      </c>
    </row>
    <row r="202" customFormat="false" ht="15" hidden="false" customHeight="false" outlineLevel="0" collapsed="false">
      <c r="A202" s="11" t="s">
        <v>457</v>
      </c>
      <c r="B202" s="11" t="s">
        <v>242</v>
      </c>
      <c r="C202" s="12" t="n">
        <v>92182.63</v>
      </c>
      <c r="D202" s="11" t="n">
        <v>1</v>
      </c>
      <c r="E202" s="11" t="n">
        <v>1</v>
      </c>
      <c r="F202" s="12" t="n">
        <v>46091.32</v>
      </c>
      <c r="G202" s="11" t="s">
        <v>243</v>
      </c>
      <c r="H202" s="11" t="s">
        <v>251</v>
      </c>
      <c r="I202" s="12" t="n">
        <f aca="false">IF(ISNUMBER(C202),F202-C202,"n/a")</f>
        <v>-46091.31</v>
      </c>
    </row>
    <row r="203" customFormat="false" ht="15" hidden="false" customHeight="false" outlineLevel="0" collapsed="false">
      <c r="A203" s="11" t="s">
        <v>458</v>
      </c>
      <c r="B203" s="11" t="s">
        <v>242</v>
      </c>
      <c r="C203" s="12" t="n">
        <v>19553.09</v>
      </c>
      <c r="D203" s="11" t="n">
        <v>1</v>
      </c>
      <c r="E203" s="11" t="n">
        <v>1</v>
      </c>
      <c r="F203" s="12" t="n">
        <v>19553.09</v>
      </c>
      <c r="G203" s="11" t="s">
        <v>243</v>
      </c>
      <c r="H203" s="11" t="s">
        <v>244</v>
      </c>
      <c r="I203" s="12" t="n">
        <f aca="false">IF(ISNUMBER(C203),F203-C203,"n/a")</f>
        <v>0</v>
      </c>
    </row>
    <row r="204" customFormat="false" ht="15" hidden="false" customHeight="false" outlineLevel="0" collapsed="false">
      <c r="A204" s="11" t="s">
        <v>459</v>
      </c>
      <c r="B204" s="11" t="s">
        <v>242</v>
      </c>
      <c r="C204" s="12" t="n">
        <v>158899.79</v>
      </c>
      <c r="D204" s="11" t="n">
        <v>1</v>
      </c>
      <c r="E204" s="11" t="n">
        <v>1</v>
      </c>
      <c r="F204" s="12" t="n">
        <v>333060.9</v>
      </c>
      <c r="G204" s="11" t="s">
        <v>243</v>
      </c>
      <c r="H204" s="11" t="s">
        <v>253</v>
      </c>
      <c r="I204" s="12" t="n">
        <f aca="false">IF(ISNUMBER(C204),F204-C204,"n/a")</f>
        <v>174161.11</v>
      </c>
    </row>
    <row r="205" customFormat="false" ht="15" hidden="false" customHeight="false" outlineLevel="0" collapsed="false">
      <c r="A205" s="11" t="s">
        <v>460</v>
      </c>
      <c r="B205" s="11" t="s">
        <v>250</v>
      </c>
      <c r="C205" s="12" t="n">
        <v>66419.89</v>
      </c>
      <c r="D205" s="11" t="n">
        <v>1</v>
      </c>
      <c r="E205" s="11" t="n">
        <v>0</v>
      </c>
      <c r="F205" s="12" t="n">
        <v>0</v>
      </c>
      <c r="G205" s="11" t="s">
        <v>250</v>
      </c>
      <c r="H205" s="11" t="s">
        <v>248</v>
      </c>
      <c r="I205" s="12" t="n">
        <f aca="false">IF(ISNUMBER(C205),F205-C205,"n/a")</f>
        <v>-66419.89</v>
      </c>
    </row>
    <row r="206" customFormat="false" ht="15" hidden="false" customHeight="false" outlineLevel="0" collapsed="false">
      <c r="A206" s="11" t="s">
        <v>461</v>
      </c>
      <c r="B206" s="11" t="s">
        <v>269</v>
      </c>
      <c r="C206" s="12" t="n">
        <v>69199.48</v>
      </c>
      <c r="D206" s="11" t="n">
        <v>1</v>
      </c>
      <c r="E206" s="11" t="n">
        <v>1</v>
      </c>
      <c r="F206" s="12" t="n">
        <v>69199.48</v>
      </c>
      <c r="G206" s="11" t="s">
        <v>243</v>
      </c>
      <c r="H206" s="11" t="s">
        <v>244</v>
      </c>
      <c r="I206" s="12" t="n">
        <f aca="false">IF(ISNUMBER(C206),F206-C206,"n/a")</f>
        <v>0</v>
      </c>
    </row>
    <row r="207" customFormat="false" ht="15" hidden="false" customHeight="false" outlineLevel="0" collapsed="false">
      <c r="A207" s="11" t="s">
        <v>462</v>
      </c>
      <c r="B207" s="11" t="s">
        <v>269</v>
      </c>
      <c r="C207" s="12" t="n">
        <v>106990.92</v>
      </c>
      <c r="D207" s="11" t="n">
        <v>1</v>
      </c>
      <c r="E207" s="11" t="n">
        <v>1</v>
      </c>
      <c r="F207" s="12" t="n">
        <v>106990.92</v>
      </c>
      <c r="G207" s="11" t="s">
        <v>243</v>
      </c>
      <c r="H207" s="11" t="s">
        <v>244</v>
      </c>
      <c r="I207" s="12" t="n">
        <f aca="false">IF(ISNUMBER(C207),F207-C207,"n/a")</f>
        <v>0</v>
      </c>
    </row>
    <row r="208" customFormat="false" ht="15" hidden="false" customHeight="false" outlineLevel="0" collapsed="false">
      <c r="A208" s="11" t="s">
        <v>463</v>
      </c>
      <c r="B208" s="11" t="s">
        <v>246</v>
      </c>
      <c r="C208" s="12" t="n">
        <v>61320.42</v>
      </c>
      <c r="D208" s="11" t="n">
        <v>1</v>
      </c>
      <c r="E208" s="11" t="n">
        <v>0</v>
      </c>
      <c r="F208" s="12" t="n">
        <v>0</v>
      </c>
      <c r="G208" s="11" t="s">
        <v>266</v>
      </c>
      <c r="H208" s="11" t="s">
        <v>248</v>
      </c>
      <c r="I208" s="12" t="n">
        <f aca="false">IF(ISNUMBER(C208),F208-C208,"n/a")</f>
        <v>-61320.42</v>
      </c>
    </row>
    <row r="209" customFormat="false" ht="15" hidden="false" customHeight="false" outlineLevel="0" collapsed="false">
      <c r="A209" s="11" t="s">
        <v>464</v>
      </c>
      <c r="B209" s="11" t="s">
        <v>269</v>
      </c>
      <c r="C209" s="12" t="n">
        <v>69278.72</v>
      </c>
      <c r="D209" s="11" t="n">
        <v>1</v>
      </c>
      <c r="E209" s="11" t="n">
        <v>0</v>
      </c>
      <c r="F209" s="12" t="n">
        <v>0</v>
      </c>
      <c r="G209" s="11" t="s">
        <v>250</v>
      </c>
      <c r="H209" s="11" t="s">
        <v>248</v>
      </c>
      <c r="I209" s="12" t="n">
        <f aca="false">IF(ISNUMBER(C209),F209-C209,"n/a")</f>
        <v>-69278.72</v>
      </c>
    </row>
    <row r="210" customFormat="false" ht="15" hidden="false" customHeight="false" outlineLevel="0" collapsed="false">
      <c r="A210" s="11" t="s">
        <v>465</v>
      </c>
      <c r="B210" s="11" t="s">
        <v>242</v>
      </c>
      <c r="C210" s="12" t="n">
        <v>47971.68</v>
      </c>
      <c r="D210" s="11" t="n">
        <v>1</v>
      </c>
      <c r="E210" s="11" t="n">
        <v>0</v>
      </c>
      <c r="F210" s="12" t="n">
        <v>0</v>
      </c>
      <c r="G210" s="11" t="s">
        <v>266</v>
      </c>
      <c r="H210" s="11" t="s">
        <v>248</v>
      </c>
      <c r="I210" s="12" t="n">
        <f aca="false">IF(ISNUMBER(C210),F210-C210,"n/a")</f>
        <v>-47971.68</v>
      </c>
    </row>
    <row r="211" customFormat="false" ht="15" hidden="false" customHeight="false" outlineLevel="0" collapsed="false">
      <c r="A211" s="11" t="s">
        <v>466</v>
      </c>
      <c r="B211" s="11" t="s">
        <v>269</v>
      </c>
      <c r="C211" s="12" t="n">
        <v>85365.35</v>
      </c>
      <c r="D211" s="11" t="n">
        <v>1</v>
      </c>
      <c r="E211" s="11" t="n">
        <v>1</v>
      </c>
      <c r="F211" s="12" t="n">
        <v>85365.34</v>
      </c>
      <c r="G211" s="11" t="s">
        <v>243</v>
      </c>
      <c r="H211" s="11" t="s">
        <v>244</v>
      </c>
      <c r="I211" s="12" t="n">
        <f aca="false">IF(ISNUMBER(C211),F211-C211,"n/a")</f>
        <v>-0.00999999999476131</v>
      </c>
    </row>
    <row r="212" customFormat="false" ht="15" hidden="false" customHeight="false" outlineLevel="0" collapsed="false">
      <c r="A212" s="11" t="s">
        <v>467</v>
      </c>
      <c r="B212" s="11" t="s">
        <v>242</v>
      </c>
      <c r="C212" s="12" t="n">
        <v>65935.38</v>
      </c>
      <c r="D212" s="11" t="n">
        <v>1</v>
      </c>
      <c r="E212" s="11" t="n">
        <v>0</v>
      </c>
      <c r="F212" s="12" t="n">
        <v>0</v>
      </c>
      <c r="G212" s="11" t="s">
        <v>250</v>
      </c>
      <c r="H212" s="11" t="s">
        <v>248</v>
      </c>
      <c r="I212" s="12" t="n">
        <f aca="false">IF(ISNUMBER(C212),F212-C212,"n/a")</f>
        <v>-65935.38</v>
      </c>
    </row>
    <row r="213" customFormat="false" ht="15" hidden="false" customHeight="false" outlineLevel="0" collapsed="false">
      <c r="A213" s="11" t="s">
        <v>468</v>
      </c>
      <c r="B213" s="11" t="s">
        <v>242</v>
      </c>
      <c r="C213" s="12" t="n">
        <v>100782.9</v>
      </c>
      <c r="D213" s="11" t="n">
        <v>1</v>
      </c>
      <c r="E213" s="11" t="n">
        <v>1</v>
      </c>
      <c r="F213" s="12" t="n">
        <v>50391.46</v>
      </c>
      <c r="G213" s="11" t="s">
        <v>243</v>
      </c>
      <c r="H213" s="11" t="s">
        <v>251</v>
      </c>
      <c r="I213" s="12" t="n">
        <f aca="false">IF(ISNUMBER(C213),F213-C213,"n/a")</f>
        <v>-50391.44</v>
      </c>
    </row>
    <row r="214" customFormat="false" ht="15" hidden="false" customHeight="false" outlineLevel="0" collapsed="false">
      <c r="A214" s="11" t="s">
        <v>469</v>
      </c>
      <c r="B214" s="11" t="s">
        <v>242</v>
      </c>
      <c r="C214" s="12" t="n">
        <v>108285.33</v>
      </c>
      <c r="D214" s="11" t="n">
        <v>1</v>
      </c>
      <c r="E214" s="11" t="n">
        <v>1</v>
      </c>
      <c r="F214" s="12" t="n">
        <v>75706.13</v>
      </c>
      <c r="G214" s="11" t="s">
        <v>243</v>
      </c>
      <c r="H214" s="11" t="s">
        <v>251</v>
      </c>
      <c r="I214" s="12" t="n">
        <f aca="false">IF(ISNUMBER(C214),F214-C214,"n/a")</f>
        <v>-32579.2</v>
      </c>
    </row>
    <row r="215" customFormat="false" ht="15" hidden="false" customHeight="false" outlineLevel="0" collapsed="false">
      <c r="A215" s="11" t="s">
        <v>470</v>
      </c>
      <c r="B215" s="11" t="s">
        <v>250</v>
      </c>
      <c r="C215" s="12" t="n">
        <v>33891.3</v>
      </c>
      <c r="D215" s="11" t="n">
        <v>1</v>
      </c>
      <c r="E215" s="11" t="n">
        <v>1</v>
      </c>
      <c r="F215" s="12" t="n">
        <v>33891.3</v>
      </c>
      <c r="G215" s="11" t="s">
        <v>243</v>
      </c>
      <c r="H215" s="11" t="s">
        <v>244</v>
      </c>
      <c r="I215" s="12" t="n">
        <f aca="false">IF(ISNUMBER(C215),F215-C215,"n/a")</f>
        <v>0</v>
      </c>
    </row>
    <row r="216" customFormat="false" ht="15" hidden="false" customHeight="false" outlineLevel="0" collapsed="false">
      <c r="A216" s="11" t="s">
        <v>471</v>
      </c>
      <c r="B216" s="11" t="s">
        <v>242</v>
      </c>
      <c r="C216" s="12" t="n">
        <v>147563.76</v>
      </c>
      <c r="D216" s="11" t="n">
        <v>1</v>
      </c>
      <c r="E216" s="11" t="n">
        <v>1</v>
      </c>
      <c r="F216" s="12" t="n">
        <v>147563.76</v>
      </c>
      <c r="G216" s="11" t="s">
        <v>243</v>
      </c>
      <c r="H216" s="11" t="s">
        <v>244</v>
      </c>
      <c r="I216" s="12" t="n">
        <f aca="false">IF(ISNUMBER(C216),F216-C216,"n/a")</f>
        <v>0</v>
      </c>
    </row>
    <row r="217" customFormat="false" ht="15" hidden="false" customHeight="false" outlineLevel="0" collapsed="false">
      <c r="A217" s="11" t="s">
        <v>472</v>
      </c>
      <c r="B217" s="11" t="s">
        <v>250</v>
      </c>
      <c r="C217" s="12" t="n">
        <v>102888.72</v>
      </c>
      <c r="D217" s="11" t="n">
        <v>1</v>
      </c>
      <c r="E217" s="11" t="n">
        <v>1</v>
      </c>
      <c r="F217" s="12" t="n">
        <v>51444.36</v>
      </c>
      <c r="G217" s="11" t="s">
        <v>243</v>
      </c>
      <c r="H217" s="11" t="s">
        <v>251</v>
      </c>
      <c r="I217" s="12" t="n">
        <f aca="false">IF(ISNUMBER(C217),F217-C217,"n/a")</f>
        <v>-51444.36</v>
      </c>
    </row>
    <row r="218" customFormat="false" ht="15" hidden="false" customHeight="false" outlineLevel="0" collapsed="false">
      <c r="A218" s="11" t="s">
        <v>473</v>
      </c>
      <c r="B218" s="11" t="s">
        <v>242</v>
      </c>
      <c r="C218" s="12" t="n">
        <v>12141.58</v>
      </c>
      <c r="D218" s="11" t="n">
        <v>1</v>
      </c>
      <c r="E218" s="11" t="n">
        <v>0</v>
      </c>
      <c r="F218" s="12" t="n">
        <v>0</v>
      </c>
      <c r="G218" s="11" t="s">
        <v>247</v>
      </c>
      <c r="H218" s="11" t="s">
        <v>248</v>
      </c>
      <c r="I218" s="12" t="n">
        <f aca="false">IF(ISNUMBER(C218),F218-C218,"n/a")</f>
        <v>-12141.58</v>
      </c>
    </row>
    <row r="219" customFormat="false" ht="15" hidden="false" customHeight="false" outlineLevel="0" collapsed="false">
      <c r="A219" s="11" t="s">
        <v>474</v>
      </c>
      <c r="B219" s="11" t="s">
        <v>242</v>
      </c>
      <c r="C219" s="12" t="n">
        <v>52516.55</v>
      </c>
      <c r="D219" s="11" t="n">
        <v>1</v>
      </c>
      <c r="E219" s="11" t="n">
        <v>1</v>
      </c>
      <c r="F219" s="12" t="n">
        <v>52516.55</v>
      </c>
      <c r="G219" s="11" t="s">
        <v>243</v>
      </c>
      <c r="H219" s="11" t="s">
        <v>244</v>
      </c>
      <c r="I219" s="12" t="n">
        <f aca="false">IF(ISNUMBER(C219),F219-C219,"n/a")</f>
        <v>0</v>
      </c>
    </row>
    <row r="220" customFormat="false" ht="15" hidden="false" customHeight="false" outlineLevel="0" collapsed="false">
      <c r="A220" s="11" t="s">
        <v>475</v>
      </c>
      <c r="B220" s="11" t="s">
        <v>246</v>
      </c>
      <c r="C220" s="12" t="n">
        <v>200146.25</v>
      </c>
      <c r="D220" s="11" t="n">
        <v>1</v>
      </c>
      <c r="E220" s="11" t="n">
        <v>1</v>
      </c>
      <c r="F220" s="12" t="n">
        <v>100073.12</v>
      </c>
      <c r="G220" s="11" t="s">
        <v>243</v>
      </c>
      <c r="H220" s="11" t="s">
        <v>278</v>
      </c>
      <c r="I220" s="12" t="n">
        <f aca="false">IF(ISNUMBER(C220),F220-C220,"n/a")</f>
        <v>-100073.13</v>
      </c>
    </row>
    <row r="221" customFormat="false" ht="15" hidden="false" customHeight="false" outlineLevel="0" collapsed="false">
      <c r="A221" s="11" t="s">
        <v>476</v>
      </c>
      <c r="B221" s="11" t="s">
        <v>242</v>
      </c>
      <c r="C221" s="12" t="n">
        <v>64502.16</v>
      </c>
      <c r="D221" s="11" t="n">
        <v>1</v>
      </c>
      <c r="E221" s="11" t="n">
        <v>0</v>
      </c>
      <c r="F221" s="12" t="n">
        <v>0</v>
      </c>
      <c r="G221" s="11" t="s">
        <v>247</v>
      </c>
      <c r="H221" s="11" t="s">
        <v>248</v>
      </c>
      <c r="I221" s="12" t="n">
        <f aca="false">IF(ISNUMBER(C221),F221-C221,"n/a")</f>
        <v>-64502.16</v>
      </c>
    </row>
    <row r="222" customFormat="false" ht="15" hidden="false" customHeight="false" outlineLevel="0" collapsed="false">
      <c r="A222" s="11" t="s">
        <v>477</v>
      </c>
      <c r="B222" s="11" t="s">
        <v>269</v>
      </c>
      <c r="C222" s="12" t="n">
        <v>59964.6</v>
      </c>
      <c r="D222" s="11" t="n">
        <v>1</v>
      </c>
      <c r="E222" s="11" t="n">
        <v>1</v>
      </c>
      <c r="F222" s="12" t="n">
        <v>59964.6</v>
      </c>
      <c r="G222" s="11" t="s">
        <v>243</v>
      </c>
      <c r="H222" s="11" t="s">
        <v>244</v>
      </c>
      <c r="I222" s="12" t="n">
        <f aca="false">IF(ISNUMBER(C222),F222-C222,"n/a")</f>
        <v>0</v>
      </c>
    </row>
    <row r="223" customFormat="false" ht="15" hidden="false" customHeight="false" outlineLevel="0" collapsed="false">
      <c r="A223" s="11" t="s">
        <v>478</v>
      </c>
      <c r="B223" s="11" t="s">
        <v>246</v>
      </c>
      <c r="C223" s="12" t="n">
        <v>135868.77</v>
      </c>
      <c r="D223" s="11" t="n">
        <v>1</v>
      </c>
      <c r="E223" s="11" t="n">
        <v>1</v>
      </c>
      <c r="F223" s="12" t="n">
        <v>135868.77</v>
      </c>
      <c r="G223" s="11" t="s">
        <v>243</v>
      </c>
      <c r="H223" s="11" t="s">
        <v>255</v>
      </c>
      <c r="I223" s="12" t="n">
        <f aca="false">IF(ISNUMBER(C223),F223-C223,"n/a")</f>
        <v>0</v>
      </c>
    </row>
    <row r="224" customFormat="false" ht="15" hidden="false" customHeight="false" outlineLevel="0" collapsed="false">
      <c r="A224" s="11" t="s">
        <v>479</v>
      </c>
      <c r="B224" s="11" t="s">
        <v>250</v>
      </c>
      <c r="C224" s="12" t="n">
        <v>217054.78</v>
      </c>
      <c r="D224" s="11" t="n">
        <v>1</v>
      </c>
      <c r="E224" s="11" t="n">
        <v>0</v>
      </c>
      <c r="F224" s="12" t="n">
        <v>0</v>
      </c>
      <c r="G224" s="11" t="s">
        <v>247</v>
      </c>
      <c r="H224" s="11" t="s">
        <v>248</v>
      </c>
      <c r="I224" s="12" t="n">
        <f aca="false">IF(ISNUMBER(C224),F224-C224,"n/a")</f>
        <v>-217054.78</v>
      </c>
    </row>
    <row r="225" customFormat="false" ht="15" hidden="false" customHeight="false" outlineLevel="0" collapsed="false">
      <c r="A225" s="11" t="s">
        <v>480</v>
      </c>
      <c r="B225" s="11" t="s">
        <v>246</v>
      </c>
      <c r="C225" s="12" t="n">
        <v>121814.2</v>
      </c>
      <c r="D225" s="11" t="n">
        <v>1</v>
      </c>
      <c r="E225" s="11" t="n">
        <v>1</v>
      </c>
      <c r="F225" s="12" t="n">
        <v>121814.2</v>
      </c>
      <c r="G225" s="11" t="s">
        <v>243</v>
      </c>
      <c r="H225" s="11" t="s">
        <v>255</v>
      </c>
      <c r="I225" s="12" t="n">
        <f aca="false">IF(ISNUMBER(C225),F225-C225,"n/a")</f>
        <v>0</v>
      </c>
    </row>
    <row r="226" customFormat="false" ht="15" hidden="false" customHeight="false" outlineLevel="0" collapsed="false">
      <c r="A226" s="11" t="s">
        <v>481</v>
      </c>
      <c r="B226" s="11" t="s">
        <v>269</v>
      </c>
      <c r="C226" s="12" t="n">
        <v>90962.95</v>
      </c>
      <c r="D226" s="11" t="n">
        <v>1</v>
      </c>
      <c r="E226" s="11" t="n">
        <v>1</v>
      </c>
      <c r="F226" s="12" t="n">
        <v>90962.95</v>
      </c>
      <c r="G226" s="11" t="s">
        <v>243</v>
      </c>
      <c r="H226" s="11" t="s">
        <v>244</v>
      </c>
      <c r="I226" s="12" t="n">
        <f aca="false">IF(ISNUMBER(C226),F226-C226,"n/a")</f>
        <v>0</v>
      </c>
    </row>
    <row r="227" customFormat="false" ht="15" hidden="false" customHeight="false" outlineLevel="0" collapsed="false">
      <c r="A227" s="11" t="s">
        <v>482</v>
      </c>
      <c r="B227" s="11" t="s">
        <v>269</v>
      </c>
      <c r="C227" s="12" t="n">
        <v>180681.26</v>
      </c>
      <c r="D227" s="11" t="n">
        <v>1</v>
      </c>
      <c r="E227" s="11" t="n">
        <v>1</v>
      </c>
      <c r="F227" s="12" t="n">
        <v>132799.24</v>
      </c>
      <c r="G227" s="11" t="s">
        <v>243</v>
      </c>
      <c r="H227" s="11" t="s">
        <v>251</v>
      </c>
      <c r="I227" s="12" t="n">
        <f aca="false">IF(ISNUMBER(C227),F227-C227,"n/a")</f>
        <v>-47882.02</v>
      </c>
    </row>
    <row r="228" customFormat="false" ht="15" hidden="false" customHeight="false" outlineLevel="0" collapsed="false">
      <c r="A228" s="11" t="s">
        <v>483</v>
      </c>
      <c r="B228" s="11" t="s">
        <v>242</v>
      </c>
      <c r="C228" s="12" t="n">
        <v>136898.84</v>
      </c>
      <c r="D228" s="11" t="n">
        <v>1</v>
      </c>
      <c r="E228" s="11" t="n">
        <v>1</v>
      </c>
      <c r="F228" s="12" t="n">
        <v>136898.84</v>
      </c>
      <c r="G228" s="11" t="s">
        <v>243</v>
      </c>
      <c r="H228" s="11" t="s">
        <v>244</v>
      </c>
      <c r="I228" s="12" t="n">
        <f aca="false">IF(ISNUMBER(C228),F228-C228,"n/a")</f>
        <v>0</v>
      </c>
    </row>
    <row r="229" customFormat="false" ht="15" hidden="false" customHeight="false" outlineLevel="0" collapsed="false">
      <c r="A229" s="11" t="s">
        <v>484</v>
      </c>
      <c r="B229" s="11" t="s">
        <v>242</v>
      </c>
      <c r="C229" s="12" t="n">
        <v>18172.85</v>
      </c>
      <c r="D229" s="11" t="n">
        <v>1</v>
      </c>
      <c r="E229" s="11" t="n">
        <v>0</v>
      </c>
      <c r="F229" s="12" t="n">
        <v>0</v>
      </c>
      <c r="G229" s="11" t="s">
        <v>247</v>
      </c>
      <c r="H229" s="11" t="s">
        <v>248</v>
      </c>
      <c r="I229" s="12" t="n">
        <f aca="false">IF(ISNUMBER(C229),F229-C229,"n/a")</f>
        <v>-18172.85</v>
      </c>
    </row>
    <row r="230" customFormat="false" ht="15" hidden="false" customHeight="false" outlineLevel="0" collapsed="false">
      <c r="A230" s="11" t="s">
        <v>485</v>
      </c>
      <c r="B230" s="11" t="s">
        <v>242</v>
      </c>
      <c r="C230" s="12" t="n">
        <v>75948.54</v>
      </c>
      <c r="D230" s="11" t="n">
        <v>1</v>
      </c>
      <c r="E230" s="11" t="n">
        <v>1</v>
      </c>
      <c r="F230" s="12" t="n">
        <v>75948.54</v>
      </c>
      <c r="G230" s="11" t="s">
        <v>243</v>
      </c>
      <c r="H230" s="11" t="s">
        <v>244</v>
      </c>
      <c r="I230" s="12" t="n">
        <f aca="false">IF(ISNUMBER(C230),F230-C230,"n/a")</f>
        <v>0</v>
      </c>
    </row>
    <row r="231" customFormat="false" ht="15" hidden="false" customHeight="false" outlineLevel="0" collapsed="false">
      <c r="A231" s="11" t="s">
        <v>486</v>
      </c>
      <c r="B231" s="11" t="s">
        <v>269</v>
      </c>
      <c r="C231" s="12" t="n">
        <v>43528.28</v>
      </c>
      <c r="D231" s="11" t="n">
        <v>1</v>
      </c>
      <c r="E231" s="11" t="n">
        <v>1</v>
      </c>
      <c r="F231" s="12" t="n">
        <v>26835.38</v>
      </c>
      <c r="G231" s="11" t="s">
        <v>243</v>
      </c>
      <c r="H231" s="11" t="s">
        <v>251</v>
      </c>
      <c r="I231" s="12" t="n">
        <f aca="false">IF(ISNUMBER(C231),F231-C231,"n/a")</f>
        <v>-16692.9</v>
      </c>
    </row>
    <row r="232" customFormat="false" ht="15" hidden="false" customHeight="false" outlineLevel="0" collapsed="false">
      <c r="A232" s="11" t="s">
        <v>487</v>
      </c>
      <c r="B232" s="11" t="s">
        <v>246</v>
      </c>
      <c r="C232" s="12" t="n">
        <v>22816.16</v>
      </c>
      <c r="D232" s="11" t="n">
        <v>1</v>
      </c>
      <c r="E232" s="11" t="n">
        <v>1</v>
      </c>
      <c r="F232" s="12" t="n">
        <v>33864.05</v>
      </c>
      <c r="G232" s="11" t="s">
        <v>243</v>
      </c>
      <c r="H232" s="11" t="s">
        <v>286</v>
      </c>
      <c r="I232" s="12" t="n">
        <f aca="false">IF(ISNUMBER(C232),F232-C232,"n/a")</f>
        <v>11047.89</v>
      </c>
    </row>
    <row r="233" customFormat="false" ht="15" hidden="false" customHeight="false" outlineLevel="0" collapsed="false">
      <c r="A233" s="11" t="s">
        <v>488</v>
      </c>
      <c r="B233" s="11" t="s">
        <v>246</v>
      </c>
      <c r="C233" s="12" t="n">
        <v>202906.52</v>
      </c>
      <c r="D233" s="11" t="n">
        <v>1</v>
      </c>
      <c r="E233" s="11" t="n">
        <v>1</v>
      </c>
      <c r="F233" s="12" t="n">
        <v>202906.52</v>
      </c>
      <c r="G233" s="11" t="s">
        <v>243</v>
      </c>
      <c r="H233" s="11" t="s">
        <v>255</v>
      </c>
      <c r="I233" s="12" t="n">
        <f aca="false">IF(ISNUMBER(C233),F233-C233,"n/a")</f>
        <v>0</v>
      </c>
    </row>
    <row r="234" customFormat="false" ht="15" hidden="false" customHeight="false" outlineLevel="0" collapsed="false">
      <c r="A234" s="11" t="s">
        <v>489</v>
      </c>
      <c r="B234" s="11" t="s">
        <v>250</v>
      </c>
      <c r="C234" s="12" t="n">
        <v>232807.42</v>
      </c>
      <c r="D234" s="11" t="n">
        <v>1</v>
      </c>
      <c r="E234" s="11" t="n">
        <v>0</v>
      </c>
      <c r="F234" s="12" t="n">
        <v>0</v>
      </c>
      <c r="G234" s="11" t="s">
        <v>266</v>
      </c>
      <c r="H234" s="11" t="s">
        <v>248</v>
      </c>
      <c r="I234" s="12" t="n">
        <f aca="false">IF(ISNUMBER(C234),F234-C234,"n/a")</f>
        <v>-232807.42</v>
      </c>
    </row>
    <row r="235" customFormat="false" ht="15" hidden="false" customHeight="false" outlineLevel="0" collapsed="false">
      <c r="A235" s="11" t="s">
        <v>490</v>
      </c>
      <c r="B235" s="11" t="s">
        <v>246</v>
      </c>
      <c r="C235" s="12" t="n">
        <v>27808.29</v>
      </c>
      <c r="D235" s="11" t="n">
        <v>1</v>
      </c>
      <c r="E235" s="11" t="n">
        <v>1</v>
      </c>
      <c r="F235" s="12" t="n">
        <v>27808.29</v>
      </c>
      <c r="G235" s="11" t="s">
        <v>243</v>
      </c>
      <c r="H235" s="11" t="s">
        <v>255</v>
      </c>
      <c r="I235" s="12" t="n">
        <f aca="false">IF(ISNUMBER(C235),F235-C235,"n/a")</f>
        <v>0</v>
      </c>
    </row>
    <row r="236" customFormat="false" ht="15" hidden="false" customHeight="false" outlineLevel="0" collapsed="false">
      <c r="A236" s="11" t="s">
        <v>491</v>
      </c>
      <c r="B236" s="11" t="s">
        <v>250</v>
      </c>
      <c r="C236" s="12" t="n">
        <v>79598</v>
      </c>
      <c r="D236" s="11" t="n">
        <v>1</v>
      </c>
      <c r="E236" s="11" t="n">
        <v>0</v>
      </c>
      <c r="F236" s="12" t="n">
        <v>0</v>
      </c>
      <c r="G236" s="11" t="s">
        <v>247</v>
      </c>
      <c r="H236" s="11" t="s">
        <v>248</v>
      </c>
      <c r="I236" s="12" t="n">
        <f aca="false">IF(ISNUMBER(C236),F236-C236,"n/a")</f>
        <v>-79598</v>
      </c>
    </row>
    <row r="237" customFormat="false" ht="15" hidden="false" customHeight="false" outlineLevel="0" collapsed="false">
      <c r="A237" s="11" t="s">
        <v>492</v>
      </c>
      <c r="B237" s="11" t="s">
        <v>242</v>
      </c>
      <c r="C237" s="12" t="n">
        <v>89899.8</v>
      </c>
      <c r="D237" s="11" t="n">
        <v>1</v>
      </c>
      <c r="E237" s="11" t="n">
        <v>1</v>
      </c>
      <c r="F237" s="12" t="n">
        <v>89899.8</v>
      </c>
      <c r="G237" s="11" t="s">
        <v>243</v>
      </c>
      <c r="H237" s="11" t="s">
        <v>244</v>
      </c>
      <c r="I237" s="12" t="n">
        <f aca="false">IF(ISNUMBER(C237),F237-C237,"n/a")</f>
        <v>0</v>
      </c>
    </row>
    <row r="238" customFormat="false" ht="15" hidden="false" customHeight="false" outlineLevel="0" collapsed="false">
      <c r="A238" s="11" t="s">
        <v>493</v>
      </c>
      <c r="B238" s="11" t="s">
        <v>269</v>
      </c>
      <c r="C238" s="12" t="n">
        <v>45144.5</v>
      </c>
      <c r="D238" s="11" t="n">
        <v>1</v>
      </c>
      <c r="E238" s="11" t="n">
        <v>1</v>
      </c>
      <c r="F238" s="12" t="n">
        <v>45144.5</v>
      </c>
      <c r="G238" s="11" t="s">
        <v>243</v>
      </c>
      <c r="H238" s="11" t="s">
        <v>244</v>
      </c>
      <c r="I238" s="12" t="n">
        <f aca="false">IF(ISNUMBER(C238),F238-C238,"n/a")</f>
        <v>0</v>
      </c>
    </row>
    <row r="239" customFormat="false" ht="15" hidden="false" customHeight="false" outlineLevel="0" collapsed="false">
      <c r="A239" s="11" t="s">
        <v>494</v>
      </c>
      <c r="B239" s="11" t="s">
        <v>269</v>
      </c>
      <c r="C239" s="12" t="n">
        <v>137682.78</v>
      </c>
      <c r="D239" s="11" t="n">
        <v>1</v>
      </c>
      <c r="E239" s="11" t="n">
        <v>0</v>
      </c>
      <c r="F239" s="12" t="n">
        <v>0</v>
      </c>
      <c r="G239" s="11" t="s">
        <v>266</v>
      </c>
      <c r="H239" s="11" t="s">
        <v>248</v>
      </c>
      <c r="I239" s="12" t="n">
        <f aca="false">IF(ISNUMBER(C239),F239-C239,"n/a")</f>
        <v>-137682.78</v>
      </c>
    </row>
    <row r="240" customFormat="false" ht="15" hidden="false" customHeight="false" outlineLevel="0" collapsed="false">
      <c r="A240" s="11" t="s">
        <v>495</v>
      </c>
      <c r="B240" s="11" t="s">
        <v>242</v>
      </c>
      <c r="C240" s="12" t="n">
        <v>46925.5</v>
      </c>
      <c r="D240" s="11" t="n">
        <v>1</v>
      </c>
      <c r="E240" s="11" t="n">
        <v>1</v>
      </c>
      <c r="F240" s="12" t="n">
        <v>46925.5</v>
      </c>
      <c r="G240" s="11" t="s">
        <v>243</v>
      </c>
      <c r="H240" s="11" t="s">
        <v>244</v>
      </c>
      <c r="I240" s="12" t="n">
        <f aca="false">IF(ISNUMBER(C240),F240-C240,"n/a")</f>
        <v>0</v>
      </c>
    </row>
    <row r="241" customFormat="false" ht="15" hidden="false" customHeight="false" outlineLevel="0" collapsed="false">
      <c r="A241" s="11" t="s">
        <v>496</v>
      </c>
      <c r="B241" s="11" t="s">
        <v>242</v>
      </c>
      <c r="C241" s="12" t="n">
        <v>49366.86</v>
      </c>
      <c r="D241" s="11" t="n">
        <v>1</v>
      </c>
      <c r="E241" s="11" t="n">
        <v>1</v>
      </c>
      <c r="F241" s="12" t="n">
        <v>64176.92</v>
      </c>
      <c r="G241" s="11" t="s">
        <v>243</v>
      </c>
      <c r="H241" s="11" t="s">
        <v>253</v>
      </c>
      <c r="I241" s="12" t="n">
        <f aca="false">IF(ISNUMBER(C241),F241-C241,"n/a")</f>
        <v>14810.06</v>
      </c>
    </row>
    <row r="242" customFormat="false" ht="15" hidden="false" customHeight="false" outlineLevel="0" collapsed="false">
      <c r="A242" s="11" t="s">
        <v>497</v>
      </c>
      <c r="B242" s="11" t="s">
        <v>246</v>
      </c>
      <c r="C242" s="12" t="n">
        <v>102751.95</v>
      </c>
      <c r="D242" s="11" t="n">
        <v>1</v>
      </c>
      <c r="E242" s="11" t="n">
        <v>1</v>
      </c>
      <c r="F242" s="12" t="n">
        <v>102751.95</v>
      </c>
      <c r="G242" s="11" t="s">
        <v>243</v>
      </c>
      <c r="H242" s="11" t="s">
        <v>255</v>
      </c>
      <c r="I242" s="12" t="n">
        <f aca="false">IF(ISNUMBER(C242),F242-C242,"n/a")</f>
        <v>0</v>
      </c>
    </row>
    <row r="243" customFormat="false" ht="15" hidden="false" customHeight="false" outlineLevel="0" collapsed="false">
      <c r="A243" s="11" t="s">
        <v>498</v>
      </c>
      <c r="B243" s="11" t="s">
        <v>242</v>
      </c>
      <c r="C243" s="12" t="n">
        <v>18422.85</v>
      </c>
      <c r="D243" s="11" t="n">
        <v>1</v>
      </c>
      <c r="E243" s="11" t="n">
        <v>1</v>
      </c>
      <c r="F243" s="12" t="n">
        <v>18422.85</v>
      </c>
      <c r="G243" s="11" t="s">
        <v>243</v>
      </c>
      <c r="H243" s="11" t="s">
        <v>244</v>
      </c>
      <c r="I243" s="12" t="n">
        <f aca="false">IF(ISNUMBER(C243),F243-C243,"n/a")</f>
        <v>0</v>
      </c>
    </row>
    <row r="244" customFormat="false" ht="15" hidden="false" customHeight="false" outlineLevel="0" collapsed="false">
      <c r="A244" s="11" t="s">
        <v>499</v>
      </c>
      <c r="B244" s="11" t="s">
        <v>242</v>
      </c>
      <c r="C244" s="12" t="n">
        <v>207124.25</v>
      </c>
      <c r="D244" s="11" t="n">
        <v>1</v>
      </c>
      <c r="E244" s="11" t="n">
        <v>1</v>
      </c>
      <c r="F244" s="12" t="n">
        <v>207124.25</v>
      </c>
      <c r="G244" s="11" t="s">
        <v>243</v>
      </c>
      <c r="H244" s="11" t="s">
        <v>244</v>
      </c>
      <c r="I244" s="12" t="n">
        <f aca="false">IF(ISNUMBER(C244),F244-C244,"n/a")</f>
        <v>0</v>
      </c>
    </row>
    <row r="245" customFormat="false" ht="15" hidden="false" customHeight="false" outlineLevel="0" collapsed="false">
      <c r="A245" s="11" t="s">
        <v>500</v>
      </c>
      <c r="B245" s="11" t="s">
        <v>242</v>
      </c>
      <c r="C245" s="12" t="n">
        <v>30581.95</v>
      </c>
      <c r="D245" s="11" t="n">
        <v>1</v>
      </c>
      <c r="E245" s="11" t="n">
        <v>1</v>
      </c>
      <c r="F245" s="12" t="n">
        <v>30581.95</v>
      </c>
      <c r="G245" s="11" t="s">
        <v>243</v>
      </c>
      <c r="H245" s="11" t="s">
        <v>244</v>
      </c>
      <c r="I245" s="12" t="n">
        <f aca="false">IF(ISNUMBER(C245),F245-C245,"n/a")</f>
        <v>0</v>
      </c>
    </row>
    <row r="246" customFormat="false" ht="15" hidden="false" customHeight="false" outlineLevel="0" collapsed="false">
      <c r="A246" s="11" t="s">
        <v>501</v>
      </c>
      <c r="B246" s="11" t="s">
        <v>246</v>
      </c>
      <c r="C246" s="12" t="n">
        <v>88437.15</v>
      </c>
      <c r="D246" s="11" t="n">
        <v>1</v>
      </c>
      <c r="E246" s="11" t="n">
        <v>1</v>
      </c>
      <c r="F246" s="12" t="n">
        <v>88437.15</v>
      </c>
      <c r="G246" s="11" t="s">
        <v>243</v>
      </c>
      <c r="H246" s="11" t="s">
        <v>255</v>
      </c>
      <c r="I246" s="12" t="n">
        <f aca="false">IF(ISNUMBER(C246),F246-C246,"n/a")</f>
        <v>0</v>
      </c>
    </row>
    <row r="247" customFormat="false" ht="15" hidden="false" customHeight="false" outlineLevel="0" collapsed="false">
      <c r="A247" s="11" t="s">
        <v>502</v>
      </c>
      <c r="B247" s="11" t="s">
        <v>269</v>
      </c>
      <c r="C247" s="12" t="n">
        <v>152757.93</v>
      </c>
      <c r="D247" s="11" t="n">
        <v>1</v>
      </c>
      <c r="E247" s="11" t="n">
        <v>0</v>
      </c>
      <c r="F247" s="12" t="n">
        <v>0</v>
      </c>
      <c r="G247" s="11" t="s">
        <v>250</v>
      </c>
      <c r="H247" s="11" t="s">
        <v>248</v>
      </c>
      <c r="I247" s="12" t="n">
        <f aca="false">IF(ISNUMBER(C247),F247-C247,"n/a")</f>
        <v>-152757.93</v>
      </c>
    </row>
    <row r="248" customFormat="false" ht="15" hidden="false" customHeight="false" outlineLevel="0" collapsed="false">
      <c r="A248" s="11" t="s">
        <v>503</v>
      </c>
      <c r="B248" s="11" t="s">
        <v>250</v>
      </c>
      <c r="C248" s="12" t="n">
        <v>53312.35</v>
      </c>
      <c r="D248" s="11" t="n">
        <v>1</v>
      </c>
      <c r="E248" s="11" t="n">
        <v>1</v>
      </c>
      <c r="F248" s="12" t="n">
        <v>26656.17</v>
      </c>
      <c r="G248" s="11" t="s">
        <v>243</v>
      </c>
      <c r="H248" s="11" t="s">
        <v>251</v>
      </c>
      <c r="I248" s="12" t="n">
        <f aca="false">IF(ISNUMBER(C248),F248-C248,"n/a")</f>
        <v>-26656.18</v>
      </c>
    </row>
    <row r="249" customFormat="false" ht="15" hidden="false" customHeight="false" outlineLevel="0" collapsed="false">
      <c r="A249" s="11" t="s">
        <v>504</v>
      </c>
      <c r="B249" s="11" t="s">
        <v>242</v>
      </c>
      <c r="C249" s="12" t="n">
        <v>134606.36</v>
      </c>
      <c r="D249" s="11" t="n">
        <v>1</v>
      </c>
      <c r="E249" s="11" t="n">
        <v>1</v>
      </c>
      <c r="F249" s="12" t="n">
        <v>134606.36</v>
      </c>
      <c r="G249" s="11" t="s">
        <v>243</v>
      </c>
      <c r="H249" s="11" t="s">
        <v>244</v>
      </c>
      <c r="I249" s="12" t="n">
        <f aca="false">IF(ISNUMBER(C249),F249-C249,"n/a")</f>
        <v>0</v>
      </c>
    </row>
    <row r="250" customFormat="false" ht="15" hidden="false" customHeight="false" outlineLevel="0" collapsed="false">
      <c r="A250" s="11" t="s">
        <v>505</v>
      </c>
      <c r="B250" s="11" t="s">
        <v>242</v>
      </c>
      <c r="C250" s="12" t="n">
        <v>161306.65</v>
      </c>
      <c r="D250" s="11" t="n">
        <v>1</v>
      </c>
      <c r="E250" s="11" t="n">
        <v>0</v>
      </c>
      <c r="F250" s="12" t="n">
        <v>0</v>
      </c>
      <c r="G250" s="11" t="s">
        <v>266</v>
      </c>
      <c r="H250" s="11" t="s">
        <v>248</v>
      </c>
      <c r="I250" s="12" t="n">
        <f aca="false">IF(ISNUMBER(C250),F250-C250,"n/a")</f>
        <v>-161306.65</v>
      </c>
    </row>
    <row r="251" customFormat="false" ht="15" hidden="false" customHeight="false" outlineLevel="0" collapsed="false">
      <c r="A251" s="11" t="s">
        <v>506</v>
      </c>
      <c r="B251" s="11" t="s">
        <v>250</v>
      </c>
      <c r="C251" s="12" t="n">
        <v>89976.94</v>
      </c>
      <c r="D251" s="11" t="n">
        <v>1</v>
      </c>
      <c r="E251" s="11" t="n">
        <v>1</v>
      </c>
      <c r="F251" s="12" t="n">
        <v>111449.1</v>
      </c>
      <c r="G251" s="11" t="s">
        <v>243</v>
      </c>
      <c r="H251" s="11" t="s">
        <v>253</v>
      </c>
      <c r="I251" s="12" t="n">
        <f aca="false">IF(ISNUMBER(C251),F251-C251,"n/a")</f>
        <v>21472.16</v>
      </c>
    </row>
    <row r="252" customFormat="false" ht="15" hidden="false" customHeight="false" outlineLevel="0" collapsed="false">
      <c r="A252" s="11" t="s">
        <v>507</v>
      </c>
      <c r="B252" s="11" t="s">
        <v>242</v>
      </c>
      <c r="C252" s="12" t="n">
        <v>14841.55</v>
      </c>
      <c r="D252" s="11" t="n">
        <v>1</v>
      </c>
      <c r="E252" s="11" t="n">
        <v>1</v>
      </c>
      <c r="F252" s="12" t="n">
        <v>14841.55</v>
      </c>
      <c r="G252" s="11" t="s">
        <v>243</v>
      </c>
      <c r="H252" s="11" t="s">
        <v>244</v>
      </c>
      <c r="I252" s="12" t="n">
        <f aca="false">IF(ISNUMBER(C252),F252-C252,"n/a")</f>
        <v>0</v>
      </c>
    </row>
    <row r="253" customFormat="false" ht="15" hidden="false" customHeight="false" outlineLevel="0" collapsed="false">
      <c r="A253" s="11" t="s">
        <v>508</v>
      </c>
      <c r="B253" s="11" t="s">
        <v>246</v>
      </c>
      <c r="C253" s="12" t="n">
        <v>56335.52</v>
      </c>
      <c r="D253" s="11" t="n">
        <v>1</v>
      </c>
      <c r="E253" s="11" t="n">
        <v>1</v>
      </c>
      <c r="F253" s="12" t="n">
        <v>56335.52</v>
      </c>
      <c r="G253" s="11" t="s">
        <v>243</v>
      </c>
      <c r="H253" s="11" t="s">
        <v>255</v>
      </c>
      <c r="I253" s="12" t="n">
        <f aca="false">IF(ISNUMBER(C253),F253-C253,"n/a")</f>
        <v>0</v>
      </c>
    </row>
    <row r="254" customFormat="false" ht="15" hidden="false" customHeight="false" outlineLevel="0" collapsed="false">
      <c r="A254" s="11" t="s">
        <v>509</v>
      </c>
      <c r="B254" s="11" t="s">
        <v>242</v>
      </c>
      <c r="C254" s="12" t="n">
        <v>24729.22</v>
      </c>
      <c r="D254" s="11" t="n">
        <v>1</v>
      </c>
      <c r="E254" s="11" t="n">
        <v>1</v>
      </c>
      <c r="F254" s="12" t="n">
        <v>24729.22</v>
      </c>
      <c r="G254" s="11" t="s">
        <v>243</v>
      </c>
      <c r="H254" s="11" t="s">
        <v>244</v>
      </c>
      <c r="I254" s="12" t="n">
        <f aca="false">IF(ISNUMBER(C254),F254-C254,"n/a")</f>
        <v>0</v>
      </c>
    </row>
    <row r="255" customFormat="false" ht="15" hidden="false" customHeight="false" outlineLevel="0" collapsed="false">
      <c r="A255" s="11" t="s">
        <v>510</v>
      </c>
      <c r="B255" s="11" t="s">
        <v>269</v>
      </c>
      <c r="C255" s="12" t="n">
        <v>56983.04</v>
      </c>
      <c r="D255" s="11" t="n">
        <v>1</v>
      </c>
      <c r="E255" s="11" t="n">
        <v>1</v>
      </c>
      <c r="F255" s="12" t="n">
        <v>56983.04</v>
      </c>
      <c r="G255" s="11" t="s">
        <v>243</v>
      </c>
      <c r="H255" s="11" t="s">
        <v>244</v>
      </c>
      <c r="I255" s="12" t="n">
        <f aca="false">IF(ISNUMBER(C255),F255-C255,"n/a")</f>
        <v>0</v>
      </c>
    </row>
    <row r="256" customFormat="false" ht="15" hidden="false" customHeight="false" outlineLevel="0" collapsed="false">
      <c r="A256" s="11" t="s">
        <v>511</v>
      </c>
      <c r="B256" s="11" t="s">
        <v>269</v>
      </c>
      <c r="C256" s="12" t="n">
        <v>81509.36</v>
      </c>
      <c r="D256" s="11" t="n">
        <v>2</v>
      </c>
      <c r="E256" s="11" t="n">
        <v>1</v>
      </c>
      <c r="F256" s="12" t="n">
        <v>81509.36</v>
      </c>
      <c r="G256" s="11" t="s">
        <v>301</v>
      </c>
      <c r="H256" s="11" t="s">
        <v>261</v>
      </c>
      <c r="I256" s="12" t="n">
        <f aca="false">IF(ISNUMBER(C256),F256-C256,"n/a")</f>
        <v>0</v>
      </c>
    </row>
    <row r="257" customFormat="false" ht="15" hidden="false" customHeight="false" outlineLevel="0" collapsed="false">
      <c r="A257" s="11" t="s">
        <v>512</v>
      </c>
      <c r="B257" s="11" t="s">
        <v>269</v>
      </c>
      <c r="C257" s="12" t="n">
        <v>216532.73</v>
      </c>
      <c r="D257" s="11" t="n">
        <v>1</v>
      </c>
      <c r="E257" s="11" t="n">
        <v>1</v>
      </c>
      <c r="F257" s="12" t="n">
        <v>216532.73</v>
      </c>
      <c r="G257" s="11" t="s">
        <v>243</v>
      </c>
      <c r="H257" s="11" t="s">
        <v>244</v>
      </c>
      <c r="I257" s="12" t="n">
        <f aca="false">IF(ISNUMBER(C257),F257-C257,"n/a")</f>
        <v>0</v>
      </c>
    </row>
    <row r="258" customFormat="false" ht="15" hidden="false" customHeight="false" outlineLevel="0" collapsed="false">
      <c r="A258" s="11" t="s">
        <v>513</v>
      </c>
      <c r="B258" s="11" t="s">
        <v>242</v>
      </c>
      <c r="C258" s="12" t="n">
        <v>101682.27</v>
      </c>
      <c r="D258" s="11" t="n">
        <v>1</v>
      </c>
      <c r="E258" s="11" t="n">
        <v>1</v>
      </c>
      <c r="F258" s="12" t="n">
        <v>116934.61</v>
      </c>
      <c r="G258" s="11" t="s">
        <v>243</v>
      </c>
      <c r="H258" s="11" t="s">
        <v>253</v>
      </c>
      <c r="I258" s="12" t="n">
        <f aca="false">IF(ISNUMBER(C258),F258-C258,"n/a")</f>
        <v>15252.34</v>
      </c>
    </row>
    <row r="259" customFormat="false" ht="15" hidden="false" customHeight="false" outlineLevel="0" collapsed="false">
      <c r="A259" s="11" t="s">
        <v>514</v>
      </c>
      <c r="B259" s="11" t="s">
        <v>242</v>
      </c>
      <c r="C259" s="12" t="n">
        <v>113563.04</v>
      </c>
      <c r="D259" s="11" t="n">
        <v>1</v>
      </c>
      <c r="E259" s="11" t="n">
        <v>0</v>
      </c>
      <c r="F259" s="12" t="n">
        <v>0</v>
      </c>
      <c r="G259" s="11" t="s">
        <v>250</v>
      </c>
      <c r="H259" s="11" t="s">
        <v>248</v>
      </c>
      <c r="I259" s="12" t="n">
        <f aca="false">IF(ISNUMBER(C259),F259-C259,"n/a")</f>
        <v>-113563.04</v>
      </c>
    </row>
    <row r="260" customFormat="false" ht="15" hidden="false" customHeight="false" outlineLevel="0" collapsed="false">
      <c r="A260" s="11" t="s">
        <v>515</v>
      </c>
      <c r="B260" s="11" t="s">
        <v>242</v>
      </c>
      <c r="C260" s="12" t="n">
        <v>70006.49</v>
      </c>
      <c r="D260" s="11" t="n">
        <v>1</v>
      </c>
      <c r="E260" s="11" t="n">
        <v>1</v>
      </c>
      <c r="F260" s="12" t="n">
        <v>91008.44</v>
      </c>
      <c r="G260" s="11" t="s">
        <v>243</v>
      </c>
      <c r="H260" s="11" t="s">
        <v>253</v>
      </c>
      <c r="I260" s="12" t="n">
        <f aca="false">IF(ISNUMBER(C260),F260-C260,"n/a")</f>
        <v>21001.95</v>
      </c>
    </row>
    <row r="261" customFormat="false" ht="15" hidden="false" customHeight="false" outlineLevel="0" collapsed="false">
      <c r="A261" s="11" t="s">
        <v>516</v>
      </c>
      <c r="B261" s="11" t="s">
        <v>250</v>
      </c>
      <c r="C261" s="12" t="n">
        <v>37054.65</v>
      </c>
      <c r="D261" s="11" t="n">
        <v>1</v>
      </c>
      <c r="E261" s="11" t="n">
        <v>0</v>
      </c>
      <c r="F261" s="12" t="n">
        <v>0</v>
      </c>
      <c r="G261" s="11" t="s">
        <v>247</v>
      </c>
      <c r="H261" s="11" t="s">
        <v>248</v>
      </c>
      <c r="I261" s="12" t="n">
        <f aca="false">IF(ISNUMBER(C261),F261-C261,"n/a")</f>
        <v>-37054.65</v>
      </c>
    </row>
    <row r="262" customFormat="false" ht="15" hidden="false" customHeight="false" outlineLevel="0" collapsed="false">
      <c r="A262" s="11" t="s">
        <v>517</v>
      </c>
      <c r="B262" s="11" t="s">
        <v>242</v>
      </c>
      <c r="C262" s="12" t="n">
        <v>57768.49</v>
      </c>
      <c r="D262" s="11" t="n">
        <v>1</v>
      </c>
      <c r="E262" s="11" t="n">
        <v>1</v>
      </c>
      <c r="F262" s="12" t="n">
        <v>57768.49</v>
      </c>
      <c r="G262" s="11" t="s">
        <v>243</v>
      </c>
      <c r="H262" s="11" t="s">
        <v>244</v>
      </c>
      <c r="I262" s="12" t="n">
        <f aca="false">IF(ISNUMBER(C262),F262-C262,"n/a")</f>
        <v>0</v>
      </c>
    </row>
    <row r="263" customFormat="false" ht="15" hidden="false" customHeight="false" outlineLevel="0" collapsed="false">
      <c r="A263" s="11" t="s">
        <v>518</v>
      </c>
      <c r="B263" s="11" t="s">
        <v>250</v>
      </c>
      <c r="C263" s="12" t="n">
        <v>18066.11</v>
      </c>
      <c r="D263" s="11" t="n">
        <v>1</v>
      </c>
      <c r="E263" s="11" t="n">
        <v>1</v>
      </c>
      <c r="F263" s="12" t="n">
        <v>18066.11</v>
      </c>
      <c r="G263" s="11" t="s">
        <v>243</v>
      </c>
      <c r="H263" s="11" t="s">
        <v>244</v>
      </c>
      <c r="I263" s="12" t="n">
        <f aca="false">IF(ISNUMBER(C263),F263-C263,"n/a")</f>
        <v>0</v>
      </c>
    </row>
    <row r="264" customFormat="false" ht="15" hidden="false" customHeight="false" outlineLevel="0" collapsed="false">
      <c r="A264" s="11" t="s">
        <v>519</v>
      </c>
      <c r="B264" s="11" t="s">
        <v>269</v>
      </c>
      <c r="C264" s="12" t="n">
        <v>119609.41</v>
      </c>
      <c r="D264" s="11" t="n">
        <v>1</v>
      </c>
      <c r="E264" s="11" t="n">
        <v>1</v>
      </c>
      <c r="F264" s="12" t="n">
        <v>119609.42</v>
      </c>
      <c r="G264" s="11" t="s">
        <v>243</v>
      </c>
      <c r="H264" s="11" t="s">
        <v>244</v>
      </c>
      <c r="I264" s="12" t="n">
        <f aca="false">IF(ISNUMBER(C264),F264-C264,"n/a")</f>
        <v>0.00999999999476131</v>
      </c>
    </row>
    <row r="265" customFormat="false" ht="15" hidden="false" customHeight="false" outlineLevel="0" collapsed="false">
      <c r="A265" s="11" t="s">
        <v>520</v>
      </c>
      <c r="B265" s="11" t="s">
        <v>242</v>
      </c>
      <c r="C265" s="12" t="n">
        <v>29474.85</v>
      </c>
      <c r="D265" s="11" t="n">
        <v>1</v>
      </c>
      <c r="E265" s="11" t="n">
        <v>1</v>
      </c>
      <c r="F265" s="12" t="n">
        <v>20632.4</v>
      </c>
      <c r="G265" s="11" t="s">
        <v>243</v>
      </c>
      <c r="H265" s="11" t="s">
        <v>251</v>
      </c>
      <c r="I265" s="12" t="n">
        <f aca="false">IF(ISNUMBER(C265),F265-C265,"n/a")</f>
        <v>-8842.45</v>
      </c>
    </row>
    <row r="266" customFormat="false" ht="15" hidden="false" customHeight="false" outlineLevel="0" collapsed="false">
      <c r="A266" s="11" t="s">
        <v>521</v>
      </c>
      <c r="B266" s="11" t="s">
        <v>242</v>
      </c>
      <c r="C266" s="12" t="n">
        <v>65761.25</v>
      </c>
      <c r="D266" s="11" t="n">
        <v>1</v>
      </c>
      <c r="E266" s="11" t="n">
        <v>1</v>
      </c>
      <c r="F266" s="12" t="n">
        <v>65761.25</v>
      </c>
      <c r="G266" s="11" t="s">
        <v>243</v>
      </c>
      <c r="H266" s="11" t="s">
        <v>244</v>
      </c>
      <c r="I266" s="12" t="n">
        <f aca="false">IF(ISNUMBER(C266),F266-C266,"n/a")</f>
        <v>0</v>
      </c>
    </row>
    <row r="267" customFormat="false" ht="15" hidden="false" customHeight="false" outlineLevel="0" collapsed="false">
      <c r="A267" s="11" t="s">
        <v>522</v>
      </c>
      <c r="B267" s="11" t="s">
        <v>269</v>
      </c>
      <c r="C267" s="12" t="n">
        <v>190124.75</v>
      </c>
      <c r="D267" s="11" t="n">
        <v>1</v>
      </c>
      <c r="E267" s="11" t="n">
        <v>1</v>
      </c>
      <c r="F267" s="12" t="n">
        <v>218643.46</v>
      </c>
      <c r="G267" s="11" t="s">
        <v>243</v>
      </c>
      <c r="H267" s="11" t="s">
        <v>253</v>
      </c>
      <c r="I267" s="12" t="n">
        <f aca="false">IF(ISNUMBER(C267),F267-C267,"n/a")</f>
        <v>28518.71</v>
      </c>
    </row>
    <row r="268" customFormat="false" ht="15" hidden="false" customHeight="false" outlineLevel="0" collapsed="false">
      <c r="A268" s="11" t="s">
        <v>523</v>
      </c>
      <c r="B268" s="11" t="s">
        <v>242</v>
      </c>
      <c r="C268" s="12" t="n">
        <v>8598.99</v>
      </c>
      <c r="D268" s="11" t="n">
        <v>1</v>
      </c>
      <c r="E268" s="11" t="n">
        <v>0</v>
      </c>
      <c r="F268" s="12" t="n">
        <v>0</v>
      </c>
      <c r="G268" s="11" t="s">
        <v>247</v>
      </c>
      <c r="H268" s="11" t="s">
        <v>248</v>
      </c>
      <c r="I268" s="12" t="n">
        <f aca="false">IF(ISNUMBER(C268),F268-C268,"n/a")</f>
        <v>-8598.99</v>
      </c>
    </row>
    <row r="269" customFormat="false" ht="15" hidden="false" customHeight="false" outlineLevel="0" collapsed="false">
      <c r="A269" s="11" t="s">
        <v>524</v>
      </c>
      <c r="B269" s="11" t="s">
        <v>242</v>
      </c>
      <c r="C269" s="12" t="n">
        <v>58163.07</v>
      </c>
      <c r="D269" s="11" t="n">
        <v>1</v>
      </c>
      <c r="E269" s="11" t="n">
        <v>1</v>
      </c>
      <c r="F269" s="12" t="n">
        <v>66656.86</v>
      </c>
      <c r="G269" s="11" t="s">
        <v>243</v>
      </c>
      <c r="H269" s="11" t="s">
        <v>253</v>
      </c>
      <c r="I269" s="12" t="n">
        <f aca="false">IF(ISNUMBER(C269),F269-C269,"n/a")</f>
        <v>8493.79</v>
      </c>
    </row>
    <row r="270" customFormat="false" ht="15" hidden="false" customHeight="false" outlineLevel="0" collapsed="false">
      <c r="A270" s="11" t="s">
        <v>525</v>
      </c>
      <c r="B270" s="11" t="s">
        <v>242</v>
      </c>
      <c r="C270" s="12" t="n">
        <v>7313.65</v>
      </c>
      <c r="D270" s="11" t="n">
        <v>1</v>
      </c>
      <c r="E270" s="11" t="n">
        <v>1</v>
      </c>
      <c r="F270" s="12" t="n">
        <v>7313.65</v>
      </c>
      <c r="G270" s="11" t="s">
        <v>243</v>
      </c>
      <c r="H270" s="11" t="s">
        <v>244</v>
      </c>
      <c r="I270" s="12" t="n">
        <f aca="false">IF(ISNUMBER(C270),F270-C270,"n/a")</f>
        <v>0</v>
      </c>
    </row>
    <row r="271" customFormat="false" ht="15" hidden="false" customHeight="false" outlineLevel="0" collapsed="false">
      <c r="A271" s="11" t="s">
        <v>526</v>
      </c>
      <c r="B271" s="11" t="s">
        <v>269</v>
      </c>
      <c r="C271" s="12" t="n">
        <v>4663.32</v>
      </c>
      <c r="D271" s="11" t="n">
        <v>1</v>
      </c>
      <c r="E271" s="11" t="n">
        <v>0</v>
      </c>
      <c r="F271" s="12" t="n">
        <v>0</v>
      </c>
      <c r="G271" s="11" t="s">
        <v>266</v>
      </c>
      <c r="H271" s="11" t="s">
        <v>248</v>
      </c>
      <c r="I271" s="12" t="n">
        <f aca="false">IF(ISNUMBER(C271),F271-C271,"n/a")</f>
        <v>-4663.32</v>
      </c>
    </row>
    <row r="272" customFormat="false" ht="15" hidden="false" customHeight="false" outlineLevel="0" collapsed="false">
      <c r="A272" s="11" t="s">
        <v>527</v>
      </c>
      <c r="B272" s="11" t="s">
        <v>242</v>
      </c>
      <c r="C272" s="12" t="n">
        <v>41583.31</v>
      </c>
      <c r="D272" s="11" t="n">
        <v>1</v>
      </c>
      <c r="E272" s="11" t="n">
        <v>1</v>
      </c>
      <c r="F272" s="12" t="n">
        <v>41583.31</v>
      </c>
      <c r="G272" s="11" t="s">
        <v>243</v>
      </c>
      <c r="H272" s="11" t="s">
        <v>244</v>
      </c>
      <c r="I272" s="12" t="n">
        <f aca="false">IF(ISNUMBER(C272),F272-C272,"n/a")</f>
        <v>0</v>
      </c>
    </row>
    <row r="273" customFormat="false" ht="15" hidden="false" customHeight="false" outlineLevel="0" collapsed="false">
      <c r="A273" s="11" t="s">
        <v>528</v>
      </c>
      <c r="B273" s="11" t="s">
        <v>242</v>
      </c>
      <c r="C273" s="12" t="n">
        <v>197775.58</v>
      </c>
      <c r="D273" s="11" t="n">
        <v>1</v>
      </c>
      <c r="E273" s="11" t="n">
        <v>1</v>
      </c>
      <c r="F273" s="12" t="n">
        <v>197775.58</v>
      </c>
      <c r="G273" s="11" t="s">
        <v>243</v>
      </c>
      <c r="H273" s="11" t="s">
        <v>244</v>
      </c>
      <c r="I273" s="12" t="n">
        <f aca="false">IF(ISNUMBER(C273),F273-C273,"n/a")</f>
        <v>0</v>
      </c>
    </row>
    <row r="274" customFormat="false" ht="15" hidden="false" customHeight="false" outlineLevel="0" collapsed="false">
      <c r="A274" s="11" t="s">
        <v>529</v>
      </c>
      <c r="B274" s="11" t="s">
        <v>246</v>
      </c>
      <c r="C274" s="12" t="n">
        <v>46336.48</v>
      </c>
      <c r="D274" s="11" t="n">
        <v>1</v>
      </c>
      <c r="E274" s="11" t="n">
        <v>1</v>
      </c>
      <c r="F274" s="12" t="n">
        <v>46336.48</v>
      </c>
      <c r="G274" s="11" t="s">
        <v>243</v>
      </c>
      <c r="H274" s="11" t="s">
        <v>255</v>
      </c>
      <c r="I274" s="12" t="n">
        <f aca="false">IF(ISNUMBER(C274),F274-C274,"n/a")</f>
        <v>0</v>
      </c>
    </row>
    <row r="275" customFormat="false" ht="15" hidden="false" customHeight="false" outlineLevel="0" collapsed="false">
      <c r="A275" s="11" t="s">
        <v>530</v>
      </c>
      <c r="B275" s="11" t="s">
        <v>246</v>
      </c>
      <c r="C275" s="12" t="n">
        <v>75393.38</v>
      </c>
      <c r="D275" s="11" t="n">
        <v>1</v>
      </c>
      <c r="E275" s="11" t="n">
        <v>1</v>
      </c>
      <c r="F275" s="12" t="n">
        <v>48851.28</v>
      </c>
      <c r="G275" s="11" t="s">
        <v>243</v>
      </c>
      <c r="H275" s="11" t="s">
        <v>278</v>
      </c>
      <c r="I275" s="12" t="n">
        <f aca="false">IF(ISNUMBER(C275),F275-C275,"n/a")</f>
        <v>-26542.1</v>
      </c>
    </row>
    <row r="276" customFormat="false" ht="15" hidden="false" customHeight="false" outlineLevel="0" collapsed="false">
      <c r="A276" s="11" t="s">
        <v>531</v>
      </c>
      <c r="B276" s="11" t="s">
        <v>246</v>
      </c>
      <c r="C276" s="12" t="n">
        <v>85404.43</v>
      </c>
      <c r="D276" s="11" t="n">
        <v>1</v>
      </c>
      <c r="E276" s="11" t="n">
        <v>1</v>
      </c>
      <c r="F276" s="12" t="n">
        <v>85404.43</v>
      </c>
      <c r="G276" s="11" t="s">
        <v>243</v>
      </c>
      <c r="H276" s="11" t="s">
        <v>255</v>
      </c>
      <c r="I276" s="12" t="n">
        <f aca="false">IF(ISNUMBER(C276),F276-C276,"n/a")</f>
        <v>0</v>
      </c>
    </row>
    <row r="277" customFormat="false" ht="15" hidden="false" customHeight="false" outlineLevel="0" collapsed="false">
      <c r="A277" s="11" t="s">
        <v>532</v>
      </c>
      <c r="B277" s="11" t="s">
        <v>242</v>
      </c>
      <c r="C277" s="12" t="n">
        <v>63449.32</v>
      </c>
      <c r="D277" s="11" t="n">
        <v>1</v>
      </c>
      <c r="E277" s="11" t="n">
        <v>0</v>
      </c>
      <c r="F277" s="12" t="n">
        <v>0</v>
      </c>
      <c r="G277" s="11" t="s">
        <v>250</v>
      </c>
      <c r="H277" s="11" t="s">
        <v>248</v>
      </c>
      <c r="I277" s="12" t="n">
        <f aca="false">IF(ISNUMBER(C277),F277-C277,"n/a")</f>
        <v>-63449.32</v>
      </c>
    </row>
    <row r="278" customFormat="false" ht="15" hidden="false" customHeight="false" outlineLevel="0" collapsed="false">
      <c r="A278" s="11" t="s">
        <v>533</v>
      </c>
      <c r="B278" s="11" t="s">
        <v>246</v>
      </c>
      <c r="C278" s="12" t="n">
        <v>113350.93</v>
      </c>
      <c r="D278" s="11" t="n">
        <v>1</v>
      </c>
      <c r="E278" s="11" t="n">
        <v>1</v>
      </c>
      <c r="F278" s="12" t="n">
        <v>113350.93</v>
      </c>
      <c r="G278" s="11" t="s">
        <v>243</v>
      </c>
      <c r="H278" s="11" t="s">
        <v>255</v>
      </c>
      <c r="I278" s="12" t="n">
        <f aca="false">IF(ISNUMBER(C278),F278-C278,"n/a")</f>
        <v>0</v>
      </c>
    </row>
    <row r="279" customFormat="false" ht="15" hidden="false" customHeight="false" outlineLevel="0" collapsed="false">
      <c r="A279" s="11" t="s">
        <v>534</v>
      </c>
      <c r="B279" s="11" t="s">
        <v>269</v>
      </c>
      <c r="C279" s="12" t="n">
        <v>109465.78</v>
      </c>
      <c r="D279" s="11" t="n">
        <v>1</v>
      </c>
      <c r="E279" s="11" t="n">
        <v>0</v>
      </c>
      <c r="F279" s="12" t="n">
        <v>0</v>
      </c>
      <c r="G279" s="11" t="s">
        <v>266</v>
      </c>
      <c r="H279" s="11" t="s">
        <v>248</v>
      </c>
      <c r="I279" s="12" t="n">
        <f aca="false">IF(ISNUMBER(C279),F279-C279,"n/a")</f>
        <v>-109465.78</v>
      </c>
    </row>
    <row r="280" customFormat="false" ht="15" hidden="false" customHeight="false" outlineLevel="0" collapsed="false">
      <c r="A280" s="11" t="s">
        <v>535</v>
      </c>
      <c r="B280" s="11" t="s">
        <v>242</v>
      </c>
      <c r="C280" s="12" t="n">
        <v>52514.37</v>
      </c>
      <c r="D280" s="11" t="n">
        <v>1</v>
      </c>
      <c r="E280" s="11" t="n">
        <v>0</v>
      </c>
      <c r="F280" s="12" t="n">
        <v>0</v>
      </c>
      <c r="G280" s="11" t="s">
        <v>247</v>
      </c>
      <c r="H280" s="11" t="s">
        <v>248</v>
      </c>
      <c r="I280" s="12" t="n">
        <f aca="false">IF(ISNUMBER(C280),F280-C280,"n/a")</f>
        <v>-52514.37</v>
      </c>
    </row>
    <row r="281" customFormat="false" ht="15" hidden="false" customHeight="false" outlineLevel="0" collapsed="false">
      <c r="A281" s="11" t="s">
        <v>536</v>
      </c>
      <c r="B281" s="11" t="s">
        <v>242</v>
      </c>
      <c r="C281" s="12" t="n">
        <v>97444.05</v>
      </c>
      <c r="D281" s="11" t="n">
        <v>1</v>
      </c>
      <c r="E281" s="11" t="n">
        <v>0</v>
      </c>
      <c r="F281" s="12" t="n">
        <v>0</v>
      </c>
      <c r="G281" s="11" t="s">
        <v>250</v>
      </c>
      <c r="H281" s="11" t="s">
        <v>248</v>
      </c>
      <c r="I281" s="12" t="n">
        <f aca="false">IF(ISNUMBER(C281),F281-C281,"n/a")</f>
        <v>-97444.05</v>
      </c>
    </row>
    <row r="282" customFormat="false" ht="15" hidden="false" customHeight="false" outlineLevel="0" collapsed="false">
      <c r="A282" s="11" t="s">
        <v>537</v>
      </c>
      <c r="B282" s="11" t="s">
        <v>246</v>
      </c>
      <c r="C282" s="12" t="n">
        <v>13164.57</v>
      </c>
      <c r="D282" s="11" t="n">
        <v>1</v>
      </c>
      <c r="E282" s="11" t="n">
        <v>1</v>
      </c>
      <c r="F282" s="12" t="n">
        <v>21970.53</v>
      </c>
      <c r="G282" s="11" t="s">
        <v>243</v>
      </c>
      <c r="H282" s="11" t="s">
        <v>286</v>
      </c>
      <c r="I282" s="12" t="n">
        <f aca="false">IF(ISNUMBER(C282),F282-C282,"n/a")</f>
        <v>8805.96</v>
      </c>
    </row>
    <row r="283" customFormat="false" ht="15" hidden="false" customHeight="false" outlineLevel="0" collapsed="false">
      <c r="A283" s="11" t="s">
        <v>538</v>
      </c>
      <c r="B283" s="11" t="s">
        <v>269</v>
      </c>
      <c r="C283" s="12" t="n">
        <v>123777.82</v>
      </c>
      <c r="D283" s="11" t="n">
        <v>1</v>
      </c>
      <c r="E283" s="11" t="n">
        <v>1</v>
      </c>
      <c r="F283" s="12" t="n">
        <v>118038.32</v>
      </c>
      <c r="G283" s="11" t="s">
        <v>243</v>
      </c>
      <c r="H283" s="11" t="s">
        <v>251</v>
      </c>
      <c r="I283" s="12" t="n">
        <f aca="false">IF(ISNUMBER(C283),F283-C283,"n/a")</f>
        <v>-5739.5</v>
      </c>
    </row>
    <row r="284" customFormat="false" ht="15" hidden="false" customHeight="false" outlineLevel="0" collapsed="false">
      <c r="A284" s="11" t="s">
        <v>539</v>
      </c>
      <c r="B284" s="11" t="s">
        <v>246</v>
      </c>
      <c r="C284" s="12" t="n">
        <v>78914.31</v>
      </c>
      <c r="D284" s="11" t="n">
        <v>1</v>
      </c>
      <c r="E284" s="11" t="n">
        <v>1</v>
      </c>
      <c r="F284" s="12" t="n">
        <v>90751.44</v>
      </c>
      <c r="G284" s="11" t="s">
        <v>243</v>
      </c>
      <c r="H284" s="11" t="s">
        <v>286</v>
      </c>
      <c r="I284" s="12" t="n">
        <f aca="false">IF(ISNUMBER(C284),F284-C284,"n/a")</f>
        <v>11837.13</v>
      </c>
    </row>
    <row r="285" customFormat="false" ht="15" hidden="false" customHeight="false" outlineLevel="0" collapsed="false">
      <c r="A285" s="11" t="s">
        <v>540</v>
      </c>
      <c r="B285" s="11" t="s">
        <v>242</v>
      </c>
      <c r="C285" s="12" t="n">
        <v>55878.1</v>
      </c>
      <c r="D285" s="11" t="n">
        <v>1</v>
      </c>
      <c r="E285" s="11" t="n">
        <v>1</v>
      </c>
      <c r="F285" s="12" t="n">
        <v>64259.81</v>
      </c>
      <c r="G285" s="11" t="s">
        <v>243</v>
      </c>
      <c r="H285" s="11" t="s">
        <v>253</v>
      </c>
      <c r="I285" s="12" t="n">
        <f aca="false">IF(ISNUMBER(C285),F285-C285,"n/a")</f>
        <v>8381.71</v>
      </c>
    </row>
    <row r="286" customFormat="false" ht="15" hidden="false" customHeight="false" outlineLevel="0" collapsed="false">
      <c r="A286" s="11" t="s">
        <v>541</v>
      </c>
      <c r="B286" s="11" t="s">
        <v>242</v>
      </c>
      <c r="C286" s="12" t="n">
        <v>104066.53</v>
      </c>
      <c r="D286" s="11" t="n">
        <v>1</v>
      </c>
      <c r="E286" s="11" t="n">
        <v>1</v>
      </c>
      <c r="F286" s="12" t="n">
        <v>52033.26</v>
      </c>
      <c r="G286" s="11" t="s">
        <v>243</v>
      </c>
      <c r="H286" s="11" t="s">
        <v>251</v>
      </c>
      <c r="I286" s="12" t="n">
        <f aca="false">IF(ISNUMBER(C286),F286-C286,"n/a")</f>
        <v>-52033.27</v>
      </c>
    </row>
    <row r="287" customFormat="false" ht="15" hidden="false" customHeight="false" outlineLevel="0" collapsed="false">
      <c r="A287" s="11" t="s">
        <v>542</v>
      </c>
      <c r="B287" s="11" t="s">
        <v>242</v>
      </c>
      <c r="C287" s="12" t="n">
        <v>33387.11</v>
      </c>
      <c r="D287" s="11" t="n">
        <v>1</v>
      </c>
      <c r="E287" s="11" t="n">
        <v>1</v>
      </c>
      <c r="F287" s="12" t="n">
        <v>33387.11</v>
      </c>
      <c r="G287" s="11" t="s">
        <v>243</v>
      </c>
      <c r="H287" s="11" t="s">
        <v>244</v>
      </c>
      <c r="I287" s="12" t="n">
        <f aca="false">IF(ISNUMBER(C287),F287-C287,"n/a")</f>
        <v>0</v>
      </c>
    </row>
    <row r="288" customFormat="false" ht="15" hidden="false" customHeight="false" outlineLevel="0" collapsed="false">
      <c r="A288" s="11" t="s">
        <v>543</v>
      </c>
      <c r="B288" s="11" t="s">
        <v>242</v>
      </c>
      <c r="C288" s="12" t="n">
        <v>45226.39</v>
      </c>
      <c r="D288" s="11" t="n">
        <v>0</v>
      </c>
      <c r="E288" s="11" t="n">
        <v>0</v>
      </c>
      <c r="F288" s="12" t="n">
        <v>0</v>
      </c>
      <c r="G288" s="11"/>
      <c r="H288" s="11" t="s">
        <v>259</v>
      </c>
      <c r="I288" s="12" t="n">
        <f aca="false">IF(ISNUMBER(C288),F288-C288,"n/a")</f>
        <v>-45226.39</v>
      </c>
    </row>
    <row r="289" customFormat="false" ht="15" hidden="false" customHeight="false" outlineLevel="0" collapsed="false">
      <c r="A289" s="11" t="s">
        <v>544</v>
      </c>
      <c r="B289" s="11" t="s">
        <v>242</v>
      </c>
      <c r="C289" s="12" t="n">
        <v>37398.87</v>
      </c>
      <c r="D289" s="11" t="n">
        <v>1</v>
      </c>
      <c r="E289" s="11" t="n">
        <v>1</v>
      </c>
      <c r="F289" s="12" t="n">
        <v>33152.01</v>
      </c>
      <c r="G289" s="11" t="s">
        <v>243</v>
      </c>
      <c r="H289" s="11" t="s">
        <v>251</v>
      </c>
      <c r="I289" s="12" t="n">
        <f aca="false">IF(ISNUMBER(C289),F289-C289,"n/a")</f>
        <v>-4246.86</v>
      </c>
    </row>
    <row r="290" customFormat="false" ht="15" hidden="false" customHeight="false" outlineLevel="0" collapsed="false">
      <c r="A290" s="11" t="s">
        <v>545</v>
      </c>
      <c r="B290" s="11" t="s">
        <v>250</v>
      </c>
      <c r="C290" s="12" t="n">
        <v>107863.41</v>
      </c>
      <c r="D290" s="11" t="n">
        <v>1</v>
      </c>
      <c r="E290" s="11" t="n">
        <v>0</v>
      </c>
      <c r="F290" s="12" t="n">
        <v>0</v>
      </c>
      <c r="G290" s="11" t="s">
        <v>266</v>
      </c>
      <c r="H290" s="11" t="s">
        <v>248</v>
      </c>
      <c r="I290" s="12" t="n">
        <f aca="false">IF(ISNUMBER(C290),F290-C290,"n/a")</f>
        <v>-107863.41</v>
      </c>
    </row>
    <row r="291" customFormat="false" ht="15" hidden="false" customHeight="false" outlineLevel="0" collapsed="false">
      <c r="A291" s="11" t="s">
        <v>546</v>
      </c>
      <c r="B291" s="11" t="s">
        <v>269</v>
      </c>
      <c r="C291" s="12" t="n">
        <v>11089.19</v>
      </c>
      <c r="D291" s="11" t="n">
        <v>1</v>
      </c>
      <c r="E291" s="11" t="n">
        <v>0</v>
      </c>
      <c r="F291" s="12" t="n">
        <v>0</v>
      </c>
      <c r="G291" s="11" t="s">
        <v>250</v>
      </c>
      <c r="H291" s="11" t="s">
        <v>248</v>
      </c>
      <c r="I291" s="12" t="n">
        <f aca="false">IF(ISNUMBER(C291),F291-C291,"n/a")</f>
        <v>-11089.19</v>
      </c>
    </row>
    <row r="292" customFormat="false" ht="15" hidden="false" customHeight="false" outlineLevel="0" collapsed="false">
      <c r="A292" s="11" t="s">
        <v>547</v>
      </c>
      <c r="B292" s="11" t="s">
        <v>242</v>
      </c>
      <c r="C292" s="12" t="n">
        <v>120264.23</v>
      </c>
      <c r="D292" s="11" t="n">
        <v>1</v>
      </c>
      <c r="E292" s="11" t="n">
        <v>1</v>
      </c>
      <c r="F292" s="12" t="n">
        <v>120264.23</v>
      </c>
      <c r="G292" s="11" t="s">
        <v>243</v>
      </c>
      <c r="H292" s="11" t="s">
        <v>244</v>
      </c>
      <c r="I292" s="12" t="n">
        <f aca="false">IF(ISNUMBER(C292),F292-C292,"n/a")</f>
        <v>0</v>
      </c>
    </row>
    <row r="293" customFormat="false" ht="15" hidden="false" customHeight="false" outlineLevel="0" collapsed="false">
      <c r="A293" s="11" t="s">
        <v>548</v>
      </c>
      <c r="B293" s="11" t="s">
        <v>242</v>
      </c>
      <c r="C293" s="12" t="n">
        <v>61254.7</v>
      </c>
      <c r="D293" s="11" t="n">
        <v>1</v>
      </c>
      <c r="E293" s="11" t="n">
        <v>0</v>
      </c>
      <c r="F293" s="12" t="n">
        <v>0</v>
      </c>
      <c r="G293" s="11" t="s">
        <v>247</v>
      </c>
      <c r="H293" s="11" t="s">
        <v>248</v>
      </c>
      <c r="I293" s="12" t="n">
        <f aca="false">IF(ISNUMBER(C293),F293-C293,"n/a")</f>
        <v>-61254.7</v>
      </c>
    </row>
    <row r="294" customFormat="false" ht="15" hidden="false" customHeight="false" outlineLevel="0" collapsed="false">
      <c r="A294" s="11" t="s">
        <v>549</v>
      </c>
      <c r="B294" s="11" t="s">
        <v>250</v>
      </c>
      <c r="C294" s="12" t="n">
        <v>13525.78</v>
      </c>
      <c r="D294" s="11" t="n">
        <v>1</v>
      </c>
      <c r="E294" s="11" t="n">
        <v>1</v>
      </c>
      <c r="F294" s="12" t="n">
        <v>12959.23</v>
      </c>
      <c r="G294" s="11" t="s">
        <v>243</v>
      </c>
      <c r="H294" s="11" t="s">
        <v>251</v>
      </c>
      <c r="I294" s="12" t="n">
        <f aca="false">IF(ISNUMBER(C294),F294-C294,"n/a")</f>
        <v>-566.550000000001</v>
      </c>
    </row>
    <row r="295" customFormat="false" ht="15" hidden="false" customHeight="false" outlineLevel="0" collapsed="false">
      <c r="A295" s="11" t="s">
        <v>550</v>
      </c>
      <c r="B295" s="11" t="s">
        <v>242</v>
      </c>
      <c r="C295" s="12" t="n">
        <v>99373.56</v>
      </c>
      <c r="D295" s="11" t="n">
        <v>1</v>
      </c>
      <c r="E295" s="11" t="n">
        <v>1</v>
      </c>
      <c r="F295" s="12" t="n">
        <v>69561.49</v>
      </c>
      <c r="G295" s="11" t="s">
        <v>243</v>
      </c>
      <c r="H295" s="11" t="s">
        <v>251</v>
      </c>
      <c r="I295" s="12" t="n">
        <f aca="false">IF(ISNUMBER(C295),F295-C295,"n/a")</f>
        <v>-29812.07</v>
      </c>
    </row>
    <row r="296" customFormat="false" ht="15" hidden="false" customHeight="false" outlineLevel="0" collapsed="false">
      <c r="A296" s="11" t="s">
        <v>551</v>
      </c>
      <c r="B296" s="11" t="s">
        <v>250</v>
      </c>
      <c r="C296" s="12" t="n">
        <v>122757.37</v>
      </c>
      <c r="D296" s="11" t="n">
        <v>1</v>
      </c>
      <c r="E296" s="11" t="n">
        <v>1</v>
      </c>
      <c r="F296" s="12" t="n">
        <v>159584.58</v>
      </c>
      <c r="G296" s="11" t="s">
        <v>243</v>
      </c>
      <c r="H296" s="11" t="s">
        <v>253</v>
      </c>
      <c r="I296" s="12" t="n">
        <f aca="false">IF(ISNUMBER(C296),F296-C296,"n/a")</f>
        <v>36827.21</v>
      </c>
    </row>
    <row r="297" customFormat="false" ht="15" hidden="false" customHeight="false" outlineLevel="0" collapsed="false">
      <c r="A297" s="11" t="s">
        <v>552</v>
      </c>
      <c r="B297" s="11" t="s">
        <v>269</v>
      </c>
      <c r="C297" s="12" t="n">
        <v>125889.8</v>
      </c>
      <c r="D297" s="11" t="n">
        <v>1</v>
      </c>
      <c r="E297" s="11" t="n">
        <v>1</v>
      </c>
      <c r="F297" s="12" t="n">
        <v>125889.8</v>
      </c>
      <c r="G297" s="11" t="s">
        <v>243</v>
      </c>
      <c r="H297" s="11" t="s">
        <v>244</v>
      </c>
      <c r="I297" s="12" t="n">
        <f aca="false">IF(ISNUMBER(C297),F297-C297,"n/a")</f>
        <v>0</v>
      </c>
    </row>
    <row r="298" customFormat="false" ht="15" hidden="false" customHeight="false" outlineLevel="0" collapsed="false">
      <c r="A298" s="11" t="s">
        <v>553</v>
      </c>
      <c r="B298" s="11" t="s">
        <v>242</v>
      </c>
      <c r="C298" s="12" t="n">
        <v>215198.38</v>
      </c>
      <c r="D298" s="11" t="n">
        <v>1</v>
      </c>
      <c r="E298" s="11" t="n">
        <v>1</v>
      </c>
      <c r="F298" s="12" t="n">
        <v>215198.38</v>
      </c>
      <c r="G298" s="11" t="s">
        <v>243</v>
      </c>
      <c r="H298" s="11" t="s">
        <v>244</v>
      </c>
      <c r="I298" s="12" t="n">
        <f aca="false">IF(ISNUMBER(C298),F298-C298,"n/a")</f>
        <v>0</v>
      </c>
    </row>
    <row r="299" customFormat="false" ht="15" hidden="false" customHeight="false" outlineLevel="0" collapsed="false">
      <c r="A299" s="11" t="s">
        <v>554</v>
      </c>
      <c r="B299" s="11" t="s">
        <v>250</v>
      </c>
      <c r="C299" s="12" t="n">
        <v>104519.98</v>
      </c>
      <c r="D299" s="11" t="n">
        <v>1</v>
      </c>
      <c r="E299" s="11" t="n">
        <v>1</v>
      </c>
      <c r="F299" s="12" t="n">
        <v>104519.98</v>
      </c>
      <c r="G299" s="11" t="s">
        <v>243</v>
      </c>
      <c r="H299" s="11" t="s">
        <v>244</v>
      </c>
      <c r="I299" s="12" t="n">
        <f aca="false">IF(ISNUMBER(C299),F299-C299,"n/a")</f>
        <v>0</v>
      </c>
    </row>
    <row r="300" customFormat="false" ht="15" hidden="false" customHeight="false" outlineLevel="0" collapsed="false">
      <c r="A300" s="11" t="s">
        <v>555</v>
      </c>
      <c r="B300" s="11" t="s">
        <v>246</v>
      </c>
      <c r="C300" s="12" t="n">
        <v>111846.56</v>
      </c>
      <c r="D300" s="11" t="n">
        <v>2</v>
      </c>
      <c r="E300" s="11" t="n">
        <v>1</v>
      </c>
      <c r="F300" s="12" t="n">
        <v>111846.56</v>
      </c>
      <c r="G300" s="11" t="s">
        <v>301</v>
      </c>
      <c r="H300" s="11" t="s">
        <v>556</v>
      </c>
      <c r="I300" s="12" t="n">
        <f aca="false">IF(ISNUMBER(C300),F300-C300,"n/a")</f>
        <v>0</v>
      </c>
    </row>
    <row r="301" customFormat="false" ht="15" hidden="false" customHeight="false" outlineLevel="0" collapsed="false">
      <c r="A301" s="11" t="s">
        <v>557</v>
      </c>
      <c r="B301" s="11" t="s">
        <v>246</v>
      </c>
      <c r="C301" s="12" t="n">
        <v>203529.85</v>
      </c>
      <c r="D301" s="11" t="n">
        <v>1</v>
      </c>
      <c r="E301" s="11" t="n">
        <v>1</v>
      </c>
      <c r="F301" s="12" t="n">
        <v>203529.85</v>
      </c>
      <c r="G301" s="11" t="s">
        <v>243</v>
      </c>
      <c r="H301" s="11" t="s">
        <v>255</v>
      </c>
      <c r="I301" s="12" t="n">
        <f aca="false">IF(ISNUMBER(C301),F301-C301,"n/a")</f>
        <v>0</v>
      </c>
    </row>
    <row r="302" customFormat="false" ht="15" hidden="false" customHeight="false" outlineLevel="0" collapsed="false">
      <c r="A302" s="11" t="s">
        <v>558</v>
      </c>
      <c r="B302" s="11" t="s">
        <v>242</v>
      </c>
      <c r="C302" s="12" t="n">
        <v>246362.98</v>
      </c>
      <c r="D302" s="11" t="n">
        <v>1</v>
      </c>
      <c r="E302" s="11" t="n">
        <v>0</v>
      </c>
      <c r="F302" s="12" t="n">
        <v>0</v>
      </c>
      <c r="G302" s="11" t="s">
        <v>266</v>
      </c>
      <c r="H302" s="11" t="s">
        <v>248</v>
      </c>
      <c r="I302" s="12" t="n">
        <f aca="false">IF(ISNUMBER(C302),F302-C302,"n/a")</f>
        <v>-246362.98</v>
      </c>
    </row>
    <row r="303" customFormat="false" ht="15" hidden="false" customHeight="false" outlineLevel="0" collapsed="false">
      <c r="A303" s="11" t="s">
        <v>559</v>
      </c>
      <c r="B303" s="11" t="s">
        <v>269</v>
      </c>
      <c r="C303" s="12" t="n">
        <v>134717.53</v>
      </c>
      <c r="D303" s="11" t="n">
        <v>1</v>
      </c>
      <c r="E303" s="11" t="n">
        <v>1</v>
      </c>
      <c r="F303" s="12" t="n">
        <v>134717.53</v>
      </c>
      <c r="G303" s="11" t="s">
        <v>243</v>
      </c>
      <c r="H303" s="11" t="s">
        <v>244</v>
      </c>
      <c r="I303" s="12" t="n">
        <f aca="false">IF(ISNUMBER(C303),F303-C303,"n/a")</f>
        <v>0</v>
      </c>
    </row>
    <row r="304" customFormat="false" ht="15" hidden="false" customHeight="false" outlineLevel="0" collapsed="false">
      <c r="A304" s="11" t="s">
        <v>560</v>
      </c>
      <c r="B304" s="11" t="s">
        <v>242</v>
      </c>
      <c r="C304" s="12" t="n">
        <v>106659.75</v>
      </c>
      <c r="D304" s="11" t="n">
        <v>1</v>
      </c>
      <c r="E304" s="11" t="n">
        <v>1</v>
      </c>
      <c r="F304" s="12" t="n">
        <v>73160.26</v>
      </c>
      <c r="G304" s="11" t="s">
        <v>243</v>
      </c>
      <c r="H304" s="11" t="s">
        <v>251</v>
      </c>
      <c r="I304" s="12" t="n">
        <f aca="false">IF(ISNUMBER(C304),F304-C304,"n/a")</f>
        <v>-33499.49</v>
      </c>
    </row>
    <row r="305" customFormat="false" ht="15" hidden="false" customHeight="false" outlineLevel="0" collapsed="false">
      <c r="A305" s="11" t="s">
        <v>561</v>
      </c>
      <c r="B305" s="11" t="s">
        <v>250</v>
      </c>
      <c r="C305" s="12" t="n">
        <v>99294.67</v>
      </c>
      <c r="D305" s="11" t="n">
        <v>1</v>
      </c>
      <c r="E305" s="11" t="n">
        <v>0</v>
      </c>
      <c r="F305" s="12" t="n">
        <v>0</v>
      </c>
      <c r="G305" s="11" t="s">
        <v>266</v>
      </c>
      <c r="H305" s="11" t="s">
        <v>248</v>
      </c>
      <c r="I305" s="12" t="n">
        <f aca="false">IF(ISNUMBER(C305),F305-C305,"n/a")</f>
        <v>-99294.67</v>
      </c>
    </row>
    <row r="306" customFormat="false" ht="15" hidden="false" customHeight="false" outlineLevel="0" collapsed="false">
      <c r="A306" s="11" t="s">
        <v>562</v>
      </c>
      <c r="B306" s="11" t="s">
        <v>242</v>
      </c>
      <c r="C306" s="12" t="n">
        <v>152621.39</v>
      </c>
      <c r="D306" s="11" t="n">
        <v>1</v>
      </c>
      <c r="E306" s="11" t="n">
        <v>1</v>
      </c>
      <c r="F306" s="12" t="n">
        <v>152621.39</v>
      </c>
      <c r="G306" s="11" t="s">
        <v>243</v>
      </c>
      <c r="H306" s="11" t="s">
        <v>244</v>
      </c>
      <c r="I306" s="12" t="n">
        <f aca="false">IF(ISNUMBER(C306),F306-C306,"n/a")</f>
        <v>0</v>
      </c>
    </row>
    <row r="307" customFormat="false" ht="15" hidden="false" customHeight="false" outlineLevel="0" collapsed="false">
      <c r="A307" s="11" t="s">
        <v>563</v>
      </c>
      <c r="B307" s="11" t="s">
        <v>269</v>
      </c>
      <c r="C307" s="12" t="n">
        <v>93476.6</v>
      </c>
      <c r="D307" s="11" t="n">
        <v>1</v>
      </c>
      <c r="E307" s="11" t="n">
        <v>1</v>
      </c>
      <c r="F307" s="12" t="n">
        <v>93476.6</v>
      </c>
      <c r="G307" s="11" t="s">
        <v>243</v>
      </c>
      <c r="H307" s="11" t="s">
        <v>244</v>
      </c>
      <c r="I307" s="12" t="n">
        <f aca="false">IF(ISNUMBER(C307),F307-C307,"n/a")</f>
        <v>0</v>
      </c>
    </row>
    <row r="308" customFormat="false" ht="15" hidden="false" customHeight="false" outlineLevel="0" collapsed="false">
      <c r="A308" s="11" t="s">
        <v>564</v>
      </c>
      <c r="B308" s="11" t="s">
        <v>242</v>
      </c>
      <c r="C308" s="12" t="n">
        <v>218638.71</v>
      </c>
      <c r="D308" s="11" t="n">
        <v>1</v>
      </c>
      <c r="E308" s="11" t="n">
        <v>1</v>
      </c>
      <c r="F308" s="12" t="n">
        <v>218638.71</v>
      </c>
      <c r="G308" s="11" t="s">
        <v>243</v>
      </c>
      <c r="H308" s="11" t="s">
        <v>244</v>
      </c>
      <c r="I308" s="12" t="n">
        <f aca="false">IF(ISNUMBER(C308),F308-C308,"n/a")</f>
        <v>0</v>
      </c>
    </row>
    <row r="309" customFormat="false" ht="15" hidden="false" customHeight="false" outlineLevel="0" collapsed="false">
      <c r="A309" s="11" t="s">
        <v>565</v>
      </c>
      <c r="B309" s="11" t="s">
        <v>269</v>
      </c>
      <c r="C309" s="12" t="n">
        <v>49314.2</v>
      </c>
      <c r="D309" s="11" t="n">
        <v>1</v>
      </c>
      <c r="E309" s="11" t="n">
        <v>0</v>
      </c>
      <c r="F309" s="12" t="n">
        <v>0</v>
      </c>
      <c r="G309" s="11" t="s">
        <v>266</v>
      </c>
      <c r="H309" s="11" t="s">
        <v>248</v>
      </c>
      <c r="I309" s="12" t="n">
        <f aca="false">IF(ISNUMBER(C309),F309-C309,"n/a")</f>
        <v>-49314.2</v>
      </c>
    </row>
    <row r="310" customFormat="false" ht="15" hidden="false" customHeight="false" outlineLevel="0" collapsed="false">
      <c r="A310" s="11" t="s">
        <v>566</v>
      </c>
      <c r="B310" s="11" t="s">
        <v>242</v>
      </c>
      <c r="C310" s="12" t="n">
        <v>21662.26</v>
      </c>
      <c r="D310" s="11" t="n">
        <v>1</v>
      </c>
      <c r="E310" s="11" t="n">
        <v>1</v>
      </c>
      <c r="F310" s="12" t="n">
        <v>21662.26</v>
      </c>
      <c r="G310" s="11" t="s">
        <v>243</v>
      </c>
      <c r="H310" s="11" t="s">
        <v>244</v>
      </c>
      <c r="I310" s="12" t="n">
        <f aca="false">IF(ISNUMBER(C310),F310-C310,"n/a")</f>
        <v>0</v>
      </c>
    </row>
    <row r="311" customFormat="false" ht="15" hidden="false" customHeight="false" outlineLevel="0" collapsed="false">
      <c r="A311" s="11" t="s">
        <v>567</v>
      </c>
      <c r="B311" s="11" t="s">
        <v>250</v>
      </c>
      <c r="C311" s="12" t="n">
        <v>95467.51</v>
      </c>
      <c r="D311" s="11" t="n">
        <v>1</v>
      </c>
      <c r="E311" s="11" t="n">
        <v>0</v>
      </c>
      <c r="F311" s="12" t="n">
        <v>0</v>
      </c>
      <c r="G311" s="11" t="s">
        <v>250</v>
      </c>
      <c r="H311" s="11" t="s">
        <v>248</v>
      </c>
      <c r="I311" s="12" t="n">
        <f aca="false">IF(ISNUMBER(C311),F311-C311,"n/a")</f>
        <v>-95467.51</v>
      </c>
    </row>
    <row r="312" customFormat="false" ht="15" hidden="false" customHeight="false" outlineLevel="0" collapsed="false">
      <c r="A312" s="11" t="s">
        <v>568</v>
      </c>
      <c r="B312" s="11" t="s">
        <v>250</v>
      </c>
      <c r="C312" s="12" t="n">
        <v>138913.37</v>
      </c>
      <c r="D312" s="11" t="n">
        <v>1</v>
      </c>
      <c r="E312" s="11" t="n">
        <v>0</v>
      </c>
      <c r="F312" s="12" t="n">
        <v>0</v>
      </c>
      <c r="G312" s="11" t="s">
        <v>250</v>
      </c>
      <c r="H312" s="11" t="s">
        <v>248</v>
      </c>
      <c r="I312" s="12" t="n">
        <f aca="false">IF(ISNUMBER(C312),F312-C312,"n/a")</f>
        <v>-138913.37</v>
      </c>
    </row>
    <row r="313" customFormat="false" ht="15" hidden="false" customHeight="false" outlineLevel="0" collapsed="false">
      <c r="A313" s="11" t="s">
        <v>569</v>
      </c>
      <c r="B313" s="11" t="s">
        <v>250</v>
      </c>
      <c r="C313" s="12" t="n">
        <v>172589.04</v>
      </c>
      <c r="D313" s="11" t="n">
        <v>1</v>
      </c>
      <c r="E313" s="11" t="n">
        <v>1</v>
      </c>
      <c r="F313" s="12" t="n">
        <v>172589.04</v>
      </c>
      <c r="G313" s="11" t="s">
        <v>243</v>
      </c>
      <c r="H313" s="11" t="s">
        <v>244</v>
      </c>
      <c r="I313" s="12" t="n">
        <f aca="false">IF(ISNUMBER(C313),F313-C313,"n/a")</f>
        <v>0</v>
      </c>
    </row>
    <row r="314" customFormat="false" ht="15" hidden="false" customHeight="false" outlineLevel="0" collapsed="false">
      <c r="A314" s="11" t="s">
        <v>570</v>
      </c>
      <c r="B314" s="11" t="s">
        <v>269</v>
      </c>
      <c r="C314" s="12" t="n">
        <v>169496.51</v>
      </c>
      <c r="D314" s="11" t="n">
        <v>1</v>
      </c>
      <c r="E314" s="11" t="n">
        <v>1</v>
      </c>
      <c r="F314" s="12" t="n">
        <v>169496.51</v>
      </c>
      <c r="G314" s="11" t="s">
        <v>243</v>
      </c>
      <c r="H314" s="11" t="s">
        <v>244</v>
      </c>
      <c r="I314" s="12" t="n">
        <f aca="false">IF(ISNUMBER(C314),F314-C314,"n/a")</f>
        <v>0</v>
      </c>
    </row>
    <row r="315" customFormat="false" ht="15" hidden="false" customHeight="false" outlineLevel="0" collapsed="false">
      <c r="A315" s="11" t="s">
        <v>571</v>
      </c>
      <c r="B315" s="11" t="s">
        <v>246</v>
      </c>
      <c r="C315" s="12" t="n">
        <v>157114.48</v>
      </c>
      <c r="D315" s="11" t="n">
        <v>1</v>
      </c>
      <c r="E315" s="11" t="n">
        <v>1</v>
      </c>
      <c r="F315" s="12" t="n">
        <v>157114.48</v>
      </c>
      <c r="G315" s="11" t="s">
        <v>243</v>
      </c>
      <c r="H315" s="11" t="s">
        <v>255</v>
      </c>
      <c r="I315" s="12" t="n">
        <f aca="false">IF(ISNUMBER(C315),F315-C315,"n/a")</f>
        <v>0</v>
      </c>
    </row>
    <row r="316" customFormat="false" ht="15" hidden="false" customHeight="false" outlineLevel="0" collapsed="false">
      <c r="A316" s="11" t="s">
        <v>572</v>
      </c>
      <c r="B316" s="11" t="s">
        <v>250</v>
      </c>
      <c r="C316" s="12" t="n">
        <v>105657.97</v>
      </c>
      <c r="D316" s="11" t="n">
        <v>1</v>
      </c>
      <c r="E316" s="11" t="n">
        <v>1</v>
      </c>
      <c r="F316" s="12" t="n">
        <v>105657.97</v>
      </c>
      <c r="G316" s="11" t="s">
        <v>243</v>
      </c>
      <c r="H316" s="11" t="s">
        <v>244</v>
      </c>
      <c r="I316" s="12" t="n">
        <f aca="false">IF(ISNUMBER(C316),F316-C316,"n/a")</f>
        <v>0</v>
      </c>
    </row>
    <row r="317" customFormat="false" ht="15" hidden="false" customHeight="false" outlineLevel="0" collapsed="false">
      <c r="A317" s="11" t="s">
        <v>573</v>
      </c>
      <c r="B317" s="11"/>
      <c r="C317" s="12"/>
      <c r="D317" s="11" t="n">
        <v>1</v>
      </c>
      <c r="E317" s="11" t="n">
        <v>0</v>
      </c>
      <c r="F317" s="12" t="n">
        <v>0</v>
      </c>
      <c r="G317" s="11" t="s">
        <v>266</v>
      </c>
      <c r="H317" s="11" t="s">
        <v>257</v>
      </c>
      <c r="I317" s="12" t="str">
        <f aca="false">IF(ISNUMBER(C317),F317-C317,"n/a")</f>
        <v>n/a</v>
      </c>
    </row>
    <row r="318" customFormat="false" ht="15" hidden="false" customHeight="false" outlineLevel="0" collapsed="false">
      <c r="A318" s="11" t="s">
        <v>574</v>
      </c>
      <c r="B318" s="11" t="s">
        <v>242</v>
      </c>
      <c r="C318" s="12" t="n">
        <v>63441.3</v>
      </c>
      <c r="D318" s="11" t="n">
        <v>1</v>
      </c>
      <c r="E318" s="11" t="n">
        <v>1</v>
      </c>
      <c r="F318" s="12" t="n">
        <v>63385</v>
      </c>
      <c r="G318" s="11" t="s">
        <v>243</v>
      </c>
      <c r="H318" s="11" t="s">
        <v>251</v>
      </c>
      <c r="I318" s="12" t="n">
        <f aca="false">IF(ISNUMBER(C318),F318-C318,"n/a")</f>
        <v>-56.3000000000029</v>
      </c>
    </row>
    <row r="319" customFormat="false" ht="15" hidden="false" customHeight="false" outlineLevel="0" collapsed="false">
      <c r="A319" s="11" t="s">
        <v>575</v>
      </c>
      <c r="B319" s="11" t="s">
        <v>246</v>
      </c>
      <c r="C319" s="12" t="n">
        <v>109892.3</v>
      </c>
      <c r="D319" s="11" t="n">
        <v>1</v>
      </c>
      <c r="E319" s="11" t="n">
        <v>1</v>
      </c>
      <c r="F319" s="12" t="n">
        <v>109892.3</v>
      </c>
      <c r="G319" s="11" t="s">
        <v>243</v>
      </c>
      <c r="H319" s="11" t="s">
        <v>255</v>
      </c>
      <c r="I319" s="12" t="n">
        <f aca="false">IF(ISNUMBER(C319),F319-C319,"n/a")</f>
        <v>0</v>
      </c>
    </row>
    <row r="320" customFormat="false" ht="15" hidden="false" customHeight="false" outlineLevel="0" collapsed="false">
      <c r="A320" s="11" t="s">
        <v>576</v>
      </c>
      <c r="B320" s="11" t="s">
        <v>246</v>
      </c>
      <c r="C320" s="12" t="n">
        <v>55486.05</v>
      </c>
      <c r="D320" s="11" t="n">
        <v>1</v>
      </c>
      <c r="E320" s="11" t="n">
        <v>1</v>
      </c>
      <c r="F320" s="12" t="n">
        <v>55486.05</v>
      </c>
      <c r="G320" s="11" t="s">
        <v>243</v>
      </c>
      <c r="H320" s="11" t="s">
        <v>255</v>
      </c>
      <c r="I320" s="12" t="n">
        <f aca="false">IF(ISNUMBER(C320),F320-C320,"n/a")</f>
        <v>0</v>
      </c>
    </row>
    <row r="321" customFormat="false" ht="15" hidden="false" customHeight="false" outlineLevel="0" collapsed="false">
      <c r="A321" s="11" t="s">
        <v>577</v>
      </c>
      <c r="B321" s="11" t="s">
        <v>269</v>
      </c>
      <c r="C321" s="12" t="n">
        <v>81260.1</v>
      </c>
      <c r="D321" s="11" t="n">
        <v>1</v>
      </c>
      <c r="E321" s="11" t="n">
        <v>1</v>
      </c>
      <c r="F321" s="12" t="n">
        <v>81260.1</v>
      </c>
      <c r="G321" s="11" t="s">
        <v>243</v>
      </c>
      <c r="H321" s="11" t="s">
        <v>244</v>
      </c>
      <c r="I321" s="12" t="n">
        <f aca="false">IF(ISNUMBER(C321),F321-C321,"n/a")</f>
        <v>0</v>
      </c>
    </row>
    <row r="322" customFormat="false" ht="15" hidden="false" customHeight="false" outlineLevel="0" collapsed="false">
      <c r="A322" s="11" t="s">
        <v>578</v>
      </c>
      <c r="B322" s="11" t="s">
        <v>242</v>
      </c>
      <c r="C322" s="12" t="n">
        <v>70038.02</v>
      </c>
      <c r="D322" s="11" t="n">
        <v>1</v>
      </c>
      <c r="E322" s="11" t="n">
        <v>1</v>
      </c>
      <c r="F322" s="12" t="n">
        <v>70038.03</v>
      </c>
      <c r="G322" s="11" t="s">
        <v>243</v>
      </c>
      <c r="H322" s="11" t="s">
        <v>244</v>
      </c>
      <c r="I322" s="12" t="n">
        <f aca="false">IF(ISNUMBER(C322),F322-C322,"n/a")</f>
        <v>0.0100000000093132</v>
      </c>
    </row>
    <row r="323" customFormat="false" ht="15" hidden="false" customHeight="false" outlineLevel="0" collapsed="false">
      <c r="A323" s="11" t="s">
        <v>579</v>
      </c>
      <c r="B323" s="11" t="s">
        <v>269</v>
      </c>
      <c r="C323" s="12" t="n">
        <v>61617.2</v>
      </c>
      <c r="D323" s="11" t="n">
        <v>1</v>
      </c>
      <c r="E323" s="11" t="n">
        <v>1</v>
      </c>
      <c r="F323" s="12" t="n">
        <v>61617.2</v>
      </c>
      <c r="G323" s="11" t="s">
        <v>243</v>
      </c>
      <c r="H323" s="11" t="s">
        <v>244</v>
      </c>
      <c r="I323" s="12" t="n">
        <f aca="false">IF(ISNUMBER(C323),F323-C323,"n/a")</f>
        <v>0</v>
      </c>
    </row>
    <row r="324" customFormat="false" ht="15" hidden="false" customHeight="false" outlineLevel="0" collapsed="false">
      <c r="A324" s="11" t="s">
        <v>580</v>
      </c>
      <c r="B324" s="11" t="s">
        <v>242</v>
      </c>
      <c r="C324" s="12" t="n">
        <v>119933.93</v>
      </c>
      <c r="D324" s="11" t="n">
        <v>1</v>
      </c>
      <c r="E324" s="11" t="n">
        <v>1</v>
      </c>
      <c r="F324" s="12" t="n">
        <v>119933.93</v>
      </c>
      <c r="G324" s="11" t="s">
        <v>243</v>
      </c>
      <c r="H324" s="11" t="s">
        <v>244</v>
      </c>
      <c r="I324" s="12" t="n">
        <f aca="false">IF(ISNUMBER(C324),F324-C324,"n/a")</f>
        <v>0</v>
      </c>
    </row>
    <row r="325" customFormat="false" ht="15" hidden="false" customHeight="false" outlineLevel="0" collapsed="false">
      <c r="A325" s="11" t="s">
        <v>581</v>
      </c>
      <c r="B325" s="11"/>
      <c r="C325" s="12"/>
      <c r="D325" s="11" t="n">
        <v>1</v>
      </c>
      <c r="E325" s="11" t="n">
        <v>1</v>
      </c>
      <c r="F325" s="12" t="n">
        <v>224837.1</v>
      </c>
      <c r="G325" s="11" t="s">
        <v>243</v>
      </c>
      <c r="H325" s="11" t="s">
        <v>257</v>
      </c>
      <c r="I325" s="12" t="str">
        <f aca="false">IF(ISNUMBER(C325),F325-C325,"n/a")</f>
        <v>n/a</v>
      </c>
    </row>
    <row r="326" customFormat="false" ht="15" hidden="false" customHeight="false" outlineLevel="0" collapsed="false">
      <c r="A326" s="11" t="s">
        <v>582</v>
      </c>
      <c r="B326" s="11"/>
      <c r="C326" s="12"/>
      <c r="D326" s="11" t="n">
        <v>1</v>
      </c>
      <c r="E326" s="11" t="n">
        <v>1</v>
      </c>
      <c r="F326" s="12" t="n">
        <v>104461.04</v>
      </c>
      <c r="G326" s="11" t="s">
        <v>243</v>
      </c>
      <c r="H326" s="11" t="s">
        <v>257</v>
      </c>
      <c r="I326" s="12" t="str">
        <f aca="false">IF(ISNUMBER(C326),F326-C326,"n/a")</f>
        <v>n/a</v>
      </c>
    </row>
    <row r="327" customFormat="false" ht="15" hidden="false" customHeight="false" outlineLevel="0" collapsed="false">
      <c r="A327" s="11" t="s">
        <v>583</v>
      </c>
      <c r="B327" s="11"/>
      <c r="C327" s="12"/>
      <c r="D327" s="11" t="n">
        <v>1</v>
      </c>
      <c r="E327" s="11" t="n">
        <v>1</v>
      </c>
      <c r="F327" s="12" t="n">
        <v>70145.67</v>
      </c>
      <c r="G327" s="11" t="s">
        <v>243</v>
      </c>
      <c r="H327" s="11" t="s">
        <v>257</v>
      </c>
      <c r="I327" s="12" t="str">
        <f aca="false">IF(ISNUMBER(C327),F327-C327,"n/a")</f>
        <v>n/a</v>
      </c>
    </row>
    <row r="328" customFormat="false" ht="15" hidden="false" customHeight="false" outlineLevel="0" collapsed="false">
      <c r="A328" s="11" t="s">
        <v>584</v>
      </c>
      <c r="B328" s="11"/>
      <c r="C328" s="12"/>
      <c r="D328" s="11" t="n">
        <v>1</v>
      </c>
      <c r="E328" s="11" t="n">
        <v>0</v>
      </c>
      <c r="F328" s="12" t="n">
        <v>0</v>
      </c>
      <c r="G328" s="11" t="s">
        <v>266</v>
      </c>
      <c r="H328" s="11" t="s">
        <v>257</v>
      </c>
      <c r="I328" s="12" t="str">
        <f aca="false">IF(ISNUMBER(C328),F328-C328,"n/a")</f>
        <v>n/a</v>
      </c>
    </row>
    <row r="329" customFormat="false" ht="15" hidden="false" customHeight="false" outlineLevel="0" collapsed="false">
      <c r="A329" s="11" t="s">
        <v>585</v>
      </c>
      <c r="B329" s="11"/>
      <c r="C329" s="12"/>
      <c r="D329" s="11" t="n">
        <v>1</v>
      </c>
      <c r="E329" s="11" t="n">
        <v>0</v>
      </c>
      <c r="F329" s="12" t="n">
        <v>0</v>
      </c>
      <c r="G329" s="11" t="s">
        <v>247</v>
      </c>
      <c r="H329" s="11" t="s">
        <v>257</v>
      </c>
      <c r="I329" s="12" t="str">
        <f aca="false">IF(ISNUMBER(C329),F329-C329,"n/a")</f>
        <v>n/a</v>
      </c>
    </row>
    <row r="330" customFormat="false" ht="15" hidden="false" customHeight="false" outlineLevel="0" collapsed="false">
      <c r="A330" s="11" t="s">
        <v>586</v>
      </c>
      <c r="B330" s="11"/>
      <c r="C330" s="12"/>
      <c r="D330" s="11" t="n">
        <v>1</v>
      </c>
      <c r="E330" s="11" t="n">
        <v>1</v>
      </c>
      <c r="F330" s="12" t="n">
        <v>27430.41</v>
      </c>
      <c r="G330" s="11" t="s">
        <v>243</v>
      </c>
      <c r="H330" s="11" t="s">
        <v>257</v>
      </c>
      <c r="I330" s="12" t="str">
        <f aca="false">IF(ISNUMBER(C330),F330-C330,"n/a")</f>
        <v>n/a</v>
      </c>
    </row>
    <row r="331" customFormat="false" ht="15" hidden="false" customHeight="false" outlineLevel="0" collapsed="false">
      <c r="A331" s="11" t="s">
        <v>587</v>
      </c>
      <c r="B331" s="11"/>
      <c r="C331" s="12"/>
      <c r="D331" s="11" t="n">
        <v>1</v>
      </c>
      <c r="E331" s="11" t="n">
        <v>1</v>
      </c>
      <c r="F331" s="12" t="n">
        <v>107279.68</v>
      </c>
      <c r="G331" s="11" t="s">
        <v>243</v>
      </c>
      <c r="H331" s="11" t="s">
        <v>257</v>
      </c>
      <c r="I331" s="12" t="str">
        <f aca="false">IF(ISNUMBER(C331),F331-C331,"n/a")</f>
        <v>n/a</v>
      </c>
    </row>
    <row r="332" customFormat="false" ht="15" hidden="false" customHeight="false" outlineLevel="0" collapsed="false">
      <c r="A332" s="11" t="s">
        <v>588</v>
      </c>
      <c r="B332" s="11"/>
      <c r="C332" s="12"/>
      <c r="D332" s="11" t="n">
        <v>1</v>
      </c>
      <c r="E332" s="11" t="n">
        <v>0</v>
      </c>
      <c r="F332" s="12" t="n">
        <v>0</v>
      </c>
      <c r="G332" s="11" t="s">
        <v>247</v>
      </c>
      <c r="H332" s="11" t="s">
        <v>257</v>
      </c>
      <c r="I332" s="12" t="str">
        <f aca="false">IF(ISNUMBER(C332),F332-C332,"n/a")</f>
        <v>n/a</v>
      </c>
    </row>
  </sheetData>
  <autoFilter ref="A4:I3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3"/>
  </cols>
  <sheetData>
    <row r="1" customFormat="false" ht="22.05" hidden="false" customHeight="false" outlineLevel="0" collapsed="false">
      <c r="A1" s="8" t="s">
        <v>589</v>
      </c>
    </row>
    <row r="2" customFormat="false" ht="199.95" hidden="false" customHeight="false" outlineLevel="0" collapsed="false">
      <c r="A2" s="9" t="s">
        <v>590</v>
      </c>
    </row>
    <row r="4" customFormat="false" ht="15" hidden="false" customHeight="false" outlineLevel="0" collapsed="false">
      <c r="A4" s="11" t="s">
        <v>591</v>
      </c>
      <c r="C4" s="16" t="n">
        <v>163</v>
      </c>
      <c r="D4" s="11" t="s">
        <v>592</v>
      </c>
    </row>
    <row r="5" customFormat="false" ht="15" hidden="false" customHeight="false" outlineLevel="0" collapsed="false">
      <c r="A5" s="11" t="s">
        <v>593</v>
      </c>
      <c r="C5" s="16" t="n">
        <v>505</v>
      </c>
    </row>
    <row r="6" customFormat="false" ht="15" hidden="false" customHeight="false" outlineLevel="0" collapsed="false">
      <c r="A6" s="11" t="s">
        <v>594</v>
      </c>
      <c r="C6" s="12" t="n">
        <v>4088203.41</v>
      </c>
      <c r="D6" s="17" t="n">
        <f aca="false">C6/28565694.61</f>
        <v>0.143115841074939</v>
      </c>
      <c r="E6" s="11" t="s">
        <v>595</v>
      </c>
    </row>
    <row r="7" customFormat="false" ht="15" hidden="false" customHeight="false" outlineLevel="0" collapsed="false">
      <c r="A7" s="11" t="s">
        <v>596</v>
      </c>
      <c r="C7" s="13" t="n">
        <v>1795100.836</v>
      </c>
    </row>
    <row r="9" customFormat="false" ht="30" hidden="false" customHeight="true" outlineLevel="0" collapsed="false">
      <c r="A9" s="10" t="s">
        <v>121</v>
      </c>
      <c r="B9" s="10" t="s">
        <v>122</v>
      </c>
      <c r="C9" s="10" t="s">
        <v>123</v>
      </c>
      <c r="D9" s="10" t="s">
        <v>597</v>
      </c>
      <c r="E9" s="10" t="s">
        <v>598</v>
      </c>
      <c r="F9" s="10" t="s">
        <v>599</v>
      </c>
      <c r="G9" s="10" t="s">
        <v>600</v>
      </c>
      <c r="H9" s="10" t="s">
        <v>601</v>
      </c>
      <c r="I9" s="10" t="s">
        <v>602</v>
      </c>
    </row>
    <row r="10" customFormat="false" ht="15" hidden="false" customHeight="false" outlineLevel="0" collapsed="false">
      <c r="A10" s="11" t="s">
        <v>133</v>
      </c>
      <c r="B10" s="11" t="s">
        <v>134</v>
      </c>
      <c r="C10" s="11" t="s">
        <v>21</v>
      </c>
      <c r="D10" s="11" t="n">
        <v>19</v>
      </c>
      <c r="E10" s="11" t="n">
        <v>66</v>
      </c>
      <c r="F10" s="12" t="n">
        <v>936864.71</v>
      </c>
      <c r="G10" s="12" t="n">
        <v>600320.8505</v>
      </c>
      <c r="H10" s="12" t="n">
        <v>23290.69</v>
      </c>
      <c r="I10" s="12" t="n">
        <v>14218.0903157895</v>
      </c>
    </row>
    <row r="11" customFormat="false" ht="15" hidden="false" customHeight="false" outlineLevel="0" collapsed="false">
      <c r="A11" s="11" t="s">
        <v>603</v>
      </c>
      <c r="B11" s="11" t="s">
        <v>604</v>
      </c>
      <c r="C11" s="11" t="s">
        <v>23</v>
      </c>
      <c r="D11" s="11" t="n">
        <v>12</v>
      </c>
      <c r="E11" s="11" t="n">
        <v>27</v>
      </c>
      <c r="F11" s="12" t="n">
        <v>375725.46</v>
      </c>
      <c r="G11" s="12" t="n">
        <v>297667.776</v>
      </c>
      <c r="H11" s="12" t="n">
        <v>24940.49</v>
      </c>
      <c r="I11" s="12" t="n">
        <v>14060.412</v>
      </c>
    </row>
    <row r="12" customFormat="false" ht="15" hidden="false" customHeight="false" outlineLevel="0" collapsed="false">
      <c r="A12" s="11" t="s">
        <v>605</v>
      </c>
      <c r="B12" s="11" t="s">
        <v>606</v>
      </c>
      <c r="C12" s="11" t="s">
        <v>24</v>
      </c>
      <c r="D12" s="11" t="n">
        <v>7</v>
      </c>
      <c r="E12" s="11" t="n">
        <v>24</v>
      </c>
      <c r="F12" s="12" t="n">
        <v>125100.76</v>
      </c>
      <c r="G12" s="12" t="n">
        <v>224757.08</v>
      </c>
      <c r="H12" s="12" t="n">
        <v>14577.41</v>
      </c>
      <c r="I12" s="12" t="n">
        <v>5236.776</v>
      </c>
    </row>
    <row r="13" customFormat="false" ht="15" hidden="false" customHeight="false" outlineLevel="0" collapsed="false">
      <c r="A13" s="11" t="s">
        <v>607</v>
      </c>
      <c r="B13" s="11" t="s">
        <v>608</v>
      </c>
      <c r="C13" s="11" t="s">
        <v>22</v>
      </c>
      <c r="D13" s="11" t="n">
        <v>9</v>
      </c>
      <c r="E13" s="11" t="n">
        <v>28</v>
      </c>
      <c r="F13" s="12" t="n">
        <v>301387.3</v>
      </c>
      <c r="G13" s="12" t="n">
        <v>218747.7015</v>
      </c>
      <c r="H13" s="12" t="n">
        <v>18576.25</v>
      </c>
      <c r="I13" s="12" t="n">
        <v>10862.5407222222</v>
      </c>
    </row>
    <row r="14" customFormat="false" ht="15" hidden="false" customHeight="false" outlineLevel="0" collapsed="false">
      <c r="A14" s="11" t="s">
        <v>609</v>
      </c>
      <c r="B14" s="11" t="s">
        <v>610</v>
      </c>
      <c r="C14" s="11" t="s">
        <v>20</v>
      </c>
      <c r="D14" s="11" t="n">
        <v>6</v>
      </c>
      <c r="E14" s="11" t="n">
        <v>14</v>
      </c>
      <c r="F14" s="12" t="n">
        <v>144986.74</v>
      </c>
      <c r="G14" s="12" t="n">
        <v>90207.796</v>
      </c>
      <c r="H14" s="12" t="n">
        <v>16799.61</v>
      </c>
      <c r="I14" s="12" t="n">
        <v>10305.4303333333</v>
      </c>
    </row>
    <row r="15" customFormat="false" ht="15" hidden="false" customHeight="false" outlineLevel="0" collapsed="false">
      <c r="A15" s="11" t="s">
        <v>611</v>
      </c>
      <c r="B15" s="11" t="s">
        <v>612</v>
      </c>
      <c r="C15" s="11" t="s">
        <v>22</v>
      </c>
      <c r="D15" s="11" t="n">
        <v>15</v>
      </c>
      <c r="E15" s="11" t="n">
        <v>48</v>
      </c>
      <c r="F15" s="12" t="n">
        <v>158467.26</v>
      </c>
      <c r="G15" s="12" t="n">
        <v>89778.188</v>
      </c>
      <c r="H15" s="12" t="n">
        <v>5171.78</v>
      </c>
      <c r="I15" s="12" t="n">
        <v>3307.4587</v>
      </c>
    </row>
    <row r="16" customFormat="false" ht="15" hidden="false" customHeight="false" outlineLevel="0" collapsed="false">
      <c r="A16" s="11" t="s">
        <v>613</v>
      </c>
      <c r="B16" s="11" t="s">
        <v>614</v>
      </c>
      <c r="C16" s="11" t="s">
        <v>23</v>
      </c>
      <c r="D16" s="11" t="n">
        <v>8</v>
      </c>
      <c r="E16" s="11" t="n">
        <v>20</v>
      </c>
      <c r="F16" s="12" t="n">
        <v>132460.02</v>
      </c>
      <c r="G16" s="12" t="n">
        <v>56691.5745</v>
      </c>
      <c r="H16" s="12" t="n">
        <v>9457.58</v>
      </c>
      <c r="I16" s="12" t="n">
        <v>6767.371875</v>
      </c>
    </row>
    <row r="17" customFormat="false" ht="15" hidden="false" customHeight="false" outlineLevel="0" collapsed="false">
      <c r="A17" s="11" t="s">
        <v>615</v>
      </c>
      <c r="B17" s="11" t="s">
        <v>616</v>
      </c>
      <c r="C17" s="11" t="s">
        <v>23</v>
      </c>
      <c r="D17" s="11" t="n">
        <v>10</v>
      </c>
      <c r="E17" s="11" t="n">
        <v>27</v>
      </c>
      <c r="F17" s="12" t="n">
        <v>71720.4</v>
      </c>
      <c r="G17" s="12" t="n">
        <v>51127.7055</v>
      </c>
      <c r="H17" s="12" t="n">
        <v>4549.93</v>
      </c>
      <c r="I17" s="12" t="n">
        <v>2691.3046</v>
      </c>
    </row>
    <row r="18" customFormat="false" ht="15" hidden="false" customHeight="false" outlineLevel="0" collapsed="false">
      <c r="A18" s="11" t="s">
        <v>617</v>
      </c>
      <c r="B18" s="11" t="s">
        <v>618</v>
      </c>
      <c r="C18" s="11" t="s">
        <v>21</v>
      </c>
      <c r="D18" s="11" t="n">
        <v>5</v>
      </c>
      <c r="E18" s="11" t="n">
        <v>12</v>
      </c>
      <c r="F18" s="12" t="n">
        <v>22435.61</v>
      </c>
      <c r="G18" s="12" t="n">
        <v>32462.588</v>
      </c>
      <c r="H18" s="12" t="n">
        <v>4574.85</v>
      </c>
      <c r="I18" s="12" t="n">
        <v>2301.2365</v>
      </c>
    </row>
    <row r="19" customFormat="false" ht="15" hidden="false" customHeight="false" outlineLevel="0" collapsed="false">
      <c r="A19" s="11" t="s">
        <v>152</v>
      </c>
      <c r="B19" s="11" t="s">
        <v>153</v>
      </c>
      <c r="C19" s="11" t="s">
        <v>23</v>
      </c>
      <c r="D19" s="11" t="n">
        <v>6</v>
      </c>
      <c r="E19" s="11" t="n">
        <v>26</v>
      </c>
      <c r="F19" s="12" t="n">
        <v>212011.47</v>
      </c>
      <c r="G19" s="12" t="n">
        <v>22694.953</v>
      </c>
      <c r="H19" s="12" t="n">
        <v>9027.17</v>
      </c>
      <c r="I19" s="12" t="n">
        <v>8128.76516666667</v>
      </c>
    </row>
    <row r="20" customFormat="false" ht="15" hidden="false" customHeight="false" outlineLevel="0" collapsed="false">
      <c r="A20" s="11" t="s">
        <v>619</v>
      </c>
      <c r="B20" s="11" t="s">
        <v>620</v>
      </c>
      <c r="C20" s="11" t="s">
        <v>23</v>
      </c>
      <c r="D20" s="11" t="n">
        <v>4</v>
      </c>
      <c r="E20" s="11" t="n">
        <v>16</v>
      </c>
      <c r="F20" s="12" t="n">
        <v>271265.15</v>
      </c>
      <c r="G20" s="12" t="n">
        <v>20305.572</v>
      </c>
      <c r="H20" s="12" t="n">
        <v>18223.17</v>
      </c>
      <c r="I20" s="12" t="n">
        <v>16954.07175</v>
      </c>
    </row>
    <row r="21" customFormat="false" ht="15" hidden="false" customHeight="false" outlineLevel="0" collapsed="false">
      <c r="A21" s="11" t="s">
        <v>621</v>
      </c>
      <c r="B21" s="11" t="s">
        <v>622</v>
      </c>
      <c r="C21" s="11" t="s">
        <v>20</v>
      </c>
      <c r="D21" s="11" t="n">
        <v>10</v>
      </c>
      <c r="E21" s="11" t="n">
        <v>31</v>
      </c>
      <c r="F21" s="12" t="n">
        <v>33517.62</v>
      </c>
      <c r="G21" s="12" t="n">
        <v>20132.8475</v>
      </c>
      <c r="H21" s="12" t="n">
        <v>1730.66</v>
      </c>
      <c r="I21" s="12" t="n">
        <v>1072.5636</v>
      </c>
    </row>
    <row r="22" customFormat="false" ht="15" hidden="false" customHeight="false" outlineLevel="0" collapsed="false">
      <c r="A22" s="11" t="s">
        <v>623</v>
      </c>
      <c r="B22" s="11" t="s">
        <v>624</v>
      </c>
      <c r="C22" s="11" t="s">
        <v>20</v>
      </c>
      <c r="D22" s="11" t="n">
        <v>6</v>
      </c>
      <c r="E22" s="11" t="n">
        <v>15</v>
      </c>
      <c r="F22" s="12" t="n">
        <v>199254.7</v>
      </c>
      <c r="G22" s="12" t="n">
        <v>16376.747</v>
      </c>
      <c r="H22" s="12" t="n">
        <v>14375.43</v>
      </c>
      <c r="I22" s="12" t="n">
        <v>13366.3251666667</v>
      </c>
    </row>
    <row r="23" customFormat="false" ht="15" hidden="false" customHeight="false" outlineLevel="0" collapsed="false">
      <c r="A23" s="11" t="s">
        <v>625</v>
      </c>
      <c r="B23" s="11" t="s">
        <v>25</v>
      </c>
      <c r="C23" s="11" t="s">
        <v>21</v>
      </c>
      <c r="D23" s="11" t="n">
        <v>4</v>
      </c>
      <c r="E23" s="11" t="n">
        <v>15</v>
      </c>
      <c r="F23" s="12" t="n">
        <v>188953.39</v>
      </c>
      <c r="G23" s="12" t="n">
        <v>8692.29899999999</v>
      </c>
      <c r="H23" s="12" t="n">
        <v>13176.38</v>
      </c>
      <c r="I23" s="12" t="n">
        <v>12521.0085</v>
      </c>
    </row>
    <row r="24" customFormat="false" ht="15" hidden="false" customHeight="false" outlineLevel="0" collapsed="false">
      <c r="A24" s="11" t="s">
        <v>626</v>
      </c>
      <c r="B24" s="11" t="s">
        <v>627</v>
      </c>
      <c r="C24" s="11" t="s">
        <v>24</v>
      </c>
      <c r="D24" s="11" t="n">
        <v>5</v>
      </c>
      <c r="E24" s="11" t="n">
        <v>19</v>
      </c>
      <c r="F24" s="12" t="n">
        <v>187933.88</v>
      </c>
      <c r="G24" s="12" t="n">
        <v>8680.01750000001</v>
      </c>
      <c r="H24" s="12" t="n">
        <v>10348.1</v>
      </c>
      <c r="I24" s="12" t="n">
        <v>9903.8173</v>
      </c>
    </row>
    <row r="25" customFormat="false" ht="15" hidden="false" customHeight="false" outlineLevel="0" collapsed="false">
      <c r="A25" s="11" t="s">
        <v>127</v>
      </c>
      <c r="B25" s="11" t="s">
        <v>128</v>
      </c>
      <c r="C25" s="11" t="s">
        <v>21</v>
      </c>
      <c r="D25" s="11" t="n">
        <v>6</v>
      </c>
      <c r="E25" s="11" t="n">
        <v>19</v>
      </c>
      <c r="F25" s="12" t="n">
        <v>21563.02</v>
      </c>
      <c r="G25" s="12" t="n">
        <v>8139.304</v>
      </c>
      <c r="H25" s="12" t="n">
        <v>1563.28</v>
      </c>
      <c r="I25" s="12" t="n">
        <v>1115.16766666667</v>
      </c>
    </row>
    <row r="26" customFormat="false" ht="15" hidden="false" customHeight="false" outlineLevel="0" collapsed="false">
      <c r="A26" s="11" t="s">
        <v>158</v>
      </c>
      <c r="B26" s="11" t="s">
        <v>159</v>
      </c>
      <c r="C26" s="11" t="s">
        <v>22</v>
      </c>
      <c r="D26" s="11" t="n">
        <v>7</v>
      </c>
      <c r="E26" s="11" t="n">
        <v>20</v>
      </c>
      <c r="F26" s="12" t="n">
        <v>89728.99</v>
      </c>
      <c r="G26" s="12" t="n">
        <v>7505.208</v>
      </c>
      <c r="H26" s="12" t="n">
        <v>4861.71</v>
      </c>
      <c r="I26" s="12" t="n">
        <v>4494.26571428571</v>
      </c>
    </row>
    <row r="27" customFormat="false" ht="15" hidden="false" customHeight="false" outlineLevel="0" collapsed="false">
      <c r="A27" s="11" t="s">
        <v>628</v>
      </c>
      <c r="B27" s="11" t="s">
        <v>629</v>
      </c>
      <c r="C27" s="11" t="s">
        <v>22</v>
      </c>
      <c r="D27" s="11" t="n">
        <v>3</v>
      </c>
      <c r="E27" s="11" t="n">
        <v>12</v>
      </c>
      <c r="F27" s="12" t="n">
        <v>90376.95</v>
      </c>
      <c r="G27" s="12" t="n">
        <v>6542.01749999999</v>
      </c>
      <c r="H27" s="12" t="n">
        <v>8076.58</v>
      </c>
      <c r="I27" s="12" t="n">
        <v>7570.0345</v>
      </c>
    </row>
    <row r="28" customFormat="false" ht="15" hidden="false" customHeight="false" outlineLevel="0" collapsed="false">
      <c r="A28" s="11" t="s">
        <v>131</v>
      </c>
      <c r="B28" s="11" t="s">
        <v>132</v>
      </c>
      <c r="C28" s="11" t="s">
        <v>22</v>
      </c>
      <c r="D28" s="11" t="n">
        <v>3</v>
      </c>
      <c r="E28" s="11" t="n">
        <v>5</v>
      </c>
      <c r="F28" s="12" t="n">
        <v>45701.78</v>
      </c>
      <c r="G28" s="12" t="n">
        <v>4555.97049999999</v>
      </c>
      <c r="H28" s="12" t="n">
        <v>10051.55</v>
      </c>
      <c r="I28" s="12" t="n">
        <v>9215.58516666667</v>
      </c>
    </row>
    <row r="29" customFormat="false" ht="15" hidden="false" customHeight="false" outlineLevel="0" collapsed="false">
      <c r="A29" s="11" t="s">
        <v>630</v>
      </c>
      <c r="B29" s="11" t="s">
        <v>25</v>
      </c>
      <c r="C29" s="11" t="s">
        <v>23</v>
      </c>
      <c r="D29" s="11" t="n">
        <v>1</v>
      </c>
      <c r="E29" s="11" t="n">
        <v>3</v>
      </c>
      <c r="F29" s="12" t="n">
        <v>45188.4</v>
      </c>
      <c r="G29" s="12" t="n">
        <v>2152.86</v>
      </c>
      <c r="H29" s="12" t="n">
        <v>15780.42</v>
      </c>
      <c r="I29" s="12" t="n">
        <v>15062.8</v>
      </c>
    </row>
    <row r="30" customFormat="false" ht="15" hidden="false" customHeight="false" outlineLevel="0" collapsed="false">
      <c r="A30" s="11" t="s">
        <v>129</v>
      </c>
      <c r="B30" s="11" t="s">
        <v>130</v>
      </c>
      <c r="C30" s="11" t="s">
        <v>24</v>
      </c>
      <c r="D30" s="11" t="n">
        <v>2</v>
      </c>
      <c r="E30" s="11" t="n">
        <v>8</v>
      </c>
      <c r="F30" s="12" t="n">
        <v>20382.78</v>
      </c>
      <c r="G30" s="12" t="n">
        <v>2025.216</v>
      </c>
      <c r="H30" s="12" t="n">
        <v>2801</v>
      </c>
      <c r="I30" s="12" t="n">
        <v>2547.848</v>
      </c>
    </row>
    <row r="31" customFormat="false" ht="15" hidden="false" customHeight="false" outlineLevel="0" collapsed="false">
      <c r="A31" s="11" t="s">
        <v>631</v>
      </c>
      <c r="B31" s="11" t="s">
        <v>632</v>
      </c>
      <c r="C31" s="11" t="s">
        <v>24</v>
      </c>
      <c r="D31" s="11" t="n">
        <v>1</v>
      </c>
      <c r="E31" s="11" t="n">
        <v>5</v>
      </c>
      <c r="F31" s="12" t="n">
        <v>46075.44</v>
      </c>
      <c r="G31" s="12" t="n">
        <v>1930.70999999999</v>
      </c>
      <c r="H31" s="12" t="n">
        <v>9601.23</v>
      </c>
      <c r="I31" s="12" t="n">
        <v>9215.088</v>
      </c>
    </row>
    <row r="32" customFormat="false" ht="15" hidden="false" customHeight="false" outlineLevel="0" collapsed="false">
      <c r="A32" s="11" t="s">
        <v>141</v>
      </c>
      <c r="B32" s="11" t="s">
        <v>142</v>
      </c>
      <c r="C32" s="11" t="s">
        <v>24</v>
      </c>
      <c r="D32" s="11" t="n">
        <v>2</v>
      </c>
      <c r="E32" s="11" t="n">
        <v>8</v>
      </c>
      <c r="F32" s="12" t="n">
        <v>131078.66</v>
      </c>
      <c r="G32" s="12" t="n">
        <v>1531.264</v>
      </c>
      <c r="H32" s="12" t="n">
        <v>16576.24</v>
      </c>
      <c r="I32" s="12" t="n">
        <v>16384.832</v>
      </c>
    </row>
    <row r="33" customFormat="false" ht="15" hidden="false" customHeight="false" outlineLevel="0" collapsed="false">
      <c r="A33" s="11" t="s">
        <v>633</v>
      </c>
      <c r="B33" s="11" t="s">
        <v>634</v>
      </c>
      <c r="C33" s="11" t="s">
        <v>22</v>
      </c>
      <c r="D33" s="11" t="n">
        <v>2</v>
      </c>
      <c r="E33" s="11" t="n">
        <v>4</v>
      </c>
      <c r="F33" s="12" t="n">
        <v>14638.11</v>
      </c>
      <c r="G33" s="12" t="n">
        <v>872.687999999998</v>
      </c>
      <c r="H33" s="12" t="n">
        <v>3877.7</v>
      </c>
      <c r="I33" s="12" t="n">
        <v>3659.528</v>
      </c>
    </row>
    <row r="34" customFormat="false" ht="15" hidden="false" customHeight="false" outlineLevel="0" collapsed="false">
      <c r="A34" s="11" t="s">
        <v>635</v>
      </c>
      <c r="B34" s="11" t="s">
        <v>636</v>
      </c>
      <c r="C34" s="11" t="s">
        <v>22</v>
      </c>
      <c r="D34" s="11" t="n">
        <v>4</v>
      </c>
      <c r="E34" s="11" t="n">
        <v>11</v>
      </c>
      <c r="F34" s="12" t="n">
        <v>69322.97</v>
      </c>
      <c r="G34" s="12" t="n">
        <v>596.002000000008</v>
      </c>
      <c r="H34" s="12" t="n">
        <v>6356.27</v>
      </c>
      <c r="I34" s="12" t="n">
        <v>6302.088</v>
      </c>
    </row>
    <row r="35" customFormat="false" ht="15" hidden="false" customHeight="false" outlineLevel="0" collapsed="false">
      <c r="A35" s="11" t="s">
        <v>637</v>
      </c>
      <c r="B35" s="11" t="s">
        <v>638</v>
      </c>
      <c r="C35" s="11" t="s">
        <v>21</v>
      </c>
      <c r="D35" s="11" t="n">
        <v>1</v>
      </c>
      <c r="E35" s="11" t="n">
        <v>2</v>
      </c>
      <c r="F35" s="12" t="n">
        <v>4830.98</v>
      </c>
      <c r="G35" s="12" t="n">
        <v>199.244</v>
      </c>
      <c r="H35" s="12" t="n">
        <v>2515.11</v>
      </c>
      <c r="I35" s="12" t="n">
        <v>2415.488</v>
      </c>
    </row>
    <row r="36" customFormat="false" ht="15" hidden="false" customHeight="false" outlineLevel="0" collapsed="false">
      <c r="A36" s="11" t="s">
        <v>639</v>
      </c>
      <c r="B36" s="11" t="s">
        <v>640</v>
      </c>
      <c r="C36" s="11" t="s">
        <v>23</v>
      </c>
      <c r="D36" s="11" t="n">
        <v>3</v>
      </c>
      <c r="E36" s="11" t="n">
        <v>14</v>
      </c>
      <c r="F36" s="12" t="n">
        <v>95129.66</v>
      </c>
      <c r="G36" s="12" t="n">
        <v>189.756000000001</v>
      </c>
      <c r="H36" s="12" t="n">
        <v>6808.53</v>
      </c>
      <c r="I36" s="12" t="n">
        <v>6794.976</v>
      </c>
    </row>
    <row r="37" customFormat="false" ht="15" hidden="false" customHeight="false" outlineLevel="0" collapsed="false">
      <c r="A37" s="11" t="s">
        <v>641</v>
      </c>
      <c r="B37" s="11" t="s">
        <v>642</v>
      </c>
      <c r="C37" s="11" t="s">
        <v>24</v>
      </c>
      <c r="D37" s="11" t="n">
        <v>1</v>
      </c>
      <c r="E37" s="11" t="n">
        <v>4</v>
      </c>
      <c r="F37" s="12" t="n">
        <v>23403.68</v>
      </c>
      <c r="G37" s="12" t="n">
        <v>116.360000000001</v>
      </c>
      <c r="H37" s="12" t="n">
        <v>5880.01</v>
      </c>
      <c r="I37" s="12" t="n">
        <v>5850.92</v>
      </c>
    </row>
    <row r="38" customFormat="false" ht="15" hidden="false" customHeight="false" outlineLevel="0" collapsed="false">
      <c r="A38" s="11" t="s">
        <v>643</v>
      </c>
      <c r="B38" s="11" t="s">
        <v>644</v>
      </c>
      <c r="C38" s="11" t="s">
        <v>22</v>
      </c>
      <c r="D38" s="11" t="n">
        <v>1</v>
      </c>
      <c r="E38" s="11" t="n">
        <v>2</v>
      </c>
      <c r="F38" s="12" t="n">
        <v>28697.52</v>
      </c>
      <c r="G38" s="12" t="n">
        <v>100.539999999997</v>
      </c>
      <c r="H38" s="12" t="n">
        <v>14399.03</v>
      </c>
      <c r="I38" s="12" t="n">
        <v>14348.76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70"/>
    <col collapsed="false" customWidth="true" hidden="false" outlineLevel="0" max="5" min="4" style="0" width="12"/>
  </cols>
  <sheetData>
    <row r="1" customFormat="false" ht="22.05" hidden="false" customHeight="false" outlineLevel="0" collapsed="false">
      <c r="A1" s="8" t="s">
        <v>645</v>
      </c>
    </row>
    <row r="2" customFormat="false" ht="85.05" hidden="false" customHeight="false" outlineLevel="0" collapsed="false">
      <c r="A2" s="9" t="s">
        <v>646</v>
      </c>
    </row>
    <row r="4" customFormat="false" ht="30" hidden="false" customHeight="true" outlineLevel="0" collapsed="false">
      <c r="A4" s="10" t="s">
        <v>647</v>
      </c>
      <c r="B4" s="10" t="s">
        <v>648</v>
      </c>
      <c r="C4" s="10" t="s">
        <v>649</v>
      </c>
      <c r="D4" s="10" t="s">
        <v>650</v>
      </c>
      <c r="E4" s="10" t="s">
        <v>651</v>
      </c>
    </row>
    <row r="5" customFormat="false" ht="15" hidden="false" customHeight="false" outlineLevel="0" collapsed="false">
      <c r="A5" s="22" t="s">
        <v>652</v>
      </c>
      <c r="B5" s="22" t="s">
        <v>653</v>
      </c>
      <c r="C5" s="22" t="s">
        <v>654</v>
      </c>
      <c r="D5" s="23" t="n">
        <v>16384</v>
      </c>
      <c r="E5" s="23" t="n">
        <v>19</v>
      </c>
    </row>
    <row r="6" customFormat="false" ht="15" hidden="false" customHeight="false" outlineLevel="0" collapsed="false">
      <c r="A6" s="22" t="s">
        <v>652</v>
      </c>
      <c r="B6" s="22" t="s">
        <v>655</v>
      </c>
      <c r="C6" s="22" t="s">
        <v>656</v>
      </c>
      <c r="D6" s="23" t="n">
        <v>3</v>
      </c>
      <c r="E6" s="23" t="n">
        <v>3</v>
      </c>
    </row>
    <row r="7" customFormat="false" ht="15" hidden="false" customHeight="false" outlineLevel="0" collapsed="false">
      <c r="A7" s="22" t="s">
        <v>652</v>
      </c>
      <c r="B7" s="22" t="s">
        <v>657</v>
      </c>
      <c r="C7" s="22" t="s">
        <v>658</v>
      </c>
      <c r="D7" s="23" t="n">
        <v>767</v>
      </c>
      <c r="E7" s="23" t="n">
        <v>730</v>
      </c>
    </row>
    <row r="8" customFormat="false" ht="15" hidden="false" customHeight="false" outlineLevel="0" collapsed="false">
      <c r="A8" s="22" t="s">
        <v>652</v>
      </c>
      <c r="B8" s="22" t="s">
        <v>659</v>
      </c>
      <c r="C8" s="22" t="s">
        <v>660</v>
      </c>
      <c r="D8" s="23" t="n">
        <v>767</v>
      </c>
      <c r="E8" s="23" t="n">
        <v>759</v>
      </c>
    </row>
    <row r="9" customFormat="false" ht="15" hidden="false" customHeight="false" outlineLevel="0" collapsed="false">
      <c r="A9" s="22" t="s">
        <v>652</v>
      </c>
      <c r="B9" s="22" t="s">
        <v>661</v>
      </c>
      <c r="C9" s="22" t="s">
        <v>662</v>
      </c>
      <c r="D9" s="23" t="n">
        <v>767</v>
      </c>
      <c r="E9" s="23" t="n">
        <v>766</v>
      </c>
    </row>
    <row r="10" customFormat="false" ht="15" hidden="false" customHeight="false" outlineLevel="0" collapsed="false">
      <c r="A10" s="22" t="s">
        <v>652</v>
      </c>
      <c r="B10" s="22" t="s">
        <v>663</v>
      </c>
      <c r="C10" s="22" t="s">
        <v>664</v>
      </c>
      <c r="D10" s="23" t="n">
        <v>767</v>
      </c>
      <c r="E10" s="23" t="n">
        <v>767</v>
      </c>
    </row>
    <row r="11" customFormat="false" ht="23.85" hidden="false" customHeight="false" outlineLevel="0" collapsed="false">
      <c r="A11" s="22" t="s">
        <v>665</v>
      </c>
      <c r="B11" s="22" t="s">
        <v>666</v>
      </c>
      <c r="C11" s="22" t="s">
        <v>667</v>
      </c>
      <c r="D11" s="23" t="n">
        <v>59</v>
      </c>
      <c r="E11" s="23" t="n">
        <v>59</v>
      </c>
    </row>
    <row r="12" customFormat="false" ht="15" hidden="false" customHeight="false" outlineLevel="0" collapsed="false">
      <c r="A12" s="22" t="s">
        <v>665</v>
      </c>
      <c r="B12" s="22" t="s">
        <v>668</v>
      </c>
      <c r="C12" s="22" t="s">
        <v>669</v>
      </c>
      <c r="D12" s="23" t="n">
        <v>59</v>
      </c>
      <c r="E12" s="23" t="n">
        <v>28</v>
      </c>
    </row>
    <row r="13" customFormat="false" ht="15" hidden="false" customHeight="false" outlineLevel="0" collapsed="false">
      <c r="A13" s="22" t="s">
        <v>665</v>
      </c>
      <c r="B13" s="22" t="s">
        <v>670</v>
      </c>
      <c r="C13" s="22" t="s">
        <v>671</v>
      </c>
      <c r="D13" s="23" t="n">
        <v>1</v>
      </c>
      <c r="E13" s="23" t="n">
        <v>0</v>
      </c>
    </row>
    <row r="14" customFormat="false" ht="15" hidden="false" customHeight="false" outlineLevel="0" collapsed="false">
      <c r="A14" s="22" t="s">
        <v>665</v>
      </c>
      <c r="B14" s="22" t="s">
        <v>672</v>
      </c>
      <c r="C14" s="22" t="s">
        <v>673</v>
      </c>
      <c r="D14" s="23" t="n">
        <v>4</v>
      </c>
      <c r="E14" s="23" t="n">
        <v>0</v>
      </c>
    </row>
    <row r="15" customFormat="false" ht="23.85" hidden="false" customHeight="false" outlineLevel="0" collapsed="false">
      <c r="A15" s="22" t="s">
        <v>674</v>
      </c>
      <c r="B15" s="22" t="s">
        <v>675</v>
      </c>
      <c r="C15" s="22" t="s">
        <v>676</v>
      </c>
      <c r="D15" s="23" t="n">
        <v>71</v>
      </c>
      <c r="E15" s="23" t="n">
        <v>71</v>
      </c>
    </row>
    <row r="16" customFormat="false" ht="15" hidden="false" customHeight="false" outlineLevel="0" collapsed="false">
      <c r="A16" s="22" t="s">
        <v>674</v>
      </c>
      <c r="B16" s="22" t="s">
        <v>677</v>
      </c>
      <c r="C16" s="22" t="s">
        <v>678</v>
      </c>
      <c r="D16" s="23" t="n">
        <v>6</v>
      </c>
      <c r="E16" s="23" t="n">
        <v>6</v>
      </c>
    </row>
    <row r="17" customFormat="false" ht="15" hidden="false" customHeight="false" outlineLevel="0" collapsed="false">
      <c r="A17" s="22" t="s">
        <v>674</v>
      </c>
      <c r="B17" s="22" t="s">
        <v>679</v>
      </c>
      <c r="C17" s="22" t="s">
        <v>680</v>
      </c>
      <c r="D17" s="23" t="n">
        <v>4</v>
      </c>
      <c r="E17" s="23" t="n">
        <v>0</v>
      </c>
    </row>
    <row r="18" customFormat="false" ht="23.85" hidden="false" customHeight="false" outlineLevel="0" collapsed="false">
      <c r="A18" s="22" t="s">
        <v>681</v>
      </c>
      <c r="B18" s="22" t="s">
        <v>682</v>
      </c>
      <c r="C18" s="22" t="s">
        <v>683</v>
      </c>
      <c r="D18" s="23" t="n">
        <v>5</v>
      </c>
      <c r="E18" s="23" t="n">
        <v>5</v>
      </c>
    </row>
    <row r="19" customFormat="false" ht="23.85" hidden="false" customHeight="false" outlineLevel="0" collapsed="false">
      <c r="A19" s="22" t="s">
        <v>681</v>
      </c>
      <c r="B19" s="22" t="s">
        <v>684</v>
      </c>
      <c r="C19" s="22" t="s">
        <v>685</v>
      </c>
      <c r="D19" s="23" t="n">
        <v>159</v>
      </c>
      <c r="E19" s="23" t="n">
        <v>159</v>
      </c>
    </row>
    <row r="20" customFormat="false" ht="15" hidden="false" customHeight="false" outlineLevel="0" collapsed="false">
      <c r="A20" s="22" t="s">
        <v>686</v>
      </c>
      <c r="B20" s="22" t="s">
        <v>687</v>
      </c>
      <c r="C20" s="22" t="s">
        <v>688</v>
      </c>
      <c r="D20" s="23" t="n">
        <v>3</v>
      </c>
      <c r="E20" s="23" t="n">
        <v>0</v>
      </c>
    </row>
    <row r="21" customFormat="false" ht="15" hidden="false" customHeight="false" outlineLevel="0" collapsed="false">
      <c r="A21" s="22" t="s">
        <v>652</v>
      </c>
      <c r="B21" s="22" t="s">
        <v>689</v>
      </c>
      <c r="C21" s="22" t="s">
        <v>690</v>
      </c>
      <c r="D21" s="23" t="n">
        <v>767</v>
      </c>
      <c r="E21" s="23" t="n">
        <v>537</v>
      </c>
    </row>
    <row r="23" customFormat="false" ht="23.85" hidden="false" customHeight="false" outlineLevel="0" collapsed="false">
      <c r="A23" s="22" t="s">
        <v>691</v>
      </c>
      <c r="B23" s="22" t="s">
        <v>692</v>
      </c>
      <c r="C23" s="22" t="s">
        <v>693</v>
      </c>
      <c r="D23" s="23" t="n">
        <v>10</v>
      </c>
      <c r="E23" s="23" t="n">
        <v>10</v>
      </c>
    </row>
    <row r="24" customFormat="false" ht="23.85" hidden="false" customHeight="false" outlineLevel="0" collapsed="false">
      <c r="A24" s="22" t="s">
        <v>691</v>
      </c>
      <c r="B24" s="22" t="s">
        <v>694</v>
      </c>
      <c r="C24" s="22" t="s">
        <v>695</v>
      </c>
      <c r="D24" s="23"/>
      <c r="E24" s="23"/>
    </row>
    <row r="25" customFormat="false" ht="23.85" hidden="false" customHeight="false" outlineLevel="0" collapsed="false">
      <c r="A25" s="22" t="s">
        <v>665</v>
      </c>
      <c r="B25" s="22" t="s">
        <v>696</v>
      </c>
      <c r="C25" s="22" t="s">
        <v>697</v>
      </c>
      <c r="D25" s="23" t="n">
        <v>29</v>
      </c>
      <c r="E25" s="23" t="n">
        <v>29</v>
      </c>
    </row>
    <row r="26" customFormat="false" ht="23.85" hidden="false" customHeight="false" outlineLevel="0" collapsed="false">
      <c r="A26" s="22" t="s">
        <v>674</v>
      </c>
      <c r="B26" s="22" t="s">
        <v>698</v>
      </c>
      <c r="C26" s="22" t="s">
        <v>699</v>
      </c>
      <c r="D26" s="23"/>
      <c r="E26" s="23"/>
    </row>
    <row r="28" customFormat="false" ht="15" hidden="false" customHeight="false" outlineLevel="0" collapsed="false">
      <c r="A28" s="7" t="s">
        <v>700</v>
      </c>
    </row>
    <row r="29" customFormat="false" ht="30" hidden="false" customHeight="true" outlineLevel="0" collapsed="false">
      <c r="A29" s="10" t="s">
        <v>647</v>
      </c>
      <c r="B29" s="10" t="s">
        <v>701</v>
      </c>
      <c r="C29" s="10"/>
      <c r="D29" s="10"/>
      <c r="E29" s="10"/>
    </row>
    <row r="30" customFormat="false" ht="15" hidden="false" customHeight="false" outlineLevel="0" collapsed="false">
      <c r="A30" s="11" t="s">
        <v>681</v>
      </c>
      <c r="B30" s="16" t="n">
        <v>159</v>
      </c>
    </row>
    <row r="31" customFormat="false" ht="15" hidden="false" customHeight="false" outlineLevel="0" collapsed="false">
      <c r="A31" s="11" t="s">
        <v>686</v>
      </c>
      <c r="B31" s="16" t="n">
        <v>19</v>
      </c>
    </row>
    <row r="32" customFormat="false" ht="15" hidden="false" customHeight="false" outlineLevel="0" collapsed="false">
      <c r="A32" s="11" t="s">
        <v>674</v>
      </c>
      <c r="B32" s="16" t="n">
        <v>71</v>
      </c>
    </row>
    <row r="33" customFormat="false" ht="15" hidden="false" customHeight="false" outlineLevel="0" collapsed="false">
      <c r="A33" s="11" t="s">
        <v>702</v>
      </c>
      <c r="B33" s="16" t="n">
        <v>2271</v>
      </c>
    </row>
    <row r="34" customFormat="false" ht="15" hidden="false" customHeight="false" outlineLevel="0" collapsed="false">
      <c r="A34" s="11" t="s">
        <v>652</v>
      </c>
      <c r="B34" s="16" t="n">
        <v>767</v>
      </c>
    </row>
    <row r="35" customFormat="false" ht="15" hidden="false" customHeight="false" outlineLevel="0" collapsed="false">
      <c r="A35" s="11" t="s">
        <v>691</v>
      </c>
      <c r="B35" s="16" t="n">
        <v>325</v>
      </c>
    </row>
    <row r="36" customFormat="false" ht="15" hidden="false" customHeight="false" outlineLevel="0" collapsed="false">
      <c r="A36" s="11" t="s">
        <v>665</v>
      </c>
      <c r="B36" s="16" t="n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50"/>
  </cols>
  <sheetData>
    <row r="1" customFormat="false" ht="22.05" hidden="false" customHeight="false" outlineLevel="0" collapsed="false">
      <c r="A1" s="8" t="s">
        <v>703</v>
      </c>
    </row>
    <row r="4" customFormat="false" ht="30" hidden="false" customHeight="true" outlineLevel="0" collapsed="false">
      <c r="A4" s="10" t="s">
        <v>647</v>
      </c>
      <c r="B4" s="10" t="s">
        <v>704</v>
      </c>
      <c r="C4" s="10" t="s">
        <v>705</v>
      </c>
    </row>
    <row r="5" customFormat="false" ht="35.05" hidden="false" customHeight="false" outlineLevel="0" collapsed="false">
      <c r="A5" s="22" t="s">
        <v>652</v>
      </c>
      <c r="B5" s="22" t="s">
        <v>706</v>
      </c>
      <c r="C5" s="22" t="s">
        <v>707</v>
      </c>
    </row>
    <row r="6" customFormat="false" ht="23.85" hidden="false" customHeight="false" outlineLevel="0" collapsed="false">
      <c r="A6" s="22" t="s">
        <v>665</v>
      </c>
      <c r="B6" s="22" t="s">
        <v>708</v>
      </c>
      <c r="C6" s="22" t="s">
        <v>709</v>
      </c>
    </row>
    <row r="7" customFormat="false" ht="23.85" hidden="false" customHeight="false" outlineLevel="0" collapsed="false">
      <c r="A7" s="22" t="s">
        <v>691</v>
      </c>
      <c r="B7" s="22" t="s">
        <v>710</v>
      </c>
      <c r="C7" s="22" t="s">
        <v>711</v>
      </c>
    </row>
    <row r="8" customFormat="false" ht="35.05" hidden="false" customHeight="false" outlineLevel="0" collapsed="false">
      <c r="A8" s="22" t="s">
        <v>681</v>
      </c>
      <c r="B8" s="22" t="s">
        <v>712</v>
      </c>
      <c r="C8" s="22" t="s">
        <v>713</v>
      </c>
    </row>
    <row r="9" customFormat="false" ht="15" hidden="false" customHeight="false" outlineLevel="0" collapsed="false">
      <c r="A9" s="22" t="s">
        <v>674</v>
      </c>
      <c r="B9" s="22" t="s">
        <v>714</v>
      </c>
      <c r="C9" s="22"/>
    </row>
    <row r="10" customFormat="false" ht="15" hidden="false" customHeight="false" outlineLevel="0" collapsed="false">
      <c r="A10" s="22" t="s">
        <v>686</v>
      </c>
      <c r="B10" s="22" t="s">
        <v>715</v>
      </c>
      <c r="C10" s="22"/>
    </row>
    <row r="11" customFormat="false" ht="15" hidden="false" customHeight="false" outlineLevel="0" collapsed="false">
      <c r="A11" s="22" t="s">
        <v>702</v>
      </c>
      <c r="B11" s="22" t="s">
        <v>716</v>
      </c>
      <c r="C11" s="22"/>
    </row>
    <row r="14" customFormat="false" ht="15" hidden="false" customHeight="false" outlineLevel="0" collapsed="false">
      <c r="A14" s="2" t="s">
        <v>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0"/>
  </cols>
  <sheetData>
    <row r="1" customFormat="false" ht="22.05" hidden="false" customHeight="false" outlineLevel="0" collapsed="false">
      <c r="A1" s="8" t="s">
        <v>718</v>
      </c>
    </row>
    <row r="4" customFormat="false" ht="30" hidden="false" customHeight="true" outlineLevel="0" collapsed="false">
      <c r="A4" s="10" t="s">
        <v>719</v>
      </c>
      <c r="B4" s="10" t="s">
        <v>720</v>
      </c>
    </row>
    <row r="5" customFormat="false" ht="31.5" hidden="false" customHeight="true" outlineLevel="0" collapsed="false">
      <c r="A5" s="11" t="s">
        <v>721</v>
      </c>
      <c r="B5" s="22" t="s">
        <v>722</v>
      </c>
    </row>
    <row r="6" customFormat="false" ht="31.5" hidden="false" customHeight="true" outlineLevel="0" collapsed="false">
      <c r="A6" s="11" t="s">
        <v>723</v>
      </c>
      <c r="B6" s="22" t="s">
        <v>724</v>
      </c>
    </row>
    <row r="7" customFormat="false" ht="31.5" hidden="false" customHeight="true" outlineLevel="0" collapsed="false">
      <c r="A7" s="11" t="s">
        <v>725</v>
      </c>
      <c r="B7" s="22" t="s">
        <v>726</v>
      </c>
    </row>
    <row r="8" customFormat="false" ht="31.5" hidden="false" customHeight="true" outlineLevel="0" collapsed="false">
      <c r="A8" s="11" t="s">
        <v>727</v>
      </c>
      <c r="B8" s="22" t="s">
        <v>728</v>
      </c>
    </row>
    <row r="9" customFormat="false" ht="31.5" hidden="false" customHeight="true" outlineLevel="0" collapsed="false">
      <c r="A9" s="11" t="s">
        <v>729</v>
      </c>
      <c r="B9" s="22" t="s">
        <v>730</v>
      </c>
    </row>
    <row r="10" customFormat="false" ht="31.5" hidden="false" customHeight="true" outlineLevel="0" collapsed="false">
      <c r="A10" s="11" t="s">
        <v>731</v>
      </c>
      <c r="B10" s="22" t="s">
        <v>732</v>
      </c>
    </row>
    <row r="11" customFormat="false" ht="31.5" hidden="false" customHeight="true" outlineLevel="0" collapsed="false">
      <c r="A11" s="11" t="s">
        <v>733</v>
      </c>
      <c r="B11" s="22" t="s">
        <v>734</v>
      </c>
    </row>
    <row r="12" customFormat="false" ht="31.5" hidden="false" customHeight="true" outlineLevel="0" collapsed="false">
      <c r="A12" s="11" t="s">
        <v>735</v>
      </c>
      <c r="B12" s="22" t="s">
        <v>736</v>
      </c>
    </row>
    <row r="13" customFormat="false" ht="31.5" hidden="false" customHeight="true" outlineLevel="0" collapsed="false">
      <c r="A13" s="11" t="s">
        <v>737</v>
      </c>
      <c r="B13" s="22" t="s">
        <v>738</v>
      </c>
    </row>
    <row r="14" customFormat="false" ht="31.5" hidden="false" customHeight="true" outlineLevel="0" collapsed="false">
      <c r="A14" s="11" t="s">
        <v>739</v>
      </c>
      <c r="B14" s="22" t="s">
        <v>740</v>
      </c>
    </row>
    <row r="15" customFormat="false" ht="31.5" hidden="false" customHeight="true" outlineLevel="0" collapsed="false">
      <c r="A15" s="11" t="s">
        <v>741</v>
      </c>
      <c r="B15" s="22" t="s">
        <v>742</v>
      </c>
    </row>
    <row r="16" customFormat="false" ht="31.5" hidden="false" customHeight="true" outlineLevel="0" collapsed="false">
      <c r="A16" s="11" t="s">
        <v>743</v>
      </c>
      <c r="B16" s="22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70"/>
  </cols>
  <sheetData>
    <row r="1" customFormat="false" ht="22.05" hidden="false" customHeight="false" outlineLevel="0" collapsed="false">
      <c r="A1" s="8" t="s">
        <v>745</v>
      </c>
    </row>
    <row r="4" customFormat="false" ht="30" hidden="false" customHeight="true" outlineLevel="0" collapsed="false">
      <c r="A4" s="10" t="s">
        <v>746</v>
      </c>
      <c r="B4" s="10" t="s">
        <v>747</v>
      </c>
      <c r="C4" s="10" t="s">
        <v>748</v>
      </c>
    </row>
    <row r="5" customFormat="false" ht="48" hidden="false" customHeight="true" outlineLevel="0" collapsed="false">
      <c r="A5" s="22" t="s">
        <v>749</v>
      </c>
      <c r="B5" s="22" t="s">
        <v>750</v>
      </c>
      <c r="C5" s="22" t="s">
        <v>751</v>
      </c>
    </row>
    <row r="6" customFormat="false" ht="48" hidden="false" customHeight="true" outlineLevel="0" collapsed="false">
      <c r="A6" s="22" t="s">
        <v>749</v>
      </c>
      <c r="B6" s="22" t="s">
        <v>752</v>
      </c>
      <c r="C6" s="22" t="s">
        <v>753</v>
      </c>
    </row>
    <row r="7" customFormat="false" ht="48" hidden="false" customHeight="true" outlineLevel="0" collapsed="false">
      <c r="A7" s="22" t="s">
        <v>749</v>
      </c>
      <c r="B7" s="22" t="s">
        <v>754</v>
      </c>
      <c r="C7" s="22" t="s">
        <v>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7" min="14" style="0" width="12"/>
    <col collapsed="false" customWidth="true" hidden="false" outlineLevel="0" max="18" min="18" style="0" width="9"/>
    <col collapsed="false" customWidth="true" hidden="false" outlineLevel="0" max="19" min="19" style="0" width="12"/>
    <col collapsed="false" customWidth="true" hidden="false" outlineLevel="0" max="20" min="20" style="0" width="10"/>
  </cols>
  <sheetData>
    <row r="1" customFormat="false" ht="22.05" hidden="false" customHeight="false" outlineLevel="0" collapsed="false">
      <c r="A1" s="8" t="s">
        <v>756</v>
      </c>
    </row>
    <row r="2" customFormat="false" ht="168.65" hidden="false" customHeight="false" outlineLevel="0" collapsed="false">
      <c r="A2" s="9" t="s">
        <v>757</v>
      </c>
    </row>
    <row r="4" customFormat="false" ht="30" hidden="false" customHeight="true" outlineLevel="0" collapsed="false">
      <c r="A4" s="10" t="s">
        <v>758</v>
      </c>
      <c r="B4" s="10" t="s">
        <v>759</v>
      </c>
      <c r="C4" s="10" t="s">
        <v>760</v>
      </c>
      <c r="D4" s="10" t="s">
        <v>761</v>
      </c>
      <c r="E4" s="10" t="s">
        <v>60</v>
      </c>
      <c r="F4" s="10" t="s">
        <v>62</v>
      </c>
      <c r="G4" s="10" t="s">
        <v>121</v>
      </c>
      <c r="H4" s="10" t="s">
        <v>123</v>
      </c>
      <c r="I4" s="10" t="s">
        <v>762</v>
      </c>
      <c r="J4" s="10" t="s">
        <v>763</v>
      </c>
      <c r="K4" s="10" t="s">
        <v>764</v>
      </c>
      <c r="L4" s="10" t="s">
        <v>765</v>
      </c>
      <c r="M4" s="10" t="s">
        <v>766</v>
      </c>
      <c r="N4" s="10" t="s">
        <v>767</v>
      </c>
      <c r="O4" s="10" t="s">
        <v>768</v>
      </c>
      <c r="P4" s="10" t="s">
        <v>769</v>
      </c>
      <c r="Q4" s="10" t="s">
        <v>770</v>
      </c>
      <c r="R4" s="10" t="s">
        <v>125</v>
      </c>
      <c r="S4" s="10" t="s">
        <v>771</v>
      </c>
      <c r="T4" s="10" t="s">
        <v>772</v>
      </c>
    </row>
    <row r="5" customFormat="false" ht="15" hidden="false" customHeight="false" outlineLevel="0" collapsed="false">
      <c r="A5" s="11" t="s">
        <v>773</v>
      </c>
      <c r="B5" s="11" t="s">
        <v>338</v>
      </c>
      <c r="C5" s="24" t="n">
        <v>45320</v>
      </c>
      <c r="D5" s="11" t="s">
        <v>32</v>
      </c>
      <c r="E5" s="11" t="s">
        <v>774</v>
      </c>
      <c r="F5" s="11" t="s">
        <v>82</v>
      </c>
      <c r="G5" s="11" t="s">
        <v>775</v>
      </c>
      <c r="H5" s="11" t="s">
        <v>23</v>
      </c>
      <c r="I5" s="11" t="s">
        <v>113</v>
      </c>
      <c r="J5" s="11" t="s">
        <v>242</v>
      </c>
      <c r="K5" s="11" t="n">
        <v>3</v>
      </c>
      <c r="L5" s="15" t="n">
        <v>26274.11</v>
      </c>
      <c r="M5" s="11" t="n">
        <v>5</v>
      </c>
      <c r="N5" s="15" t="n">
        <v>78822.33</v>
      </c>
      <c r="O5" s="15" t="n">
        <v>3941.12</v>
      </c>
      <c r="P5" s="15" t="n">
        <v>74881.21</v>
      </c>
      <c r="Q5" s="15" t="n">
        <v>0</v>
      </c>
      <c r="R5" s="11" t="n">
        <v>0</v>
      </c>
      <c r="S5" s="15" t="n">
        <f aca="false">P5-Q5</f>
        <v>74881.21</v>
      </c>
      <c r="T5" s="11" t="n">
        <f aca="false">IF(OR(J5="Completed",J5="Returned"),1,0)</f>
        <v>1</v>
      </c>
    </row>
    <row r="6" customFormat="false" ht="15" hidden="false" customHeight="false" outlineLevel="0" collapsed="false">
      <c r="A6" s="11" t="s">
        <v>776</v>
      </c>
      <c r="B6" s="11" t="s">
        <v>338</v>
      </c>
      <c r="C6" s="24" t="n">
        <v>45320</v>
      </c>
      <c r="D6" s="11" t="s">
        <v>32</v>
      </c>
      <c r="E6" s="11" t="s">
        <v>774</v>
      </c>
      <c r="F6" s="11" t="s">
        <v>82</v>
      </c>
      <c r="G6" s="11" t="s">
        <v>133</v>
      </c>
      <c r="H6" s="11" t="s">
        <v>21</v>
      </c>
      <c r="I6" s="11" t="s">
        <v>113</v>
      </c>
      <c r="J6" s="11" t="s">
        <v>242</v>
      </c>
      <c r="K6" s="11" t="n">
        <v>4</v>
      </c>
      <c r="L6" s="15" t="n">
        <v>15706.03</v>
      </c>
      <c r="M6" s="11" t="n">
        <v>20</v>
      </c>
      <c r="N6" s="15" t="n">
        <v>62824.12</v>
      </c>
      <c r="O6" s="15" t="n">
        <v>12564.82</v>
      </c>
      <c r="P6" s="15" t="n">
        <v>50259.3</v>
      </c>
      <c r="Q6" s="15" t="n">
        <v>41619.4</v>
      </c>
      <c r="R6" s="11" t="n">
        <v>4</v>
      </c>
      <c r="S6" s="15" t="n">
        <f aca="false">P6-Q6</f>
        <v>8639.9</v>
      </c>
      <c r="T6" s="11" t="n">
        <f aca="false">IF(OR(J6="Completed",J6="Returned"),1,0)</f>
        <v>1</v>
      </c>
    </row>
    <row r="7" customFormat="false" ht="15" hidden="false" customHeight="false" outlineLevel="0" collapsed="false">
      <c r="A7" s="11" t="s">
        <v>777</v>
      </c>
      <c r="B7" s="11" t="s">
        <v>338</v>
      </c>
      <c r="C7" s="24" t="n">
        <v>45320</v>
      </c>
      <c r="D7" s="11" t="s">
        <v>32</v>
      </c>
      <c r="E7" s="11" t="s">
        <v>774</v>
      </c>
      <c r="F7" s="11" t="s">
        <v>82</v>
      </c>
      <c r="G7" s="11" t="s">
        <v>778</v>
      </c>
      <c r="H7" s="11" t="s">
        <v>24</v>
      </c>
      <c r="I7" s="11" t="s">
        <v>113</v>
      </c>
      <c r="J7" s="11" t="s">
        <v>242</v>
      </c>
      <c r="K7" s="11" t="n">
        <v>1</v>
      </c>
      <c r="L7" s="15" t="n">
        <v>4516.1</v>
      </c>
      <c r="M7" s="11" t="n">
        <v>5</v>
      </c>
      <c r="N7" s="15" t="n">
        <v>4516.1</v>
      </c>
      <c r="O7" s="15" t="n">
        <v>225.8</v>
      </c>
      <c r="P7" s="15" t="n">
        <v>4290.3</v>
      </c>
      <c r="Q7" s="15" t="n">
        <v>0</v>
      </c>
      <c r="R7" s="11" t="n">
        <v>0</v>
      </c>
      <c r="S7" s="15" t="n">
        <f aca="false">P7-Q7</f>
        <v>4290.3</v>
      </c>
      <c r="T7" s="11" t="n">
        <f aca="false">IF(OR(J7="Completed",J7="Returned"),1,0)</f>
        <v>1</v>
      </c>
    </row>
    <row r="8" customFormat="false" ht="15" hidden="false" customHeight="false" outlineLevel="0" collapsed="false">
      <c r="A8" s="11" t="s">
        <v>779</v>
      </c>
      <c r="B8" s="11" t="s">
        <v>338</v>
      </c>
      <c r="C8" s="24" t="n">
        <v>45320</v>
      </c>
      <c r="D8" s="11" t="s">
        <v>32</v>
      </c>
      <c r="E8" s="11" t="s">
        <v>774</v>
      </c>
      <c r="F8" s="11" t="s">
        <v>82</v>
      </c>
      <c r="G8" s="11" t="s">
        <v>637</v>
      </c>
      <c r="H8" s="11" t="s">
        <v>21</v>
      </c>
      <c r="I8" s="11" t="s">
        <v>113</v>
      </c>
      <c r="J8" s="11" t="s">
        <v>242</v>
      </c>
      <c r="K8" s="11" t="n">
        <v>5</v>
      </c>
      <c r="L8" s="15" t="n">
        <v>3019.36</v>
      </c>
      <c r="M8" s="11" t="n">
        <v>10</v>
      </c>
      <c r="N8" s="15" t="n">
        <v>15096.8</v>
      </c>
      <c r="O8" s="15" t="n">
        <v>1509.68</v>
      </c>
      <c r="P8" s="15" t="n">
        <v>13587.12</v>
      </c>
      <c r="Q8" s="15" t="n">
        <v>0</v>
      </c>
      <c r="R8" s="11" t="n">
        <v>0</v>
      </c>
      <c r="S8" s="15" t="n">
        <f aca="false">P8-Q8</f>
        <v>13587.12</v>
      </c>
      <c r="T8" s="11" t="n">
        <f aca="false">IF(OR(J8="Completed",J8="Returned"),1,0)</f>
        <v>1</v>
      </c>
    </row>
    <row r="9" customFormat="false" ht="15" hidden="false" customHeight="false" outlineLevel="0" collapsed="false">
      <c r="A9" s="11" t="s">
        <v>780</v>
      </c>
      <c r="B9" s="11" t="s">
        <v>578</v>
      </c>
      <c r="C9" s="24" t="n">
        <v>45807</v>
      </c>
      <c r="D9" s="11" t="s">
        <v>48</v>
      </c>
      <c r="E9" s="11" t="s">
        <v>84</v>
      </c>
      <c r="F9" s="11" t="s">
        <v>78</v>
      </c>
      <c r="G9" s="11" t="s">
        <v>781</v>
      </c>
      <c r="H9" s="11" t="s">
        <v>21</v>
      </c>
      <c r="I9" s="11" t="s">
        <v>114</v>
      </c>
      <c r="J9" s="11" t="s">
        <v>242</v>
      </c>
      <c r="K9" s="11" t="n">
        <v>4</v>
      </c>
      <c r="L9" s="15" t="n">
        <v>3962.52</v>
      </c>
      <c r="M9" s="11" t="n">
        <v>10</v>
      </c>
      <c r="N9" s="15" t="n">
        <v>15850.08</v>
      </c>
      <c r="O9" s="15" t="n">
        <v>1585.01</v>
      </c>
      <c r="P9" s="15" t="n">
        <v>14265.07</v>
      </c>
      <c r="Q9" s="15" t="n">
        <v>0</v>
      </c>
      <c r="R9" s="11" t="n">
        <v>0</v>
      </c>
      <c r="S9" s="15" t="n">
        <f aca="false">P9-Q9</f>
        <v>14265.07</v>
      </c>
      <c r="T9" s="11" t="n">
        <f aca="false">IF(OR(J9="Completed",J9="Returned"),1,0)</f>
        <v>1</v>
      </c>
    </row>
    <row r="10" customFormat="false" ht="15" hidden="false" customHeight="false" outlineLevel="0" collapsed="false">
      <c r="A10" s="11" t="s">
        <v>782</v>
      </c>
      <c r="B10" s="11" t="s">
        <v>578</v>
      </c>
      <c r="C10" s="24" t="n">
        <v>45807</v>
      </c>
      <c r="D10" s="11" t="s">
        <v>48</v>
      </c>
      <c r="E10" s="11" t="s">
        <v>84</v>
      </c>
      <c r="F10" s="11" t="s">
        <v>78</v>
      </c>
      <c r="G10" s="11" t="s">
        <v>137</v>
      </c>
      <c r="H10" s="11" t="s">
        <v>22</v>
      </c>
      <c r="I10" s="11" t="s">
        <v>114</v>
      </c>
      <c r="J10" s="11" t="s">
        <v>242</v>
      </c>
      <c r="K10" s="11" t="n">
        <v>5</v>
      </c>
      <c r="L10" s="15" t="n">
        <v>12393.99</v>
      </c>
      <c r="M10" s="11" t="n">
        <v>10</v>
      </c>
      <c r="N10" s="15" t="n">
        <v>61969.95</v>
      </c>
      <c r="O10" s="15" t="n">
        <v>6197</v>
      </c>
      <c r="P10" s="15" t="n">
        <v>55772.95</v>
      </c>
      <c r="Q10" s="15" t="n">
        <v>0</v>
      </c>
      <c r="R10" s="11" t="n">
        <v>0</v>
      </c>
      <c r="S10" s="15" t="n">
        <f aca="false">P10-Q10</f>
        <v>55772.95</v>
      </c>
      <c r="T10" s="11" t="n">
        <f aca="false">IF(OR(J10="Completed",J10="Returned"),1,0)</f>
        <v>1</v>
      </c>
    </row>
    <row r="11" customFormat="false" ht="15" hidden="false" customHeight="false" outlineLevel="0" collapsed="false">
      <c r="A11" s="11" t="s">
        <v>783</v>
      </c>
      <c r="B11" s="11" t="s">
        <v>389</v>
      </c>
      <c r="C11" s="24" t="n">
        <v>45477</v>
      </c>
      <c r="D11" s="11" t="s">
        <v>38</v>
      </c>
      <c r="E11" s="11" t="s">
        <v>784</v>
      </c>
      <c r="F11" s="11" t="s">
        <v>74</v>
      </c>
      <c r="G11" s="11" t="s">
        <v>619</v>
      </c>
      <c r="H11" s="11" t="s">
        <v>23</v>
      </c>
      <c r="I11" s="11" t="s">
        <v>114</v>
      </c>
      <c r="J11" s="11" t="s">
        <v>250</v>
      </c>
      <c r="K11" s="11" t="n">
        <v>2</v>
      </c>
      <c r="L11" s="15" t="n">
        <v>20550.39</v>
      </c>
      <c r="M11" s="11" t="n">
        <v>0</v>
      </c>
      <c r="N11" s="15" t="n">
        <v>41100.78</v>
      </c>
      <c r="O11" s="15" t="n">
        <v>0</v>
      </c>
      <c r="P11" s="15" t="n">
        <v>41100.78</v>
      </c>
      <c r="Q11" s="15" t="n">
        <v>0</v>
      </c>
      <c r="R11" s="11" t="n">
        <v>0</v>
      </c>
      <c r="S11" s="15" t="n">
        <f aca="false">P11-Q11</f>
        <v>41100.78</v>
      </c>
      <c r="T11" s="11" t="n">
        <f aca="false">IF(OR(J11="Completed",J11="Returned"),1,0)</f>
        <v>0</v>
      </c>
    </row>
    <row r="12" customFormat="false" ht="15" hidden="false" customHeight="false" outlineLevel="0" collapsed="false">
      <c r="A12" s="11" t="s">
        <v>785</v>
      </c>
      <c r="B12" s="11" t="s">
        <v>389</v>
      </c>
      <c r="C12" s="24" t="n">
        <v>45477</v>
      </c>
      <c r="D12" s="11" t="s">
        <v>38</v>
      </c>
      <c r="E12" s="11" t="s">
        <v>784</v>
      </c>
      <c r="F12" s="11" t="s">
        <v>74</v>
      </c>
      <c r="G12" s="11" t="s">
        <v>786</v>
      </c>
      <c r="H12" s="11" t="s">
        <v>24</v>
      </c>
      <c r="I12" s="11" t="s">
        <v>114</v>
      </c>
      <c r="J12" s="11" t="s">
        <v>250</v>
      </c>
      <c r="K12" s="11" t="n">
        <v>5</v>
      </c>
      <c r="L12" s="15" t="n">
        <v>17477.91</v>
      </c>
      <c r="M12" s="11" t="n">
        <v>10</v>
      </c>
      <c r="N12" s="15" t="n">
        <v>87389.55</v>
      </c>
      <c r="O12" s="15" t="n">
        <v>8738.96</v>
      </c>
      <c r="P12" s="15" t="n">
        <v>78650.59</v>
      </c>
      <c r="Q12" s="15" t="n">
        <v>0</v>
      </c>
      <c r="R12" s="11" t="n">
        <v>0</v>
      </c>
      <c r="S12" s="15" t="n">
        <f aca="false">P12-Q12</f>
        <v>78650.59</v>
      </c>
      <c r="T12" s="11" t="n">
        <f aca="false">IF(OR(J12="Completed",J12="Returned"),1,0)</f>
        <v>0</v>
      </c>
    </row>
    <row r="13" customFormat="false" ht="15" hidden="false" customHeight="false" outlineLevel="0" collapsed="false">
      <c r="A13" s="11" t="s">
        <v>787</v>
      </c>
      <c r="B13" s="11" t="s">
        <v>389</v>
      </c>
      <c r="C13" s="24" t="n">
        <v>45477</v>
      </c>
      <c r="D13" s="11" t="s">
        <v>38</v>
      </c>
      <c r="E13" s="11" t="s">
        <v>784</v>
      </c>
      <c r="F13" s="11" t="s">
        <v>74</v>
      </c>
      <c r="G13" s="11" t="s">
        <v>639</v>
      </c>
      <c r="H13" s="11" t="s">
        <v>23</v>
      </c>
      <c r="I13" s="11" t="s">
        <v>114</v>
      </c>
      <c r="J13" s="11" t="s">
        <v>250</v>
      </c>
      <c r="K13" s="11" t="n">
        <v>4</v>
      </c>
      <c r="L13" s="15" t="n">
        <v>8493.72</v>
      </c>
      <c r="M13" s="11" t="n">
        <v>5</v>
      </c>
      <c r="N13" s="15" t="n">
        <v>33974.88</v>
      </c>
      <c r="O13" s="15" t="n">
        <v>1698.74</v>
      </c>
      <c r="P13" s="15" t="n">
        <v>32276.14</v>
      </c>
      <c r="Q13" s="15" t="n">
        <v>0</v>
      </c>
      <c r="R13" s="11" t="n">
        <v>0</v>
      </c>
      <c r="S13" s="15" t="n">
        <f aca="false">P13-Q13</f>
        <v>32276.14</v>
      </c>
      <c r="T13" s="11" t="n">
        <f aca="false">IF(OR(J13="Completed",J13="Returned"),1,0)</f>
        <v>0</v>
      </c>
    </row>
    <row r="14" customFormat="false" ht="15" hidden="false" customHeight="false" outlineLevel="0" collapsed="false">
      <c r="A14" s="11" t="s">
        <v>788</v>
      </c>
      <c r="B14" s="11" t="s">
        <v>389</v>
      </c>
      <c r="C14" s="24" t="n">
        <v>45477</v>
      </c>
      <c r="D14" s="11" t="s">
        <v>38</v>
      </c>
      <c r="E14" s="11" t="s">
        <v>784</v>
      </c>
      <c r="F14" s="11" t="s">
        <v>74</v>
      </c>
      <c r="G14" s="11" t="s">
        <v>628</v>
      </c>
      <c r="H14" s="11" t="s">
        <v>22</v>
      </c>
      <c r="I14" s="11" t="s">
        <v>114</v>
      </c>
      <c r="J14" s="11" t="s">
        <v>250</v>
      </c>
      <c r="K14" s="11" t="n">
        <v>2</v>
      </c>
      <c r="L14" s="15" t="n">
        <v>9269.43</v>
      </c>
      <c r="M14" s="11" t="n">
        <v>5</v>
      </c>
      <c r="N14" s="15" t="n">
        <v>18538.86</v>
      </c>
      <c r="O14" s="15" t="n">
        <v>926.94</v>
      </c>
      <c r="P14" s="15" t="n">
        <v>17611.92</v>
      </c>
      <c r="Q14" s="15" t="n">
        <v>0</v>
      </c>
      <c r="R14" s="11" t="n">
        <v>0</v>
      </c>
      <c r="S14" s="15" t="n">
        <f aca="false">P14-Q14</f>
        <v>17611.92</v>
      </c>
      <c r="T14" s="11" t="n">
        <f aca="false">IF(OR(J14="Completed",J14="Returned"),1,0)</f>
        <v>0</v>
      </c>
    </row>
    <row r="15" customFormat="false" ht="15" hidden="false" customHeight="false" outlineLevel="0" collapsed="false">
      <c r="A15" s="11" t="s">
        <v>789</v>
      </c>
      <c r="B15" s="11" t="s">
        <v>396</v>
      </c>
      <c r="C15" s="24" t="n">
        <v>45860</v>
      </c>
      <c r="D15" s="11" t="s">
        <v>50</v>
      </c>
      <c r="E15" s="11" t="s">
        <v>790</v>
      </c>
      <c r="F15" s="11" t="s">
        <v>78</v>
      </c>
      <c r="G15" s="11" t="s">
        <v>137</v>
      </c>
      <c r="H15" s="11" t="s">
        <v>22</v>
      </c>
      <c r="I15" s="11" t="s">
        <v>113</v>
      </c>
      <c r="J15" s="11" t="s">
        <v>242</v>
      </c>
      <c r="K15" s="11" t="n">
        <v>5</v>
      </c>
      <c r="L15" s="15" t="n">
        <v>12393.99</v>
      </c>
      <c r="M15" s="11" t="n">
        <v>10</v>
      </c>
      <c r="N15" s="15" t="n">
        <v>61969.95</v>
      </c>
      <c r="O15" s="15" t="n">
        <v>6197</v>
      </c>
      <c r="P15" s="15" t="n">
        <v>55772.95</v>
      </c>
      <c r="Q15" s="15" t="n">
        <v>0</v>
      </c>
      <c r="R15" s="11" t="n">
        <v>0</v>
      </c>
      <c r="S15" s="15" t="n">
        <f aca="false">P15-Q15</f>
        <v>55772.95</v>
      </c>
      <c r="T15" s="11" t="n">
        <f aca="false">IF(OR(J15="Completed",J15="Returned"),1,0)</f>
        <v>1</v>
      </c>
    </row>
    <row r="16" customFormat="false" ht="15" hidden="false" customHeight="false" outlineLevel="0" collapsed="false">
      <c r="A16" s="11" t="s">
        <v>791</v>
      </c>
      <c r="B16" s="11" t="s">
        <v>396</v>
      </c>
      <c r="C16" s="24" t="n">
        <v>45860</v>
      </c>
      <c r="D16" s="11" t="s">
        <v>50</v>
      </c>
      <c r="E16" s="11" t="s">
        <v>790</v>
      </c>
      <c r="F16" s="11" t="s">
        <v>78</v>
      </c>
      <c r="G16" s="11" t="s">
        <v>631</v>
      </c>
      <c r="H16" s="11" t="s">
        <v>24</v>
      </c>
      <c r="I16" s="11" t="s">
        <v>113</v>
      </c>
      <c r="J16" s="11" t="s">
        <v>242</v>
      </c>
      <c r="K16" s="11" t="n">
        <v>1</v>
      </c>
      <c r="L16" s="15" t="n">
        <v>11518.86</v>
      </c>
      <c r="M16" s="11" t="n">
        <v>0</v>
      </c>
      <c r="N16" s="15" t="n">
        <v>11518.86</v>
      </c>
      <c r="O16" s="15" t="n">
        <v>0</v>
      </c>
      <c r="P16" s="15" t="n">
        <v>11518.86</v>
      </c>
      <c r="Q16" s="15" t="n">
        <v>0</v>
      </c>
      <c r="R16" s="11" t="n">
        <v>0</v>
      </c>
      <c r="S16" s="15" t="n">
        <f aca="false">P16-Q16</f>
        <v>11518.86</v>
      </c>
      <c r="T16" s="11" t="n">
        <f aca="false">IF(OR(J16="Completed",J16="Returned"),1,0)</f>
        <v>1</v>
      </c>
    </row>
    <row r="17" customFormat="false" ht="15" hidden="false" customHeight="false" outlineLevel="0" collapsed="false">
      <c r="A17" s="11" t="s">
        <v>792</v>
      </c>
      <c r="B17" s="11" t="s">
        <v>396</v>
      </c>
      <c r="C17" s="24" t="n">
        <v>45860</v>
      </c>
      <c r="D17" s="11" t="s">
        <v>50</v>
      </c>
      <c r="E17" s="11" t="s">
        <v>790</v>
      </c>
      <c r="F17" s="11" t="s">
        <v>78</v>
      </c>
      <c r="G17" s="11" t="s">
        <v>623</v>
      </c>
      <c r="H17" s="11" t="s">
        <v>20</v>
      </c>
      <c r="I17" s="11" t="s">
        <v>113</v>
      </c>
      <c r="J17" s="11" t="s">
        <v>242</v>
      </c>
      <c r="K17" s="11" t="n">
        <v>5</v>
      </c>
      <c r="L17" s="15" t="n">
        <v>16535.66</v>
      </c>
      <c r="M17" s="11" t="n">
        <v>20</v>
      </c>
      <c r="N17" s="15" t="n">
        <v>82678.3</v>
      </c>
      <c r="O17" s="15" t="n">
        <v>16535.66</v>
      </c>
      <c r="P17" s="15" t="n">
        <v>66142.64</v>
      </c>
      <c r="Q17" s="15" t="n">
        <v>0</v>
      </c>
      <c r="R17" s="11" t="n">
        <v>0</v>
      </c>
      <c r="S17" s="15" t="n">
        <f aca="false">P17-Q17</f>
        <v>66142.64</v>
      </c>
      <c r="T17" s="11" t="n">
        <f aca="false">IF(OR(J17="Completed",J17="Returned"),1,0)</f>
        <v>1</v>
      </c>
    </row>
    <row r="18" customFormat="false" ht="15" hidden="false" customHeight="false" outlineLevel="0" collapsed="false">
      <c r="A18" s="11" t="s">
        <v>793</v>
      </c>
      <c r="B18" s="11" t="s">
        <v>396</v>
      </c>
      <c r="C18" s="24" t="n">
        <v>45860</v>
      </c>
      <c r="D18" s="11" t="s">
        <v>50</v>
      </c>
      <c r="E18" s="11" t="s">
        <v>790</v>
      </c>
      <c r="F18" s="11" t="s">
        <v>78</v>
      </c>
      <c r="G18" s="11" t="s">
        <v>794</v>
      </c>
      <c r="H18" s="11" t="s">
        <v>23</v>
      </c>
      <c r="I18" s="11" t="s">
        <v>113</v>
      </c>
      <c r="J18" s="11" t="s">
        <v>242</v>
      </c>
      <c r="K18" s="11" t="n">
        <v>2</v>
      </c>
      <c r="L18" s="15" t="n">
        <v>20253.93</v>
      </c>
      <c r="M18" s="11" t="n">
        <v>10</v>
      </c>
      <c r="N18" s="15" t="n">
        <v>40507.86</v>
      </c>
      <c r="O18" s="15" t="n">
        <v>4050.79</v>
      </c>
      <c r="P18" s="15" t="n">
        <v>36457.07</v>
      </c>
      <c r="Q18" s="15" t="n">
        <v>0</v>
      </c>
      <c r="R18" s="11" t="n">
        <v>0</v>
      </c>
      <c r="S18" s="15" t="n">
        <f aca="false">P18-Q18</f>
        <v>36457.07</v>
      </c>
      <c r="T18" s="11" t="n">
        <f aca="false">IF(OR(J18="Completed",J18="Returned"),1,0)</f>
        <v>1</v>
      </c>
    </row>
    <row r="19" customFormat="false" ht="15" hidden="false" customHeight="false" outlineLevel="0" collapsed="false">
      <c r="A19" s="11" t="s">
        <v>795</v>
      </c>
      <c r="B19" s="11" t="s">
        <v>524</v>
      </c>
      <c r="C19" s="24" t="n">
        <v>45785</v>
      </c>
      <c r="D19" s="11" t="s">
        <v>48</v>
      </c>
      <c r="E19" s="11" t="s">
        <v>796</v>
      </c>
      <c r="F19" s="11" t="s">
        <v>82</v>
      </c>
      <c r="G19" s="11" t="s">
        <v>156</v>
      </c>
      <c r="H19" s="11" t="s">
        <v>23</v>
      </c>
      <c r="I19" s="11" t="s">
        <v>113</v>
      </c>
      <c r="J19" s="11" t="s">
        <v>242</v>
      </c>
      <c r="K19" s="11" t="n">
        <v>4</v>
      </c>
      <c r="L19" s="15" t="n">
        <v>11992.92</v>
      </c>
      <c r="M19" s="11" t="n">
        <v>0</v>
      </c>
      <c r="N19" s="15" t="n">
        <v>47971.68</v>
      </c>
      <c r="O19" s="15" t="n">
        <v>0</v>
      </c>
      <c r="P19" s="15" t="n">
        <v>47971.68</v>
      </c>
      <c r="Q19" s="15" t="n">
        <v>0</v>
      </c>
      <c r="R19" s="11" t="n">
        <v>0</v>
      </c>
      <c r="S19" s="15" t="n">
        <f aca="false">P19-Q19</f>
        <v>47971.68</v>
      </c>
      <c r="T19" s="11" t="n">
        <f aca="false">IF(OR(J19="Completed",J19="Returned"),1,0)</f>
        <v>1</v>
      </c>
    </row>
    <row r="20" customFormat="false" ht="15" hidden="false" customHeight="false" outlineLevel="0" collapsed="false">
      <c r="A20" s="11" t="s">
        <v>797</v>
      </c>
      <c r="B20" s="11" t="s">
        <v>524</v>
      </c>
      <c r="C20" s="24" t="n">
        <v>45785</v>
      </c>
      <c r="D20" s="11" t="s">
        <v>48</v>
      </c>
      <c r="E20" s="11" t="s">
        <v>796</v>
      </c>
      <c r="F20" s="11" t="s">
        <v>82</v>
      </c>
      <c r="G20" s="11" t="s">
        <v>129</v>
      </c>
      <c r="H20" s="11" t="s">
        <v>24</v>
      </c>
      <c r="I20" s="11" t="s">
        <v>113</v>
      </c>
      <c r="J20" s="11" t="s">
        <v>242</v>
      </c>
      <c r="K20" s="11" t="n">
        <v>4</v>
      </c>
      <c r="L20" s="15" t="n">
        <v>3184.81</v>
      </c>
      <c r="M20" s="11" t="n">
        <v>20</v>
      </c>
      <c r="N20" s="15" t="n">
        <v>12739.24</v>
      </c>
      <c r="O20" s="15" t="n">
        <v>2547.85</v>
      </c>
      <c r="P20" s="15" t="n">
        <v>10191.39</v>
      </c>
      <c r="Q20" s="15" t="n">
        <v>0</v>
      </c>
      <c r="R20" s="11" t="n">
        <v>0</v>
      </c>
      <c r="S20" s="15" t="n">
        <f aca="false">P20-Q20</f>
        <v>10191.39</v>
      </c>
      <c r="T20" s="11" t="n">
        <f aca="false">IF(OR(J20="Completed",J20="Returned"),1,0)</f>
        <v>1</v>
      </c>
    </row>
    <row r="21" customFormat="false" ht="15" hidden="false" customHeight="false" outlineLevel="0" collapsed="false">
      <c r="A21" s="11" t="s">
        <v>798</v>
      </c>
      <c r="B21" s="11" t="s">
        <v>480</v>
      </c>
      <c r="C21" s="24" t="n">
        <v>45735</v>
      </c>
      <c r="D21" s="11" t="s">
        <v>46</v>
      </c>
      <c r="E21" s="11" t="s">
        <v>799</v>
      </c>
      <c r="F21" s="11" t="s">
        <v>70</v>
      </c>
      <c r="G21" s="11" t="s">
        <v>630</v>
      </c>
      <c r="H21" s="11" t="s">
        <v>23</v>
      </c>
      <c r="I21" s="11" t="s">
        <v>114</v>
      </c>
      <c r="J21" s="11" t="s">
        <v>246</v>
      </c>
      <c r="K21" s="11" t="n">
        <v>5</v>
      </c>
      <c r="L21" s="15" t="n">
        <v>18828.5</v>
      </c>
      <c r="M21" s="11" t="n">
        <v>15</v>
      </c>
      <c r="N21" s="15" t="n">
        <v>94142.5</v>
      </c>
      <c r="O21" s="15" t="n">
        <v>14121.38</v>
      </c>
      <c r="P21" s="15" t="n">
        <v>80021.12</v>
      </c>
      <c r="Q21" s="15" t="n">
        <v>80021.12</v>
      </c>
      <c r="R21" s="11" t="n">
        <v>5</v>
      </c>
      <c r="S21" s="15" t="n">
        <f aca="false">P21-Q21</f>
        <v>0</v>
      </c>
      <c r="T21" s="11" t="n">
        <f aca="false">IF(OR(J21="Completed",J21="Returned"),1,0)</f>
        <v>0</v>
      </c>
    </row>
    <row r="22" customFormat="false" ht="15" hidden="false" customHeight="false" outlineLevel="0" collapsed="false">
      <c r="A22" s="11" t="s">
        <v>800</v>
      </c>
      <c r="B22" s="11" t="s">
        <v>480</v>
      </c>
      <c r="C22" s="24" t="n">
        <v>45735</v>
      </c>
      <c r="D22" s="11" t="s">
        <v>46</v>
      </c>
      <c r="E22" s="11" t="s">
        <v>799</v>
      </c>
      <c r="F22" s="11" t="s">
        <v>70</v>
      </c>
      <c r="G22" s="11" t="s">
        <v>152</v>
      </c>
      <c r="H22" s="11" t="s">
        <v>23</v>
      </c>
      <c r="I22" s="11" t="s">
        <v>114</v>
      </c>
      <c r="J22" s="11" t="s">
        <v>246</v>
      </c>
      <c r="K22" s="11" t="n">
        <v>3</v>
      </c>
      <c r="L22" s="15" t="n">
        <v>9953.59</v>
      </c>
      <c r="M22" s="11" t="n">
        <v>0</v>
      </c>
      <c r="N22" s="15" t="n">
        <v>29860.77</v>
      </c>
      <c r="O22" s="15" t="n">
        <v>0</v>
      </c>
      <c r="P22" s="15" t="n">
        <v>29860.77</v>
      </c>
      <c r="Q22" s="15" t="n">
        <v>0</v>
      </c>
      <c r="R22" s="11" t="n">
        <v>0</v>
      </c>
      <c r="S22" s="15" t="n">
        <f aca="false">P22-Q22</f>
        <v>29860.77</v>
      </c>
      <c r="T22" s="11" t="n">
        <f aca="false">IF(OR(J22="Completed",J22="Returned"),1,0)</f>
        <v>0</v>
      </c>
    </row>
    <row r="23" customFormat="false" ht="15" hidden="false" customHeight="false" outlineLevel="0" collapsed="false">
      <c r="A23" s="11" t="s">
        <v>801</v>
      </c>
      <c r="B23" s="11" t="s">
        <v>480</v>
      </c>
      <c r="C23" s="24" t="n">
        <v>45735</v>
      </c>
      <c r="D23" s="11" t="s">
        <v>46</v>
      </c>
      <c r="E23" s="11" t="s">
        <v>799</v>
      </c>
      <c r="F23" s="11" t="s">
        <v>70</v>
      </c>
      <c r="G23" s="11" t="s">
        <v>626</v>
      </c>
      <c r="H23" s="11" t="s">
        <v>24</v>
      </c>
      <c r="I23" s="11" t="s">
        <v>114</v>
      </c>
      <c r="J23" s="11" t="s">
        <v>246</v>
      </c>
      <c r="K23" s="11" t="n">
        <v>1</v>
      </c>
      <c r="L23" s="15" t="n">
        <v>11932.31</v>
      </c>
      <c r="M23" s="11" t="n">
        <v>0</v>
      </c>
      <c r="N23" s="15" t="n">
        <v>11932.31</v>
      </c>
      <c r="O23" s="15" t="n">
        <v>0</v>
      </c>
      <c r="P23" s="15" t="n">
        <v>11932.31</v>
      </c>
      <c r="Q23" s="15" t="n">
        <v>0</v>
      </c>
      <c r="R23" s="11" t="n">
        <v>0</v>
      </c>
      <c r="S23" s="15" t="n">
        <f aca="false">P23-Q23</f>
        <v>11932.31</v>
      </c>
      <c r="T23" s="11" t="n">
        <f aca="false">IF(OR(J23="Completed",J23="Returned"),1,0)</f>
        <v>0</v>
      </c>
    </row>
    <row r="24" customFormat="false" ht="15" hidden="false" customHeight="false" outlineLevel="0" collapsed="false">
      <c r="A24" s="11" t="s">
        <v>802</v>
      </c>
      <c r="B24" s="11" t="s">
        <v>506</v>
      </c>
      <c r="C24" s="24" t="n">
        <v>45837</v>
      </c>
      <c r="D24" s="11" t="s">
        <v>49</v>
      </c>
      <c r="E24" s="11" t="s">
        <v>803</v>
      </c>
      <c r="F24" s="11" t="s">
        <v>25</v>
      </c>
      <c r="G24" s="11" t="s">
        <v>639</v>
      </c>
      <c r="H24" s="11" t="s">
        <v>23</v>
      </c>
      <c r="I24" s="11" t="s">
        <v>113</v>
      </c>
      <c r="J24" s="11" t="s">
        <v>250</v>
      </c>
      <c r="K24" s="11" t="n">
        <v>1</v>
      </c>
      <c r="L24" s="15" t="n">
        <v>8493.72</v>
      </c>
      <c r="M24" s="11" t="n">
        <v>0</v>
      </c>
      <c r="N24" s="15" t="n">
        <v>8493.72</v>
      </c>
      <c r="O24" s="15" t="n">
        <v>0</v>
      </c>
      <c r="P24" s="15" t="n">
        <v>8493.72</v>
      </c>
      <c r="Q24" s="15" t="n">
        <v>0</v>
      </c>
      <c r="R24" s="11" t="n">
        <v>0</v>
      </c>
      <c r="S24" s="15" t="n">
        <f aca="false">P24-Q24</f>
        <v>8493.72</v>
      </c>
      <c r="T24" s="11" t="n">
        <f aca="false">IF(OR(J24="Completed",J24="Returned"),1,0)</f>
        <v>0</v>
      </c>
    </row>
    <row r="25" customFormat="false" ht="15" hidden="false" customHeight="false" outlineLevel="0" collapsed="false">
      <c r="A25" s="11" t="s">
        <v>804</v>
      </c>
      <c r="B25" s="11" t="s">
        <v>506</v>
      </c>
      <c r="C25" s="24" t="n">
        <v>45837</v>
      </c>
      <c r="D25" s="11" t="s">
        <v>49</v>
      </c>
      <c r="E25" s="11" t="s">
        <v>803</v>
      </c>
      <c r="F25" s="11" t="s">
        <v>25</v>
      </c>
      <c r="G25" s="11" t="s">
        <v>805</v>
      </c>
      <c r="H25" s="11" t="s">
        <v>21</v>
      </c>
      <c r="I25" s="11" t="s">
        <v>113</v>
      </c>
      <c r="J25" s="11" t="s">
        <v>250</v>
      </c>
      <c r="K25" s="11" t="n">
        <v>4</v>
      </c>
      <c r="L25" s="15" t="n">
        <v>23243.35</v>
      </c>
      <c r="M25" s="11" t="n">
        <v>20</v>
      </c>
      <c r="N25" s="15" t="n">
        <v>92973.4</v>
      </c>
      <c r="O25" s="15" t="n">
        <v>18594.68</v>
      </c>
      <c r="P25" s="15" t="n">
        <v>74378.72</v>
      </c>
      <c r="Q25" s="15" t="n">
        <v>0</v>
      </c>
      <c r="R25" s="11" t="n">
        <v>0</v>
      </c>
      <c r="S25" s="15" t="n">
        <f aca="false">P25-Q25</f>
        <v>74378.72</v>
      </c>
      <c r="T25" s="11" t="n">
        <f aca="false">IF(OR(J25="Completed",J25="Returned"),1,0)</f>
        <v>0</v>
      </c>
    </row>
    <row r="26" customFormat="false" ht="15" hidden="false" customHeight="false" outlineLevel="0" collapsed="false">
      <c r="A26" s="11" t="s">
        <v>806</v>
      </c>
      <c r="B26" s="11" t="s">
        <v>506</v>
      </c>
      <c r="C26" s="24" t="n">
        <v>45837</v>
      </c>
      <c r="D26" s="11" t="s">
        <v>49</v>
      </c>
      <c r="E26" s="11" t="s">
        <v>803</v>
      </c>
      <c r="F26" s="11" t="s">
        <v>25</v>
      </c>
      <c r="G26" s="11" t="s">
        <v>617</v>
      </c>
      <c r="H26" s="11" t="s">
        <v>21</v>
      </c>
      <c r="I26" s="11" t="s">
        <v>113</v>
      </c>
      <c r="J26" s="11" t="s">
        <v>250</v>
      </c>
      <c r="K26" s="11" t="n">
        <v>4</v>
      </c>
      <c r="L26" s="15" t="n">
        <v>2089.56</v>
      </c>
      <c r="M26" s="11" t="n">
        <v>15</v>
      </c>
      <c r="N26" s="15" t="n">
        <v>8358.24</v>
      </c>
      <c r="O26" s="15" t="n">
        <v>1253.74</v>
      </c>
      <c r="P26" s="15" t="n">
        <v>7104.5</v>
      </c>
      <c r="Q26" s="15" t="n">
        <v>0</v>
      </c>
      <c r="R26" s="11" t="n">
        <v>0</v>
      </c>
      <c r="S26" s="15" t="n">
        <f aca="false">P26-Q26</f>
        <v>7104.5</v>
      </c>
      <c r="T26" s="11" t="n">
        <f aca="false">IF(OR(J26="Completed",J26="Returned"),1,0)</f>
        <v>0</v>
      </c>
    </row>
    <row r="27" customFormat="false" ht="15" hidden="false" customHeight="false" outlineLevel="0" collapsed="false">
      <c r="A27" s="11" t="s">
        <v>807</v>
      </c>
      <c r="B27" s="11" t="s">
        <v>336</v>
      </c>
      <c r="C27" s="24" t="n">
        <v>45803</v>
      </c>
      <c r="D27" s="11" t="s">
        <v>48</v>
      </c>
      <c r="E27" s="11" t="s">
        <v>808</v>
      </c>
      <c r="F27" s="11" t="s">
        <v>78</v>
      </c>
      <c r="G27" s="11" t="s">
        <v>809</v>
      </c>
      <c r="H27" s="11" t="s">
        <v>22</v>
      </c>
      <c r="I27" s="11" t="s">
        <v>114</v>
      </c>
      <c r="J27" s="11" t="s">
        <v>250</v>
      </c>
      <c r="K27" s="11" t="n">
        <v>2</v>
      </c>
      <c r="L27" s="15" t="n">
        <v>22582.54</v>
      </c>
      <c r="M27" s="11" t="n">
        <v>15</v>
      </c>
      <c r="N27" s="15" t="n">
        <v>45165.08</v>
      </c>
      <c r="O27" s="15" t="n">
        <v>6774.76</v>
      </c>
      <c r="P27" s="15" t="n">
        <v>38390.32</v>
      </c>
      <c r="Q27" s="15" t="n">
        <v>0</v>
      </c>
      <c r="R27" s="11" t="n">
        <v>0</v>
      </c>
      <c r="S27" s="15" t="n">
        <f aca="false">P27-Q27</f>
        <v>38390.32</v>
      </c>
      <c r="T27" s="11" t="n">
        <f aca="false">IF(OR(J27="Completed",J27="Returned"),1,0)</f>
        <v>0</v>
      </c>
    </row>
    <row r="28" customFormat="false" ht="15" hidden="false" customHeight="false" outlineLevel="0" collapsed="false">
      <c r="A28" s="11" t="s">
        <v>810</v>
      </c>
      <c r="B28" s="11" t="s">
        <v>336</v>
      </c>
      <c r="C28" s="24" t="n">
        <v>45803</v>
      </c>
      <c r="D28" s="11" t="s">
        <v>48</v>
      </c>
      <c r="E28" s="11" t="s">
        <v>808</v>
      </c>
      <c r="F28" s="11" t="s">
        <v>78</v>
      </c>
      <c r="G28" s="11" t="s">
        <v>156</v>
      </c>
      <c r="H28" s="11" t="s">
        <v>23</v>
      </c>
      <c r="I28" s="11" t="s">
        <v>114</v>
      </c>
      <c r="J28" s="11" t="s">
        <v>250</v>
      </c>
      <c r="K28" s="11" t="n">
        <v>3</v>
      </c>
      <c r="L28" s="15" t="n">
        <v>11992.92</v>
      </c>
      <c r="M28" s="11" t="n">
        <v>10</v>
      </c>
      <c r="N28" s="15" t="n">
        <v>35978.76</v>
      </c>
      <c r="O28" s="15" t="n">
        <v>3597.88</v>
      </c>
      <c r="P28" s="15" t="n">
        <v>32380.88</v>
      </c>
      <c r="Q28" s="15" t="n">
        <v>0</v>
      </c>
      <c r="R28" s="11" t="n">
        <v>0</v>
      </c>
      <c r="S28" s="15" t="n">
        <f aca="false">P28-Q28</f>
        <v>32380.88</v>
      </c>
      <c r="T28" s="11" t="n">
        <f aca="false">IF(OR(J28="Completed",J28="Returned"),1,0)</f>
        <v>0</v>
      </c>
    </row>
    <row r="29" customFormat="false" ht="15" hidden="false" customHeight="false" outlineLevel="0" collapsed="false">
      <c r="A29" s="11" t="s">
        <v>811</v>
      </c>
      <c r="B29" s="11" t="s">
        <v>385</v>
      </c>
      <c r="C29" s="24" t="n">
        <v>45472</v>
      </c>
      <c r="D29" s="11" t="s">
        <v>37</v>
      </c>
      <c r="E29" s="11" t="s">
        <v>812</v>
      </c>
      <c r="F29" s="11" t="s">
        <v>82</v>
      </c>
      <c r="G29" s="11" t="s">
        <v>613</v>
      </c>
      <c r="H29" s="11" t="s">
        <v>23</v>
      </c>
      <c r="I29" s="11" t="s">
        <v>113</v>
      </c>
      <c r="J29" s="11" t="s">
        <v>242</v>
      </c>
      <c r="K29" s="11" t="n">
        <v>2</v>
      </c>
      <c r="L29" s="15" t="n">
        <v>7218.53</v>
      </c>
      <c r="M29" s="11" t="n">
        <v>0</v>
      </c>
      <c r="N29" s="15" t="n">
        <v>14437.06</v>
      </c>
      <c r="O29" s="15" t="n">
        <v>0</v>
      </c>
      <c r="P29" s="15" t="n">
        <v>14437.06</v>
      </c>
      <c r="Q29" s="15" t="n">
        <v>0</v>
      </c>
      <c r="R29" s="11" t="n">
        <v>0</v>
      </c>
      <c r="S29" s="15" t="n">
        <f aca="false">P29-Q29</f>
        <v>14437.06</v>
      </c>
      <c r="T29" s="11" t="n">
        <f aca="false">IF(OR(J29="Completed",J29="Returned"),1,0)</f>
        <v>1</v>
      </c>
    </row>
    <row r="30" customFormat="false" ht="15" hidden="false" customHeight="false" outlineLevel="0" collapsed="false">
      <c r="A30" s="11" t="s">
        <v>813</v>
      </c>
      <c r="B30" s="11" t="s">
        <v>385</v>
      </c>
      <c r="C30" s="24" t="n">
        <v>45472</v>
      </c>
      <c r="D30" s="11" t="s">
        <v>37</v>
      </c>
      <c r="E30" s="11" t="s">
        <v>812</v>
      </c>
      <c r="F30" s="11" t="s">
        <v>82</v>
      </c>
      <c r="G30" s="11" t="s">
        <v>131</v>
      </c>
      <c r="H30" s="11" t="s">
        <v>22</v>
      </c>
      <c r="I30" s="11" t="s">
        <v>113</v>
      </c>
      <c r="J30" s="11" t="s">
        <v>242</v>
      </c>
      <c r="K30" s="11" t="n">
        <v>1</v>
      </c>
      <c r="L30" s="15" t="n">
        <v>11284.39</v>
      </c>
      <c r="M30" s="11" t="n">
        <v>0</v>
      </c>
      <c r="N30" s="15" t="n">
        <v>11284.39</v>
      </c>
      <c r="O30" s="15" t="n">
        <v>0</v>
      </c>
      <c r="P30" s="15" t="n">
        <v>11284.39</v>
      </c>
      <c r="Q30" s="15" t="n">
        <v>10324.63</v>
      </c>
      <c r="R30" s="11" t="n">
        <v>1</v>
      </c>
      <c r="S30" s="15" t="n">
        <f aca="false">P30-Q30</f>
        <v>959.76</v>
      </c>
      <c r="T30" s="11" t="n">
        <f aca="false">IF(OR(J30="Completed",J30="Returned"),1,0)</f>
        <v>1</v>
      </c>
    </row>
    <row r="31" customFormat="false" ht="15" hidden="false" customHeight="false" outlineLevel="0" collapsed="false">
      <c r="A31" s="11" t="s">
        <v>814</v>
      </c>
      <c r="B31" s="11" t="s">
        <v>489</v>
      </c>
      <c r="C31" s="24" t="n">
        <v>45965</v>
      </c>
      <c r="D31" s="11" t="s">
        <v>117</v>
      </c>
      <c r="E31" s="11" t="s">
        <v>799</v>
      </c>
      <c r="F31" s="11" t="s">
        <v>70</v>
      </c>
      <c r="G31" s="11" t="s">
        <v>805</v>
      </c>
      <c r="H31" s="11" t="s">
        <v>21</v>
      </c>
      <c r="I31" s="11" t="s">
        <v>115</v>
      </c>
      <c r="J31" s="11" t="s">
        <v>250</v>
      </c>
      <c r="K31" s="11" t="n">
        <v>2</v>
      </c>
      <c r="L31" s="15" t="n">
        <v>23243.35</v>
      </c>
      <c r="M31" s="11" t="n">
        <v>0</v>
      </c>
      <c r="N31" s="15" t="n">
        <v>46486.7</v>
      </c>
      <c r="O31" s="15" t="n">
        <v>0</v>
      </c>
      <c r="P31" s="15" t="n">
        <v>46486.7</v>
      </c>
      <c r="Q31" s="15" t="n">
        <v>0</v>
      </c>
      <c r="R31" s="11" t="n">
        <v>0</v>
      </c>
      <c r="S31" s="15" t="n">
        <f aca="false">P31-Q31</f>
        <v>46486.7</v>
      </c>
      <c r="T31" s="11" t="n">
        <f aca="false">IF(OR(J31="Completed",J31="Returned"),1,0)</f>
        <v>0</v>
      </c>
    </row>
    <row r="32" customFormat="false" ht="15" hidden="false" customHeight="false" outlineLevel="0" collapsed="false">
      <c r="A32" s="11" t="s">
        <v>815</v>
      </c>
      <c r="B32" s="11" t="s">
        <v>489</v>
      </c>
      <c r="C32" s="24" t="n">
        <v>45965</v>
      </c>
      <c r="D32" s="11" t="s">
        <v>117</v>
      </c>
      <c r="E32" s="11" t="s">
        <v>799</v>
      </c>
      <c r="F32" s="11" t="s">
        <v>70</v>
      </c>
      <c r="G32" s="11" t="s">
        <v>141</v>
      </c>
      <c r="H32" s="11" t="s">
        <v>24</v>
      </c>
      <c r="I32" s="11" t="s">
        <v>115</v>
      </c>
      <c r="J32" s="11" t="s">
        <v>250</v>
      </c>
      <c r="K32" s="11" t="n">
        <v>4</v>
      </c>
      <c r="L32" s="15" t="n">
        <v>20481.04</v>
      </c>
      <c r="M32" s="11" t="n">
        <v>10</v>
      </c>
      <c r="N32" s="15" t="n">
        <v>81924.16</v>
      </c>
      <c r="O32" s="15" t="n">
        <v>8192.42</v>
      </c>
      <c r="P32" s="15" t="n">
        <v>73731.74</v>
      </c>
      <c r="Q32" s="15" t="n">
        <v>0</v>
      </c>
      <c r="R32" s="11" t="n">
        <v>0</v>
      </c>
      <c r="S32" s="15" t="n">
        <f aca="false">P32-Q32</f>
        <v>73731.74</v>
      </c>
      <c r="T32" s="11" t="n">
        <f aca="false">IF(OR(J32="Completed",J32="Returned"),1,0)</f>
        <v>0</v>
      </c>
    </row>
    <row r="33" customFormat="false" ht="15" hidden="false" customHeight="false" outlineLevel="0" collapsed="false">
      <c r="A33" s="11" t="s">
        <v>816</v>
      </c>
      <c r="B33" s="11" t="s">
        <v>489</v>
      </c>
      <c r="C33" s="24" t="n">
        <v>45965</v>
      </c>
      <c r="D33" s="11" t="s">
        <v>117</v>
      </c>
      <c r="E33" s="11" t="s">
        <v>799</v>
      </c>
      <c r="F33" s="11" t="s">
        <v>70</v>
      </c>
      <c r="G33" s="11" t="s">
        <v>162</v>
      </c>
      <c r="H33" s="11" t="s">
        <v>20</v>
      </c>
      <c r="I33" s="11" t="s">
        <v>115</v>
      </c>
      <c r="J33" s="11" t="s">
        <v>250</v>
      </c>
      <c r="K33" s="11" t="n">
        <v>4</v>
      </c>
      <c r="L33" s="15" t="n">
        <v>16084.14</v>
      </c>
      <c r="M33" s="11" t="n">
        <v>15</v>
      </c>
      <c r="N33" s="15" t="n">
        <v>64336.56</v>
      </c>
      <c r="O33" s="15" t="n">
        <v>9650.48</v>
      </c>
      <c r="P33" s="15" t="n">
        <v>54686.08</v>
      </c>
      <c r="Q33" s="15" t="n">
        <v>0</v>
      </c>
      <c r="R33" s="11" t="n">
        <v>0</v>
      </c>
      <c r="S33" s="15" t="n">
        <f aca="false">P33-Q33</f>
        <v>54686.08</v>
      </c>
      <c r="T33" s="11" t="n">
        <f aca="false">IF(OR(J33="Completed",J33="Returned"),1,0)</f>
        <v>0</v>
      </c>
    </row>
    <row r="34" customFormat="false" ht="15" hidden="false" customHeight="false" outlineLevel="0" collapsed="false">
      <c r="A34" s="11" t="s">
        <v>817</v>
      </c>
      <c r="B34" s="11" t="s">
        <v>489</v>
      </c>
      <c r="C34" s="24" t="n">
        <v>45965</v>
      </c>
      <c r="D34" s="11" t="s">
        <v>117</v>
      </c>
      <c r="E34" s="11" t="s">
        <v>799</v>
      </c>
      <c r="F34" s="11" t="s">
        <v>70</v>
      </c>
      <c r="G34" s="11" t="s">
        <v>162</v>
      </c>
      <c r="H34" s="11" t="s">
        <v>20</v>
      </c>
      <c r="I34" s="11" t="s">
        <v>115</v>
      </c>
      <c r="J34" s="11" t="s">
        <v>250</v>
      </c>
      <c r="K34" s="11" t="n">
        <v>4</v>
      </c>
      <c r="L34" s="15" t="n">
        <v>16084.14</v>
      </c>
      <c r="M34" s="11" t="n">
        <v>10</v>
      </c>
      <c r="N34" s="15" t="n">
        <v>64336.56</v>
      </c>
      <c r="O34" s="15" t="n">
        <v>6433.66</v>
      </c>
      <c r="P34" s="15" t="n">
        <v>57902.9</v>
      </c>
      <c r="Q34" s="15" t="n">
        <v>0</v>
      </c>
      <c r="R34" s="11" t="n">
        <v>0</v>
      </c>
      <c r="S34" s="15" t="n">
        <f aca="false">P34-Q34</f>
        <v>57902.9</v>
      </c>
      <c r="T34" s="11" t="n">
        <f aca="false">IF(OR(J34="Completed",J34="Returned"),1,0)</f>
        <v>0</v>
      </c>
    </row>
    <row r="35" customFormat="false" ht="15" hidden="false" customHeight="false" outlineLevel="0" collapsed="false">
      <c r="A35" s="11" t="s">
        <v>818</v>
      </c>
      <c r="B35" s="11" t="s">
        <v>531</v>
      </c>
      <c r="C35" s="24" t="n">
        <v>45900</v>
      </c>
      <c r="D35" s="11" t="s">
        <v>51</v>
      </c>
      <c r="E35" s="11" t="s">
        <v>819</v>
      </c>
      <c r="F35" s="11" t="s">
        <v>82</v>
      </c>
      <c r="G35" s="11" t="s">
        <v>621</v>
      </c>
      <c r="H35" s="11" t="s">
        <v>20</v>
      </c>
      <c r="I35" s="11" t="s">
        <v>114</v>
      </c>
      <c r="J35" s="11" t="s">
        <v>246</v>
      </c>
      <c r="K35" s="11" t="n">
        <v>5</v>
      </c>
      <c r="L35" s="15" t="n">
        <v>1165.83</v>
      </c>
      <c r="M35" s="11" t="n">
        <v>0</v>
      </c>
      <c r="N35" s="15" t="n">
        <v>5829.15</v>
      </c>
      <c r="O35" s="15" t="n">
        <v>0</v>
      </c>
      <c r="P35" s="15" t="n">
        <v>5829.15</v>
      </c>
      <c r="Q35" s="15" t="n">
        <v>0</v>
      </c>
      <c r="R35" s="11" t="n">
        <v>0</v>
      </c>
      <c r="S35" s="15" t="n">
        <f aca="false">P35-Q35</f>
        <v>5829.15</v>
      </c>
      <c r="T35" s="11" t="n">
        <f aca="false">IF(OR(J35="Completed",J35="Returned"),1,0)</f>
        <v>0</v>
      </c>
    </row>
    <row r="36" customFormat="false" ht="15" hidden="false" customHeight="false" outlineLevel="0" collapsed="false">
      <c r="A36" s="11" t="s">
        <v>820</v>
      </c>
      <c r="B36" s="11" t="s">
        <v>531</v>
      </c>
      <c r="C36" s="24" t="n">
        <v>45900</v>
      </c>
      <c r="D36" s="11" t="s">
        <v>51</v>
      </c>
      <c r="E36" s="11" t="s">
        <v>819</v>
      </c>
      <c r="F36" s="11" t="s">
        <v>82</v>
      </c>
      <c r="G36" s="11" t="s">
        <v>139</v>
      </c>
      <c r="H36" s="11" t="s">
        <v>24</v>
      </c>
      <c r="I36" s="11" t="s">
        <v>114</v>
      </c>
      <c r="J36" s="11" t="s">
        <v>246</v>
      </c>
      <c r="K36" s="11" t="n">
        <v>2</v>
      </c>
      <c r="L36" s="15" t="n">
        <v>20278.89</v>
      </c>
      <c r="M36" s="11" t="n">
        <v>20</v>
      </c>
      <c r="N36" s="15" t="n">
        <v>40557.78</v>
      </c>
      <c r="O36" s="15" t="n">
        <v>8111.56</v>
      </c>
      <c r="P36" s="15" t="n">
        <v>32446.22</v>
      </c>
      <c r="Q36" s="15" t="n">
        <v>0</v>
      </c>
      <c r="R36" s="11" t="n">
        <v>0</v>
      </c>
      <c r="S36" s="15" t="n">
        <f aca="false">P36-Q36</f>
        <v>32446.22</v>
      </c>
      <c r="T36" s="11" t="n">
        <f aca="false">IF(OR(J36="Completed",J36="Returned"),1,0)</f>
        <v>0</v>
      </c>
    </row>
    <row r="37" customFormat="false" ht="15" hidden="false" customHeight="false" outlineLevel="0" collapsed="false">
      <c r="A37" s="11" t="s">
        <v>821</v>
      </c>
      <c r="B37" s="11" t="s">
        <v>531</v>
      </c>
      <c r="C37" s="24" t="n">
        <v>45900</v>
      </c>
      <c r="D37" s="11" t="s">
        <v>51</v>
      </c>
      <c r="E37" s="11" t="s">
        <v>819</v>
      </c>
      <c r="F37" s="11" t="s">
        <v>82</v>
      </c>
      <c r="G37" s="11" t="s">
        <v>822</v>
      </c>
      <c r="H37" s="11" t="s">
        <v>21</v>
      </c>
      <c r="I37" s="11" t="s">
        <v>114</v>
      </c>
      <c r="J37" s="11" t="s">
        <v>246</v>
      </c>
      <c r="K37" s="11" t="n">
        <v>5</v>
      </c>
      <c r="L37" s="15" t="n">
        <v>11089.19</v>
      </c>
      <c r="M37" s="11" t="n">
        <v>15</v>
      </c>
      <c r="N37" s="15" t="n">
        <v>55445.95</v>
      </c>
      <c r="O37" s="15" t="n">
        <v>8316.89</v>
      </c>
      <c r="P37" s="15" t="n">
        <v>47129.06</v>
      </c>
      <c r="Q37" s="15" t="n">
        <v>0</v>
      </c>
      <c r="R37" s="11" t="n">
        <v>0</v>
      </c>
      <c r="S37" s="15" t="n">
        <f aca="false">P37-Q37</f>
        <v>47129.06</v>
      </c>
      <c r="T37" s="11" t="n">
        <f aca="false">IF(OR(J37="Completed",J37="Returned"),1,0)</f>
        <v>0</v>
      </c>
    </row>
    <row r="38" customFormat="false" ht="15" hidden="false" customHeight="false" outlineLevel="0" collapsed="false">
      <c r="A38" s="11" t="s">
        <v>823</v>
      </c>
      <c r="B38" s="11" t="s">
        <v>513</v>
      </c>
      <c r="C38" s="24" t="n">
        <v>45611</v>
      </c>
      <c r="D38" s="11" t="s">
        <v>42</v>
      </c>
      <c r="E38" s="11" t="s">
        <v>824</v>
      </c>
      <c r="F38" s="11" t="s">
        <v>78</v>
      </c>
      <c r="G38" s="11" t="s">
        <v>803</v>
      </c>
      <c r="H38" s="11" t="s">
        <v>25</v>
      </c>
      <c r="I38" s="11" t="s">
        <v>114</v>
      </c>
      <c r="J38" s="11" t="s">
        <v>242</v>
      </c>
      <c r="K38" s="11" t="n">
        <v>5</v>
      </c>
      <c r="L38" s="15" t="n">
        <v>5818.64</v>
      </c>
      <c r="M38" s="11" t="n">
        <v>10</v>
      </c>
      <c r="N38" s="15" t="n">
        <v>29093.2</v>
      </c>
      <c r="O38" s="15" t="n">
        <v>2909.32</v>
      </c>
      <c r="P38" s="15" t="n">
        <v>26183.88</v>
      </c>
      <c r="Q38" s="15" t="n">
        <v>0</v>
      </c>
      <c r="R38" s="11" t="n">
        <v>0</v>
      </c>
      <c r="S38" s="15" t="n">
        <f aca="false">P38-Q38</f>
        <v>26183.88</v>
      </c>
      <c r="T38" s="11" t="n">
        <f aca="false">IF(OR(J38="Completed",J38="Returned"),1,0)</f>
        <v>1</v>
      </c>
    </row>
    <row r="39" customFormat="false" ht="15" hidden="false" customHeight="false" outlineLevel="0" collapsed="false">
      <c r="A39" s="11" t="s">
        <v>825</v>
      </c>
      <c r="B39" s="11" t="s">
        <v>513</v>
      </c>
      <c r="C39" s="24" t="n">
        <v>45611</v>
      </c>
      <c r="D39" s="11" t="s">
        <v>42</v>
      </c>
      <c r="E39" s="11" t="s">
        <v>824</v>
      </c>
      <c r="F39" s="11" t="s">
        <v>78</v>
      </c>
      <c r="G39" s="11" t="s">
        <v>626</v>
      </c>
      <c r="H39" s="11" t="s">
        <v>24</v>
      </c>
      <c r="I39" s="11" t="s">
        <v>114</v>
      </c>
      <c r="J39" s="11" t="s">
        <v>242</v>
      </c>
      <c r="K39" s="11" t="n">
        <v>4</v>
      </c>
      <c r="L39" s="15" t="n">
        <v>11932.31</v>
      </c>
      <c r="M39" s="11" t="n">
        <v>20</v>
      </c>
      <c r="N39" s="15" t="n">
        <v>47729.24</v>
      </c>
      <c r="O39" s="15" t="n">
        <v>9545.85</v>
      </c>
      <c r="P39" s="15" t="n">
        <v>38183.39</v>
      </c>
      <c r="Q39" s="15" t="n">
        <v>34576.69</v>
      </c>
      <c r="R39" s="11" t="n">
        <v>4</v>
      </c>
      <c r="S39" s="15" t="n">
        <f aca="false">P39-Q39</f>
        <v>3606.7</v>
      </c>
      <c r="T39" s="11" t="n">
        <f aca="false">IF(OR(J39="Completed",J39="Returned"),1,0)</f>
        <v>1</v>
      </c>
    </row>
    <row r="40" customFormat="false" ht="15" hidden="false" customHeight="false" outlineLevel="0" collapsed="false">
      <c r="A40" s="11" t="s">
        <v>826</v>
      </c>
      <c r="B40" s="11" t="s">
        <v>513</v>
      </c>
      <c r="C40" s="24" t="n">
        <v>45611</v>
      </c>
      <c r="D40" s="11" t="s">
        <v>42</v>
      </c>
      <c r="E40" s="11" t="s">
        <v>824</v>
      </c>
      <c r="F40" s="11" t="s">
        <v>78</v>
      </c>
      <c r="G40" s="11" t="s">
        <v>827</v>
      </c>
      <c r="H40" s="11" t="s">
        <v>23</v>
      </c>
      <c r="I40" s="11" t="s">
        <v>114</v>
      </c>
      <c r="J40" s="11" t="s">
        <v>242</v>
      </c>
      <c r="K40" s="11" t="n">
        <v>5</v>
      </c>
      <c r="L40" s="15" t="n">
        <v>7855.79</v>
      </c>
      <c r="M40" s="11" t="n">
        <v>5</v>
      </c>
      <c r="N40" s="15" t="n">
        <v>39278.95</v>
      </c>
      <c r="O40" s="15" t="n">
        <v>1963.95</v>
      </c>
      <c r="P40" s="15" t="n">
        <v>37315</v>
      </c>
      <c r="Q40" s="15" t="n">
        <v>0</v>
      </c>
      <c r="R40" s="11" t="n">
        <v>0</v>
      </c>
      <c r="S40" s="15" t="n">
        <f aca="false">P40-Q40</f>
        <v>37315</v>
      </c>
      <c r="T40" s="11" t="n">
        <f aca="false">IF(OR(J40="Completed",J40="Returned"),1,0)</f>
        <v>1</v>
      </c>
    </row>
    <row r="41" customFormat="false" ht="15" hidden="false" customHeight="false" outlineLevel="0" collapsed="false">
      <c r="A41" s="11" t="s">
        <v>828</v>
      </c>
      <c r="B41" s="11" t="s">
        <v>369</v>
      </c>
      <c r="C41" s="24" t="n">
        <v>45658</v>
      </c>
      <c r="D41" s="11" t="s">
        <v>44</v>
      </c>
      <c r="E41" s="11" t="s">
        <v>829</v>
      </c>
      <c r="F41" s="11" t="s">
        <v>70</v>
      </c>
      <c r="G41" s="11" t="s">
        <v>830</v>
      </c>
      <c r="H41" s="11" t="s">
        <v>22</v>
      </c>
      <c r="I41" s="11" t="s">
        <v>115</v>
      </c>
      <c r="J41" s="11" t="s">
        <v>242</v>
      </c>
      <c r="K41" s="11" t="n">
        <v>5</v>
      </c>
      <c r="L41" s="15" t="n">
        <v>1179.68</v>
      </c>
      <c r="M41" s="11" t="n">
        <v>0</v>
      </c>
      <c r="N41" s="15" t="n">
        <v>5898.4</v>
      </c>
      <c r="O41" s="15" t="n">
        <v>0</v>
      </c>
      <c r="P41" s="15" t="n">
        <v>5898.4</v>
      </c>
      <c r="Q41" s="15" t="n">
        <v>0</v>
      </c>
      <c r="R41" s="11" t="n">
        <v>0</v>
      </c>
      <c r="S41" s="15" t="n">
        <f aca="false">P41-Q41</f>
        <v>5898.4</v>
      </c>
      <c r="T41" s="11" t="n">
        <f aca="false">IF(OR(J41="Completed",J41="Returned"),1,0)</f>
        <v>1</v>
      </c>
    </row>
    <row r="42" customFormat="false" ht="15" hidden="false" customHeight="false" outlineLevel="0" collapsed="false">
      <c r="A42" s="11" t="s">
        <v>831</v>
      </c>
      <c r="B42" s="11" t="s">
        <v>369</v>
      </c>
      <c r="C42" s="24" t="n">
        <v>45658</v>
      </c>
      <c r="D42" s="11" t="s">
        <v>44</v>
      </c>
      <c r="E42" s="11" t="s">
        <v>829</v>
      </c>
      <c r="F42" s="11" t="s">
        <v>70</v>
      </c>
      <c r="G42" s="11" t="s">
        <v>781</v>
      </c>
      <c r="H42" s="11" t="s">
        <v>21</v>
      </c>
      <c r="I42" s="11" t="s">
        <v>115</v>
      </c>
      <c r="J42" s="11" t="s">
        <v>242</v>
      </c>
      <c r="K42" s="11" t="n">
        <v>1</v>
      </c>
      <c r="L42" s="15" t="n">
        <v>3962.52</v>
      </c>
      <c r="M42" s="11" t="n">
        <v>20</v>
      </c>
      <c r="N42" s="15" t="n">
        <v>3962.52</v>
      </c>
      <c r="O42" s="15" t="n">
        <v>792.5</v>
      </c>
      <c r="P42" s="15" t="n">
        <v>3170.02</v>
      </c>
      <c r="Q42" s="15" t="n">
        <v>0</v>
      </c>
      <c r="R42" s="11" t="n">
        <v>0</v>
      </c>
      <c r="S42" s="15" t="n">
        <f aca="false">P42-Q42</f>
        <v>3170.02</v>
      </c>
      <c r="T42" s="11" t="n">
        <f aca="false">IF(OR(J42="Completed",J42="Returned"),1,0)</f>
        <v>1</v>
      </c>
    </row>
    <row r="43" customFormat="false" ht="15" hidden="false" customHeight="false" outlineLevel="0" collapsed="false">
      <c r="A43" s="11" t="s">
        <v>832</v>
      </c>
      <c r="B43" s="11" t="s">
        <v>369</v>
      </c>
      <c r="C43" s="24" t="n">
        <v>45658</v>
      </c>
      <c r="D43" s="11" t="s">
        <v>44</v>
      </c>
      <c r="E43" s="11" t="s">
        <v>829</v>
      </c>
      <c r="F43" s="11" t="s">
        <v>70</v>
      </c>
      <c r="G43" s="11" t="s">
        <v>833</v>
      </c>
      <c r="H43" s="11" t="s">
        <v>23</v>
      </c>
      <c r="I43" s="11" t="s">
        <v>115</v>
      </c>
      <c r="J43" s="11" t="s">
        <v>242</v>
      </c>
      <c r="K43" s="11" t="n">
        <v>3</v>
      </c>
      <c r="L43" s="15" t="n">
        <v>14595.44</v>
      </c>
      <c r="M43" s="11" t="n">
        <v>15</v>
      </c>
      <c r="N43" s="15" t="n">
        <v>43786.32</v>
      </c>
      <c r="O43" s="15" t="n">
        <v>6567.95</v>
      </c>
      <c r="P43" s="15" t="n">
        <v>37218.37</v>
      </c>
      <c r="Q43" s="15" t="n">
        <v>0</v>
      </c>
      <c r="R43" s="11" t="n">
        <v>0</v>
      </c>
      <c r="S43" s="15" t="n">
        <f aca="false">P43-Q43</f>
        <v>37218.37</v>
      </c>
      <c r="T43" s="11" t="n">
        <f aca="false">IF(OR(J43="Completed",J43="Returned"),1,0)</f>
        <v>1</v>
      </c>
    </row>
    <row r="44" customFormat="false" ht="15" hidden="false" customHeight="false" outlineLevel="0" collapsed="false">
      <c r="A44" s="11" t="s">
        <v>834</v>
      </c>
      <c r="B44" s="11" t="s">
        <v>369</v>
      </c>
      <c r="C44" s="24" t="n">
        <v>45658</v>
      </c>
      <c r="D44" s="11" t="s">
        <v>44</v>
      </c>
      <c r="E44" s="11" t="s">
        <v>829</v>
      </c>
      <c r="F44" s="11" t="s">
        <v>70</v>
      </c>
      <c r="G44" s="11" t="s">
        <v>835</v>
      </c>
      <c r="H44" s="11" t="s">
        <v>22</v>
      </c>
      <c r="I44" s="11" t="s">
        <v>115</v>
      </c>
      <c r="J44" s="11" t="s">
        <v>242</v>
      </c>
      <c r="K44" s="11" t="n">
        <v>5</v>
      </c>
      <c r="L44" s="15" t="n">
        <v>22572.25</v>
      </c>
      <c r="M44" s="11" t="n">
        <v>0</v>
      </c>
      <c r="N44" s="15" t="n">
        <v>112861.25</v>
      </c>
      <c r="O44" s="15" t="n">
        <v>0</v>
      </c>
      <c r="P44" s="15" t="n">
        <v>112861.25</v>
      </c>
      <c r="Q44" s="15" t="n">
        <v>0</v>
      </c>
      <c r="R44" s="11" t="n">
        <v>0</v>
      </c>
      <c r="S44" s="15" t="n">
        <f aca="false">P44-Q44</f>
        <v>112861.25</v>
      </c>
      <c r="T44" s="11" t="n">
        <f aca="false">IF(OR(J44="Completed",J44="Returned"),1,0)</f>
        <v>1</v>
      </c>
    </row>
    <row r="45" customFormat="false" ht="15" hidden="false" customHeight="false" outlineLevel="0" collapsed="false">
      <c r="A45" s="11" t="s">
        <v>836</v>
      </c>
      <c r="B45" s="11" t="s">
        <v>433</v>
      </c>
      <c r="C45" s="24" t="n">
        <v>45404</v>
      </c>
      <c r="D45" s="11" t="s">
        <v>35</v>
      </c>
      <c r="E45" s="11" t="s">
        <v>837</v>
      </c>
      <c r="F45" s="11" t="s">
        <v>82</v>
      </c>
      <c r="G45" s="11" t="s">
        <v>158</v>
      </c>
      <c r="H45" s="11" t="s">
        <v>22</v>
      </c>
      <c r="I45" s="11" t="s">
        <v>115</v>
      </c>
      <c r="J45" s="11" t="s">
        <v>269</v>
      </c>
      <c r="K45" s="11" t="n">
        <v>4</v>
      </c>
      <c r="L45" s="15" t="n">
        <v>5471.28</v>
      </c>
      <c r="M45" s="11" t="n">
        <v>15</v>
      </c>
      <c r="N45" s="15" t="n">
        <v>21885.12</v>
      </c>
      <c r="O45" s="15" t="n">
        <v>3282.77</v>
      </c>
      <c r="P45" s="15" t="n">
        <v>18602.35</v>
      </c>
      <c r="Q45" s="15" t="n">
        <v>0</v>
      </c>
      <c r="R45" s="11" t="n">
        <v>0</v>
      </c>
      <c r="S45" s="15" t="n">
        <f aca="false">P45-Q45</f>
        <v>18602.35</v>
      </c>
      <c r="T45" s="11" t="n">
        <f aca="false">IF(OR(J45="Completed",J45="Returned"),1,0)</f>
        <v>1</v>
      </c>
    </row>
    <row r="46" customFormat="false" ht="15" hidden="false" customHeight="false" outlineLevel="0" collapsed="false">
      <c r="A46" s="11" t="s">
        <v>838</v>
      </c>
      <c r="B46" s="11" t="s">
        <v>433</v>
      </c>
      <c r="C46" s="24" t="n">
        <v>45404</v>
      </c>
      <c r="D46" s="11" t="s">
        <v>35</v>
      </c>
      <c r="E46" s="11" t="s">
        <v>837</v>
      </c>
      <c r="F46" s="11" t="s">
        <v>82</v>
      </c>
      <c r="G46" s="11" t="s">
        <v>154</v>
      </c>
      <c r="H46" s="11" t="s">
        <v>21</v>
      </c>
      <c r="I46" s="11" t="s">
        <v>115</v>
      </c>
      <c r="J46" s="11" t="s">
        <v>269</v>
      </c>
      <c r="K46" s="11" t="n">
        <v>3</v>
      </c>
      <c r="L46" s="15" t="n">
        <v>2260.53</v>
      </c>
      <c r="M46" s="11" t="n">
        <v>5</v>
      </c>
      <c r="N46" s="15" t="n">
        <v>6781.59</v>
      </c>
      <c r="O46" s="15" t="n">
        <v>339.08</v>
      </c>
      <c r="P46" s="15" t="n">
        <v>6442.51</v>
      </c>
      <c r="Q46" s="15" t="n">
        <v>0</v>
      </c>
      <c r="R46" s="11" t="n">
        <v>0</v>
      </c>
      <c r="S46" s="15" t="n">
        <f aca="false">P46-Q46</f>
        <v>6442.51</v>
      </c>
      <c r="T46" s="11" t="n">
        <f aca="false">IF(OR(J46="Completed",J46="Returned"),1,0)</f>
        <v>1</v>
      </c>
    </row>
    <row r="47" customFormat="false" ht="15" hidden="false" customHeight="false" outlineLevel="0" collapsed="false">
      <c r="A47" s="11" t="s">
        <v>839</v>
      </c>
      <c r="B47" s="11" t="s">
        <v>433</v>
      </c>
      <c r="C47" s="24" t="n">
        <v>45404</v>
      </c>
      <c r="D47" s="11" t="s">
        <v>35</v>
      </c>
      <c r="E47" s="11" t="s">
        <v>837</v>
      </c>
      <c r="F47" s="11" t="s">
        <v>82</v>
      </c>
      <c r="G47" s="11" t="s">
        <v>148</v>
      </c>
      <c r="H47" s="11" t="s">
        <v>21</v>
      </c>
      <c r="I47" s="11" t="s">
        <v>115</v>
      </c>
      <c r="J47" s="11" t="s">
        <v>269</v>
      </c>
      <c r="K47" s="11" t="n">
        <v>5</v>
      </c>
      <c r="L47" s="15" t="n">
        <v>11434.02</v>
      </c>
      <c r="M47" s="11" t="n">
        <v>20</v>
      </c>
      <c r="N47" s="15" t="n">
        <v>57170.1</v>
      </c>
      <c r="O47" s="15" t="n">
        <v>11434.02</v>
      </c>
      <c r="P47" s="15" t="n">
        <v>45736.08</v>
      </c>
      <c r="Q47" s="15" t="n">
        <v>0</v>
      </c>
      <c r="R47" s="11" t="n">
        <v>0</v>
      </c>
      <c r="S47" s="15" t="n">
        <f aca="false">P47-Q47</f>
        <v>45736.08</v>
      </c>
      <c r="T47" s="11" t="n">
        <f aca="false">IF(OR(J47="Completed",J47="Returned"),1,0)</f>
        <v>1</v>
      </c>
    </row>
    <row r="48" customFormat="false" ht="15" hidden="false" customHeight="false" outlineLevel="0" collapsed="false">
      <c r="A48" s="11" t="s">
        <v>840</v>
      </c>
      <c r="B48" s="11" t="s">
        <v>433</v>
      </c>
      <c r="C48" s="24" t="n">
        <v>45404</v>
      </c>
      <c r="D48" s="11" t="s">
        <v>35</v>
      </c>
      <c r="E48" s="11" t="s">
        <v>837</v>
      </c>
      <c r="F48" s="11" t="s">
        <v>82</v>
      </c>
      <c r="G48" s="11" t="s">
        <v>129</v>
      </c>
      <c r="H48" s="11" t="s">
        <v>24</v>
      </c>
      <c r="I48" s="11" t="s">
        <v>115</v>
      </c>
      <c r="J48" s="11" t="s">
        <v>269</v>
      </c>
      <c r="K48" s="11" t="n">
        <v>5</v>
      </c>
      <c r="L48" s="15" t="n">
        <v>3184.81</v>
      </c>
      <c r="M48" s="11" t="n">
        <v>5</v>
      </c>
      <c r="N48" s="15" t="n">
        <v>15924.05</v>
      </c>
      <c r="O48" s="15" t="n">
        <v>796.2</v>
      </c>
      <c r="P48" s="15" t="n">
        <v>15127.85</v>
      </c>
      <c r="Q48" s="15" t="n">
        <v>15127.85</v>
      </c>
      <c r="R48" s="11" t="n">
        <v>5</v>
      </c>
      <c r="S48" s="15" t="n">
        <f aca="false">P48-Q48</f>
        <v>0</v>
      </c>
      <c r="T48" s="11" t="n">
        <f aca="false">IF(OR(J48="Completed",J48="Returned"),1,0)</f>
        <v>1</v>
      </c>
    </row>
    <row r="49" customFormat="false" ht="15" hidden="false" customHeight="false" outlineLevel="0" collapsed="false">
      <c r="A49" s="11" t="s">
        <v>841</v>
      </c>
      <c r="B49" s="11" t="s">
        <v>416</v>
      </c>
      <c r="C49" s="24" t="n">
        <v>45373</v>
      </c>
      <c r="D49" s="11" t="s">
        <v>34</v>
      </c>
      <c r="E49" s="11" t="s">
        <v>842</v>
      </c>
      <c r="F49" s="11" t="s">
        <v>70</v>
      </c>
      <c r="G49" s="11" t="s">
        <v>150</v>
      </c>
      <c r="H49" s="11" t="s">
        <v>22</v>
      </c>
      <c r="I49" s="11" t="s">
        <v>114</v>
      </c>
      <c r="J49" s="11" t="s">
        <v>242</v>
      </c>
      <c r="K49" s="11" t="n">
        <v>5</v>
      </c>
      <c r="L49" s="15" t="n">
        <v>21978.46</v>
      </c>
      <c r="M49" s="11" t="n">
        <v>0</v>
      </c>
      <c r="N49" s="15" t="n">
        <v>109892.3</v>
      </c>
      <c r="O49" s="15" t="n">
        <v>0</v>
      </c>
      <c r="P49" s="15" t="n">
        <v>109892.3</v>
      </c>
      <c r="Q49" s="15" t="n">
        <v>0</v>
      </c>
      <c r="R49" s="11" t="n">
        <v>0</v>
      </c>
      <c r="S49" s="15" t="n">
        <f aca="false">P49-Q49</f>
        <v>109892.3</v>
      </c>
      <c r="T49" s="11" t="n">
        <f aca="false">IF(OR(J49="Completed",J49="Returned"),1,0)</f>
        <v>1</v>
      </c>
    </row>
    <row r="50" customFormat="false" ht="15" hidden="false" customHeight="false" outlineLevel="0" collapsed="false">
      <c r="A50" s="11" t="s">
        <v>843</v>
      </c>
      <c r="B50" s="11" t="s">
        <v>362</v>
      </c>
      <c r="C50" s="24" t="n">
        <v>45812</v>
      </c>
      <c r="D50" s="11" t="s">
        <v>49</v>
      </c>
      <c r="E50" s="11" t="s">
        <v>844</v>
      </c>
      <c r="F50" s="11" t="s">
        <v>82</v>
      </c>
      <c r="G50" s="11" t="s">
        <v>615</v>
      </c>
      <c r="H50" s="11" t="s">
        <v>23</v>
      </c>
      <c r="I50" s="11" t="s">
        <v>113</v>
      </c>
      <c r="J50" s="11" t="s">
        <v>242</v>
      </c>
      <c r="K50" s="11" t="n">
        <v>1</v>
      </c>
      <c r="L50" s="15" t="n">
        <v>2863.09</v>
      </c>
      <c r="M50" s="11" t="n">
        <v>0</v>
      </c>
      <c r="N50" s="15" t="n">
        <v>2863.09</v>
      </c>
      <c r="O50" s="15" t="n">
        <v>0</v>
      </c>
      <c r="P50" s="15" t="n">
        <v>2863.09</v>
      </c>
      <c r="Q50" s="15" t="n">
        <v>0</v>
      </c>
      <c r="R50" s="11" t="n">
        <v>0</v>
      </c>
      <c r="S50" s="15" t="n">
        <f aca="false">P50-Q50</f>
        <v>2863.09</v>
      </c>
      <c r="T50" s="11" t="n">
        <f aca="false">IF(OR(J50="Completed",J50="Returned"),1,0)</f>
        <v>1</v>
      </c>
    </row>
    <row r="51" customFormat="false" ht="15" hidden="false" customHeight="false" outlineLevel="0" collapsed="false">
      <c r="A51" s="11" t="s">
        <v>845</v>
      </c>
      <c r="B51" s="11" t="s">
        <v>362</v>
      </c>
      <c r="C51" s="24" t="n">
        <v>45812</v>
      </c>
      <c r="D51" s="11" t="s">
        <v>49</v>
      </c>
      <c r="E51" s="11" t="s">
        <v>844</v>
      </c>
      <c r="F51" s="11" t="s">
        <v>82</v>
      </c>
      <c r="G51" s="11" t="s">
        <v>822</v>
      </c>
      <c r="H51" s="11" t="s">
        <v>21</v>
      </c>
      <c r="I51" s="11" t="s">
        <v>113</v>
      </c>
      <c r="J51" s="11" t="s">
        <v>242</v>
      </c>
      <c r="K51" s="11" t="n">
        <v>3</v>
      </c>
      <c r="L51" s="15" t="n">
        <v>11089.19</v>
      </c>
      <c r="M51" s="11" t="n">
        <v>5</v>
      </c>
      <c r="N51" s="15" t="n">
        <v>33267.57</v>
      </c>
      <c r="O51" s="15" t="n">
        <v>1663.38</v>
      </c>
      <c r="P51" s="15" t="n">
        <v>31604.19</v>
      </c>
      <c r="Q51" s="15" t="n">
        <v>0</v>
      </c>
      <c r="R51" s="11" t="n">
        <v>0</v>
      </c>
      <c r="S51" s="15" t="n">
        <f aca="false">P51-Q51</f>
        <v>31604.19</v>
      </c>
      <c r="T51" s="11" t="n">
        <f aca="false">IF(OR(J51="Completed",J51="Returned"),1,0)</f>
        <v>1</v>
      </c>
    </row>
    <row r="52" customFormat="false" ht="15" hidden="false" customHeight="false" outlineLevel="0" collapsed="false">
      <c r="A52" s="11" t="s">
        <v>846</v>
      </c>
      <c r="B52" s="11" t="s">
        <v>362</v>
      </c>
      <c r="C52" s="24" t="n">
        <v>45812</v>
      </c>
      <c r="D52" s="11" t="s">
        <v>49</v>
      </c>
      <c r="E52" s="11" t="s">
        <v>844</v>
      </c>
      <c r="F52" s="11" t="s">
        <v>82</v>
      </c>
      <c r="G52" s="11" t="s">
        <v>133</v>
      </c>
      <c r="H52" s="11" t="s">
        <v>21</v>
      </c>
      <c r="I52" s="11" t="s">
        <v>113</v>
      </c>
      <c r="J52" s="11" t="s">
        <v>242</v>
      </c>
      <c r="K52" s="11" t="n">
        <v>3</v>
      </c>
      <c r="L52" s="15" t="n">
        <v>15706.03</v>
      </c>
      <c r="M52" s="11" t="n">
        <v>5</v>
      </c>
      <c r="N52" s="15" t="n">
        <v>47118.09</v>
      </c>
      <c r="O52" s="15" t="n">
        <v>2355.9</v>
      </c>
      <c r="P52" s="15" t="n">
        <v>44762.19</v>
      </c>
      <c r="Q52" s="15" t="n">
        <v>0</v>
      </c>
      <c r="R52" s="11" t="n">
        <v>0</v>
      </c>
      <c r="S52" s="15" t="n">
        <f aca="false">P52-Q52</f>
        <v>44762.19</v>
      </c>
      <c r="T52" s="11" t="n">
        <f aca="false">IF(OR(J52="Completed",J52="Returned"),1,0)</f>
        <v>1</v>
      </c>
    </row>
    <row r="53" customFormat="false" ht="15" hidden="false" customHeight="false" outlineLevel="0" collapsed="false">
      <c r="A53" s="11" t="s">
        <v>847</v>
      </c>
      <c r="B53" s="11" t="s">
        <v>450</v>
      </c>
      <c r="C53" s="24" t="n">
        <v>45684</v>
      </c>
      <c r="D53" s="11" t="s">
        <v>44</v>
      </c>
      <c r="E53" s="11" t="s">
        <v>848</v>
      </c>
      <c r="F53" s="11" t="s">
        <v>70</v>
      </c>
      <c r="G53" s="11" t="s">
        <v>639</v>
      </c>
      <c r="H53" s="11" t="s">
        <v>23</v>
      </c>
      <c r="I53" s="11" t="s">
        <v>115</v>
      </c>
      <c r="J53" s="11" t="s">
        <v>246</v>
      </c>
      <c r="K53" s="11" t="n">
        <v>5</v>
      </c>
      <c r="L53" s="15" t="n">
        <v>8493.72</v>
      </c>
      <c r="M53" s="11" t="n">
        <v>20</v>
      </c>
      <c r="N53" s="15" t="n">
        <v>42468.6</v>
      </c>
      <c r="O53" s="15" t="n">
        <v>8493.72</v>
      </c>
      <c r="P53" s="15" t="n">
        <v>33974.88</v>
      </c>
      <c r="Q53" s="15" t="n">
        <v>0</v>
      </c>
      <c r="R53" s="11" t="n">
        <v>0</v>
      </c>
      <c r="S53" s="15" t="n">
        <f aca="false">P53-Q53</f>
        <v>33974.88</v>
      </c>
      <c r="T53" s="11" t="n">
        <f aca="false">IF(OR(J53="Completed",J53="Returned"),1,0)</f>
        <v>0</v>
      </c>
    </row>
    <row r="54" customFormat="false" ht="15" hidden="false" customHeight="false" outlineLevel="0" collapsed="false">
      <c r="A54" s="11" t="s">
        <v>849</v>
      </c>
      <c r="B54" s="11" t="s">
        <v>277</v>
      </c>
      <c r="C54" s="24" t="n">
        <v>45488</v>
      </c>
      <c r="D54" s="11" t="s">
        <v>38</v>
      </c>
      <c r="E54" s="11" t="s">
        <v>850</v>
      </c>
      <c r="F54" s="11" t="s">
        <v>70</v>
      </c>
      <c r="G54" s="11" t="s">
        <v>127</v>
      </c>
      <c r="H54" s="11" t="s">
        <v>21</v>
      </c>
      <c r="I54" s="11" t="s">
        <v>114</v>
      </c>
      <c r="J54" s="11" t="s">
        <v>246</v>
      </c>
      <c r="K54" s="11" t="n">
        <v>2</v>
      </c>
      <c r="L54" s="15" t="n">
        <v>959.46</v>
      </c>
      <c r="M54" s="11" t="n">
        <v>10</v>
      </c>
      <c r="N54" s="15" t="n">
        <v>1918.92</v>
      </c>
      <c r="O54" s="15" t="n">
        <v>191.89</v>
      </c>
      <c r="P54" s="15" t="n">
        <v>1727.03</v>
      </c>
      <c r="Q54" s="15" t="n">
        <v>0</v>
      </c>
      <c r="R54" s="11" t="n">
        <v>0</v>
      </c>
      <c r="S54" s="15" t="n">
        <f aca="false">P54-Q54</f>
        <v>1727.03</v>
      </c>
      <c r="T54" s="11" t="n">
        <f aca="false">IF(OR(J54="Completed",J54="Returned"),1,0)</f>
        <v>0</v>
      </c>
    </row>
    <row r="55" customFormat="false" ht="15" hidden="false" customHeight="false" outlineLevel="0" collapsed="false">
      <c r="A55" s="11" t="s">
        <v>851</v>
      </c>
      <c r="B55" s="11" t="s">
        <v>277</v>
      </c>
      <c r="C55" s="24" t="n">
        <v>45488</v>
      </c>
      <c r="D55" s="11" t="s">
        <v>38</v>
      </c>
      <c r="E55" s="11" t="s">
        <v>850</v>
      </c>
      <c r="F55" s="11" t="s">
        <v>70</v>
      </c>
      <c r="G55" s="11" t="s">
        <v>609</v>
      </c>
      <c r="H55" s="11" t="s">
        <v>20</v>
      </c>
      <c r="I55" s="11" t="s">
        <v>114</v>
      </c>
      <c r="J55" s="11" t="s">
        <v>246</v>
      </c>
      <c r="K55" s="11" t="n">
        <v>1</v>
      </c>
      <c r="L55" s="15" t="n">
        <v>10660.79</v>
      </c>
      <c r="M55" s="11" t="n">
        <v>5</v>
      </c>
      <c r="N55" s="15" t="n">
        <v>10660.79</v>
      </c>
      <c r="O55" s="15" t="n">
        <v>533.04</v>
      </c>
      <c r="P55" s="15" t="n">
        <v>10127.75</v>
      </c>
      <c r="Q55" s="15" t="n">
        <v>0</v>
      </c>
      <c r="R55" s="11" t="n">
        <v>0</v>
      </c>
      <c r="S55" s="15" t="n">
        <f aca="false">P55-Q55</f>
        <v>10127.75</v>
      </c>
      <c r="T55" s="11" t="n">
        <f aca="false">IF(OR(J55="Completed",J55="Returned"),1,0)</f>
        <v>0</v>
      </c>
    </row>
    <row r="56" customFormat="false" ht="15" hidden="false" customHeight="false" outlineLevel="0" collapsed="false">
      <c r="A56" s="11" t="s">
        <v>852</v>
      </c>
      <c r="B56" s="11" t="s">
        <v>529</v>
      </c>
      <c r="C56" s="24" t="n">
        <v>45452</v>
      </c>
      <c r="D56" s="11" t="s">
        <v>37</v>
      </c>
      <c r="E56" s="11" t="s">
        <v>853</v>
      </c>
      <c r="F56" s="11" t="s">
        <v>74</v>
      </c>
      <c r="G56" s="11" t="s">
        <v>854</v>
      </c>
      <c r="H56" s="11" t="s">
        <v>20</v>
      </c>
      <c r="I56" s="11" t="s">
        <v>113</v>
      </c>
      <c r="J56" s="11" t="s">
        <v>246</v>
      </c>
      <c r="K56" s="11" t="n">
        <v>2</v>
      </c>
      <c r="L56" s="15" t="n">
        <v>25742.49</v>
      </c>
      <c r="M56" s="11" t="n">
        <v>10</v>
      </c>
      <c r="N56" s="15" t="n">
        <v>51484.98</v>
      </c>
      <c r="O56" s="15" t="n">
        <v>5148.5</v>
      </c>
      <c r="P56" s="15" t="n">
        <v>46336.48</v>
      </c>
      <c r="Q56" s="15" t="n">
        <v>0</v>
      </c>
      <c r="R56" s="11" t="n">
        <v>0</v>
      </c>
      <c r="S56" s="15" t="n">
        <f aca="false">P56-Q56</f>
        <v>46336.48</v>
      </c>
      <c r="T56" s="11" t="n">
        <f aca="false">IF(OR(J56="Completed",J56="Returned"),1,0)</f>
        <v>0</v>
      </c>
    </row>
    <row r="57" customFormat="false" ht="15" hidden="false" customHeight="false" outlineLevel="0" collapsed="false">
      <c r="A57" s="11" t="s">
        <v>855</v>
      </c>
      <c r="B57" s="11" t="s">
        <v>377</v>
      </c>
      <c r="C57" s="24" t="n">
        <v>45452</v>
      </c>
      <c r="D57" s="11" t="s">
        <v>37</v>
      </c>
      <c r="E57" s="11" t="s">
        <v>856</v>
      </c>
      <c r="F57" s="11" t="s">
        <v>70</v>
      </c>
      <c r="G57" s="11" t="s">
        <v>156</v>
      </c>
      <c r="H57" s="11" t="s">
        <v>23</v>
      </c>
      <c r="I57" s="11" t="s">
        <v>113</v>
      </c>
      <c r="J57" s="11" t="s">
        <v>269</v>
      </c>
      <c r="K57" s="11" t="n">
        <v>4</v>
      </c>
      <c r="L57" s="15" t="n">
        <v>11992.92</v>
      </c>
      <c r="M57" s="11" t="n">
        <v>20</v>
      </c>
      <c r="N57" s="15" t="n">
        <v>47971.68</v>
      </c>
      <c r="O57" s="15" t="n">
        <v>9594.34</v>
      </c>
      <c r="P57" s="15" t="n">
        <v>38377.34</v>
      </c>
      <c r="Q57" s="15" t="n">
        <v>0</v>
      </c>
      <c r="R57" s="11" t="n">
        <v>0</v>
      </c>
      <c r="S57" s="15" t="n">
        <f aca="false">P57-Q57</f>
        <v>38377.34</v>
      </c>
      <c r="T57" s="11" t="n">
        <f aca="false">IF(OR(J57="Completed",J57="Returned"),1,0)</f>
        <v>1</v>
      </c>
    </row>
    <row r="58" customFormat="false" ht="15" hidden="false" customHeight="false" outlineLevel="0" collapsed="false">
      <c r="A58" s="11" t="s">
        <v>857</v>
      </c>
      <c r="B58" s="11" t="s">
        <v>377</v>
      </c>
      <c r="C58" s="24" t="n">
        <v>45452</v>
      </c>
      <c r="D58" s="11" t="s">
        <v>37</v>
      </c>
      <c r="E58" s="11" t="s">
        <v>856</v>
      </c>
      <c r="F58" s="11" t="s">
        <v>70</v>
      </c>
      <c r="G58" s="11" t="s">
        <v>148</v>
      </c>
      <c r="H58" s="11" t="s">
        <v>21</v>
      </c>
      <c r="I58" s="11" t="s">
        <v>113</v>
      </c>
      <c r="J58" s="11" t="s">
        <v>269</v>
      </c>
      <c r="K58" s="11" t="n">
        <v>3</v>
      </c>
      <c r="L58" s="15" t="n">
        <v>11434.02</v>
      </c>
      <c r="M58" s="11" t="n">
        <v>0</v>
      </c>
      <c r="N58" s="15" t="n">
        <v>34302.06</v>
      </c>
      <c r="O58" s="15" t="n">
        <v>0</v>
      </c>
      <c r="P58" s="15" t="n">
        <v>34302.06</v>
      </c>
      <c r="Q58" s="15" t="n">
        <v>0</v>
      </c>
      <c r="R58" s="11" t="n">
        <v>0</v>
      </c>
      <c r="S58" s="15" t="n">
        <f aca="false">P58-Q58</f>
        <v>34302.06</v>
      </c>
      <c r="T58" s="11" t="n">
        <f aca="false">IF(OR(J58="Completed",J58="Returned"),1,0)</f>
        <v>1</v>
      </c>
    </row>
    <row r="59" customFormat="false" ht="15" hidden="false" customHeight="false" outlineLevel="0" collapsed="false">
      <c r="A59" s="11" t="s">
        <v>858</v>
      </c>
      <c r="B59" s="11" t="s">
        <v>377</v>
      </c>
      <c r="C59" s="24" t="n">
        <v>45452</v>
      </c>
      <c r="D59" s="11" t="s">
        <v>37</v>
      </c>
      <c r="E59" s="11" t="s">
        <v>856</v>
      </c>
      <c r="F59" s="11" t="s">
        <v>70</v>
      </c>
      <c r="G59" s="11" t="s">
        <v>859</v>
      </c>
      <c r="H59" s="11" t="s">
        <v>23</v>
      </c>
      <c r="I59" s="11" t="s">
        <v>113</v>
      </c>
      <c r="J59" s="11" t="s">
        <v>269</v>
      </c>
      <c r="K59" s="11" t="n">
        <v>1</v>
      </c>
      <c r="L59" s="15" t="n">
        <v>17485.19</v>
      </c>
      <c r="M59" s="11" t="n">
        <v>0</v>
      </c>
      <c r="N59" s="15" t="n">
        <v>17485.19</v>
      </c>
      <c r="O59" s="15" t="n">
        <v>0</v>
      </c>
      <c r="P59" s="15" t="n">
        <v>17485.19</v>
      </c>
      <c r="Q59" s="15" t="n">
        <v>0</v>
      </c>
      <c r="R59" s="11" t="n">
        <v>0</v>
      </c>
      <c r="S59" s="15" t="n">
        <f aca="false">P59-Q59</f>
        <v>17485.19</v>
      </c>
      <c r="T59" s="11" t="n">
        <f aca="false">IF(OR(J59="Completed",J59="Returned"),1,0)</f>
        <v>1</v>
      </c>
    </row>
    <row r="60" customFormat="false" ht="15" hidden="false" customHeight="false" outlineLevel="0" collapsed="false">
      <c r="A60" s="11" t="s">
        <v>860</v>
      </c>
      <c r="B60" s="11" t="s">
        <v>377</v>
      </c>
      <c r="C60" s="24" t="n">
        <v>45452</v>
      </c>
      <c r="D60" s="11" t="s">
        <v>37</v>
      </c>
      <c r="E60" s="11" t="s">
        <v>856</v>
      </c>
      <c r="F60" s="11" t="s">
        <v>70</v>
      </c>
      <c r="G60" s="11" t="s">
        <v>148</v>
      </c>
      <c r="H60" s="11" t="s">
        <v>21</v>
      </c>
      <c r="I60" s="11" t="s">
        <v>113</v>
      </c>
      <c r="J60" s="11" t="s">
        <v>269</v>
      </c>
      <c r="K60" s="11" t="n">
        <v>4</v>
      </c>
      <c r="L60" s="15" t="n">
        <v>11434.02</v>
      </c>
      <c r="M60" s="11" t="n">
        <v>5</v>
      </c>
      <c r="N60" s="15" t="n">
        <v>45736.08</v>
      </c>
      <c r="O60" s="15" t="n">
        <v>2286.8</v>
      </c>
      <c r="P60" s="15" t="n">
        <v>43449.28</v>
      </c>
      <c r="Q60" s="15" t="n">
        <v>0</v>
      </c>
      <c r="R60" s="11" t="n">
        <v>0</v>
      </c>
      <c r="S60" s="15" t="n">
        <f aca="false">P60-Q60</f>
        <v>43449.28</v>
      </c>
      <c r="T60" s="11" t="n">
        <f aca="false">IF(OR(J60="Completed",J60="Returned"),1,0)</f>
        <v>1</v>
      </c>
    </row>
    <row r="61" customFormat="false" ht="15" hidden="false" customHeight="false" outlineLevel="0" collapsed="false">
      <c r="A61" s="11" t="s">
        <v>861</v>
      </c>
      <c r="B61" s="11" t="s">
        <v>550</v>
      </c>
      <c r="C61" s="24" t="n">
        <v>45360</v>
      </c>
      <c r="D61" s="11" t="s">
        <v>34</v>
      </c>
      <c r="E61" s="11" t="s">
        <v>862</v>
      </c>
      <c r="F61" s="11" t="s">
        <v>82</v>
      </c>
      <c r="G61" s="11" t="s">
        <v>859</v>
      </c>
      <c r="H61" s="11" t="s">
        <v>23</v>
      </c>
      <c r="I61" s="11" t="s">
        <v>114</v>
      </c>
      <c r="J61" s="11" t="s">
        <v>242</v>
      </c>
      <c r="K61" s="11" t="n">
        <v>4</v>
      </c>
      <c r="L61" s="15" t="n">
        <v>17485.19</v>
      </c>
      <c r="M61" s="11" t="n">
        <v>0</v>
      </c>
      <c r="N61" s="15" t="n">
        <v>69940.76</v>
      </c>
      <c r="O61" s="15" t="n">
        <v>0</v>
      </c>
      <c r="P61" s="15" t="n">
        <v>69940.76</v>
      </c>
      <c r="Q61" s="15" t="n">
        <v>0</v>
      </c>
      <c r="R61" s="11" t="n">
        <v>0</v>
      </c>
      <c r="S61" s="15" t="n">
        <f aca="false">P61-Q61</f>
        <v>69940.76</v>
      </c>
      <c r="T61" s="11" t="n">
        <f aca="false">IF(OR(J61="Completed",J61="Returned"),1,0)</f>
        <v>1</v>
      </c>
    </row>
    <row r="62" customFormat="false" ht="15" hidden="false" customHeight="false" outlineLevel="0" collapsed="false">
      <c r="A62" s="11" t="s">
        <v>863</v>
      </c>
      <c r="B62" s="11" t="s">
        <v>550</v>
      </c>
      <c r="C62" s="24" t="n">
        <v>45360</v>
      </c>
      <c r="D62" s="11" t="s">
        <v>34</v>
      </c>
      <c r="E62" s="11" t="s">
        <v>862</v>
      </c>
      <c r="F62" s="11" t="s">
        <v>82</v>
      </c>
      <c r="G62" s="11" t="s">
        <v>613</v>
      </c>
      <c r="H62" s="11" t="s">
        <v>23</v>
      </c>
      <c r="I62" s="11" t="s">
        <v>114</v>
      </c>
      <c r="J62" s="11" t="s">
        <v>242</v>
      </c>
      <c r="K62" s="11" t="n">
        <v>4</v>
      </c>
      <c r="L62" s="15" t="n">
        <v>7218.53</v>
      </c>
      <c r="M62" s="11" t="n">
        <v>10</v>
      </c>
      <c r="N62" s="15" t="n">
        <v>28874.12</v>
      </c>
      <c r="O62" s="15" t="n">
        <v>2887.41</v>
      </c>
      <c r="P62" s="15" t="n">
        <v>25986.71</v>
      </c>
      <c r="Q62" s="15" t="n">
        <v>0</v>
      </c>
      <c r="R62" s="11" t="n">
        <v>0</v>
      </c>
      <c r="S62" s="15" t="n">
        <f aca="false">P62-Q62</f>
        <v>25986.71</v>
      </c>
      <c r="T62" s="11" t="n">
        <f aca="false">IF(OR(J62="Completed",J62="Returned"),1,0)</f>
        <v>1</v>
      </c>
    </row>
    <row r="63" customFormat="false" ht="15" hidden="false" customHeight="false" outlineLevel="0" collapsed="false">
      <c r="A63" s="11" t="s">
        <v>864</v>
      </c>
      <c r="B63" s="11" t="s">
        <v>550</v>
      </c>
      <c r="C63" s="24" t="n">
        <v>45360</v>
      </c>
      <c r="D63" s="11" t="s">
        <v>34</v>
      </c>
      <c r="E63" s="11" t="s">
        <v>862</v>
      </c>
      <c r="F63" s="11" t="s">
        <v>82</v>
      </c>
      <c r="G63" s="11" t="s">
        <v>617</v>
      </c>
      <c r="H63" s="11" t="s">
        <v>21</v>
      </c>
      <c r="I63" s="11" t="s">
        <v>114</v>
      </c>
      <c r="J63" s="11" t="s">
        <v>242</v>
      </c>
      <c r="K63" s="11" t="n">
        <v>1</v>
      </c>
      <c r="L63" s="15" t="n">
        <v>3446.09</v>
      </c>
      <c r="M63" s="11" t="n">
        <v>0</v>
      </c>
      <c r="N63" s="15" t="n">
        <v>3446.09</v>
      </c>
      <c r="O63" s="15" t="n">
        <v>0</v>
      </c>
      <c r="P63" s="15" t="n">
        <v>3446.09</v>
      </c>
      <c r="Q63" s="15" t="n">
        <v>0</v>
      </c>
      <c r="R63" s="11" t="n">
        <v>0</v>
      </c>
      <c r="S63" s="15" t="n">
        <f aca="false">P63-Q63</f>
        <v>3446.09</v>
      </c>
      <c r="T63" s="11" t="n">
        <f aca="false">IF(OR(J63="Completed",J63="Returned"),1,0)</f>
        <v>1</v>
      </c>
    </row>
    <row r="64" customFormat="false" ht="15" hidden="false" customHeight="false" outlineLevel="0" collapsed="false">
      <c r="A64" s="11" t="s">
        <v>865</v>
      </c>
      <c r="B64" s="11" t="s">
        <v>572</v>
      </c>
      <c r="C64" s="24" t="n">
        <v>45854</v>
      </c>
      <c r="D64" s="11" t="s">
        <v>50</v>
      </c>
      <c r="E64" s="11" t="s">
        <v>866</v>
      </c>
      <c r="F64" s="11" t="s">
        <v>82</v>
      </c>
      <c r="G64" s="11" t="s">
        <v>805</v>
      </c>
      <c r="H64" s="11" t="s">
        <v>21</v>
      </c>
      <c r="I64" s="11" t="s">
        <v>114</v>
      </c>
      <c r="J64" s="11" t="s">
        <v>250</v>
      </c>
      <c r="K64" s="11" t="n">
        <v>3</v>
      </c>
      <c r="L64" s="15" t="n">
        <v>23243.35</v>
      </c>
      <c r="M64" s="11" t="n">
        <v>5</v>
      </c>
      <c r="N64" s="15" t="n">
        <v>69730.05</v>
      </c>
      <c r="O64" s="15" t="n">
        <v>3486.5</v>
      </c>
      <c r="P64" s="15" t="n">
        <v>66243.55</v>
      </c>
      <c r="Q64" s="15" t="n">
        <v>0</v>
      </c>
      <c r="R64" s="11" t="n">
        <v>0</v>
      </c>
      <c r="S64" s="15" t="n">
        <f aca="false">P64-Q64</f>
        <v>66243.55</v>
      </c>
      <c r="T64" s="11" t="n">
        <f aca="false">IF(OR(J64="Completed",J64="Returned"),1,0)</f>
        <v>0</v>
      </c>
    </row>
    <row r="65" customFormat="false" ht="15" hidden="false" customHeight="false" outlineLevel="0" collapsed="false">
      <c r="A65" s="11" t="s">
        <v>867</v>
      </c>
      <c r="B65" s="11" t="s">
        <v>572</v>
      </c>
      <c r="C65" s="24" t="n">
        <v>45854</v>
      </c>
      <c r="D65" s="11" t="s">
        <v>50</v>
      </c>
      <c r="E65" s="11" t="s">
        <v>866</v>
      </c>
      <c r="F65" s="11" t="s">
        <v>82</v>
      </c>
      <c r="G65" s="11" t="s">
        <v>625</v>
      </c>
      <c r="H65" s="11" t="s">
        <v>21</v>
      </c>
      <c r="I65" s="11" t="s">
        <v>114</v>
      </c>
      <c r="J65" s="11" t="s">
        <v>250</v>
      </c>
      <c r="K65" s="11" t="n">
        <v>1</v>
      </c>
      <c r="L65" s="15" t="n">
        <v>15176.98</v>
      </c>
      <c r="M65" s="11" t="n">
        <v>5</v>
      </c>
      <c r="N65" s="15" t="n">
        <v>15176.98</v>
      </c>
      <c r="O65" s="15" t="n">
        <v>758.85</v>
      </c>
      <c r="P65" s="15" t="n">
        <v>14418.13</v>
      </c>
      <c r="Q65" s="15" t="n">
        <v>0</v>
      </c>
      <c r="R65" s="11" t="n">
        <v>0</v>
      </c>
      <c r="S65" s="15" t="n">
        <f aca="false">P65-Q65</f>
        <v>14418.13</v>
      </c>
      <c r="T65" s="11" t="n">
        <f aca="false">IF(OR(J65="Completed",J65="Returned"),1,0)</f>
        <v>0</v>
      </c>
    </row>
    <row r="66" customFormat="false" ht="15" hidden="false" customHeight="false" outlineLevel="0" collapsed="false">
      <c r="A66" s="11" t="s">
        <v>868</v>
      </c>
      <c r="B66" s="11" t="s">
        <v>572</v>
      </c>
      <c r="C66" s="24" t="n">
        <v>45854</v>
      </c>
      <c r="D66" s="11" t="s">
        <v>50</v>
      </c>
      <c r="E66" s="11" t="s">
        <v>866</v>
      </c>
      <c r="F66" s="11" t="s">
        <v>82</v>
      </c>
      <c r="G66" s="11" t="s">
        <v>603</v>
      </c>
      <c r="H66" s="11" t="s">
        <v>23</v>
      </c>
      <c r="I66" s="11" t="s">
        <v>114</v>
      </c>
      <c r="J66" s="11" t="s">
        <v>250</v>
      </c>
      <c r="K66" s="11" t="n">
        <v>2</v>
      </c>
      <c r="L66" s="15" t="n">
        <v>15622.68</v>
      </c>
      <c r="M66" s="11" t="n">
        <v>20</v>
      </c>
      <c r="N66" s="15" t="n">
        <v>31245.36</v>
      </c>
      <c r="O66" s="15" t="n">
        <v>6249.07</v>
      </c>
      <c r="P66" s="15" t="n">
        <v>24996.29</v>
      </c>
      <c r="Q66" s="15" t="n">
        <v>0</v>
      </c>
      <c r="R66" s="11" t="n">
        <v>0</v>
      </c>
      <c r="S66" s="15" t="n">
        <f aca="false">P66-Q66</f>
        <v>24996.29</v>
      </c>
      <c r="T66" s="11" t="n">
        <f aca="false">IF(OR(J66="Completed",J66="Returned"),1,0)</f>
        <v>0</v>
      </c>
    </row>
    <row r="67" customFormat="false" ht="15" hidden="false" customHeight="false" outlineLevel="0" collapsed="false">
      <c r="A67" s="11" t="s">
        <v>869</v>
      </c>
      <c r="B67" s="11" t="s">
        <v>549</v>
      </c>
      <c r="C67" s="24" t="n">
        <v>45416</v>
      </c>
      <c r="D67" s="11" t="s">
        <v>36</v>
      </c>
      <c r="E67" s="11" t="s">
        <v>870</v>
      </c>
      <c r="F67" s="11" t="s">
        <v>82</v>
      </c>
      <c r="G67" s="11" t="s">
        <v>830</v>
      </c>
      <c r="H67" s="11" t="s">
        <v>22</v>
      </c>
      <c r="I67" s="11" t="s">
        <v>115</v>
      </c>
      <c r="J67" s="11" t="s">
        <v>250</v>
      </c>
      <c r="K67" s="11" t="n">
        <v>2</v>
      </c>
      <c r="L67" s="15" t="n">
        <v>1179.68</v>
      </c>
      <c r="M67" s="11" t="n">
        <v>5</v>
      </c>
      <c r="N67" s="15" t="n">
        <v>2359.36</v>
      </c>
      <c r="O67" s="15" t="n">
        <v>117.97</v>
      </c>
      <c r="P67" s="15" t="n">
        <v>2241.39</v>
      </c>
      <c r="Q67" s="15" t="n">
        <v>0</v>
      </c>
      <c r="R67" s="11" t="n">
        <v>0</v>
      </c>
      <c r="S67" s="15" t="n">
        <f aca="false">P67-Q67</f>
        <v>2241.39</v>
      </c>
      <c r="T67" s="11" t="n">
        <f aca="false">IF(OR(J67="Completed",J67="Returned"),1,0)</f>
        <v>0</v>
      </c>
    </row>
    <row r="68" customFormat="false" ht="15" hidden="false" customHeight="false" outlineLevel="0" collapsed="false">
      <c r="A68" s="11" t="s">
        <v>871</v>
      </c>
      <c r="B68" s="11" t="s">
        <v>549</v>
      </c>
      <c r="C68" s="24" t="n">
        <v>45416</v>
      </c>
      <c r="D68" s="11" t="s">
        <v>36</v>
      </c>
      <c r="E68" s="11" t="s">
        <v>870</v>
      </c>
      <c r="F68" s="11" t="s">
        <v>82</v>
      </c>
      <c r="G68" s="11" t="s">
        <v>131</v>
      </c>
      <c r="H68" s="11" t="s">
        <v>22</v>
      </c>
      <c r="I68" s="11" t="s">
        <v>115</v>
      </c>
      <c r="J68" s="11" t="s">
        <v>250</v>
      </c>
      <c r="K68" s="11" t="n">
        <v>1</v>
      </c>
      <c r="L68" s="15" t="n">
        <v>11284.39</v>
      </c>
      <c r="M68" s="11" t="n">
        <v>0</v>
      </c>
      <c r="N68" s="15" t="n">
        <v>11284.39</v>
      </c>
      <c r="O68" s="15" t="n">
        <v>0</v>
      </c>
      <c r="P68" s="15" t="n">
        <v>11284.39</v>
      </c>
      <c r="Q68" s="15" t="n">
        <v>0</v>
      </c>
      <c r="R68" s="11" t="n">
        <v>0</v>
      </c>
      <c r="S68" s="15" t="n">
        <f aca="false">P68-Q68</f>
        <v>11284.39</v>
      </c>
      <c r="T68" s="11" t="n">
        <f aca="false">IF(OR(J68="Completed",J68="Returned"),1,0)</f>
        <v>0</v>
      </c>
    </row>
    <row r="69" customFormat="false" ht="15" hidden="false" customHeight="false" outlineLevel="0" collapsed="false">
      <c r="A69" s="11" t="s">
        <v>872</v>
      </c>
      <c r="B69" s="11" t="s">
        <v>517</v>
      </c>
      <c r="C69" s="24" t="n">
        <v>45357</v>
      </c>
      <c r="D69" s="11" t="s">
        <v>34</v>
      </c>
      <c r="E69" s="11" t="s">
        <v>95</v>
      </c>
      <c r="F69" s="11" t="s">
        <v>78</v>
      </c>
      <c r="G69" s="11" t="s">
        <v>628</v>
      </c>
      <c r="H69" s="11" t="s">
        <v>22</v>
      </c>
      <c r="I69" s="11" t="s">
        <v>115</v>
      </c>
      <c r="J69" s="11" t="s">
        <v>242</v>
      </c>
      <c r="K69" s="11" t="n">
        <v>4</v>
      </c>
      <c r="L69" s="15" t="n">
        <v>9269.43</v>
      </c>
      <c r="M69" s="11" t="n">
        <v>5</v>
      </c>
      <c r="N69" s="15" t="n">
        <v>37077.72</v>
      </c>
      <c r="O69" s="15" t="n">
        <v>1853.89</v>
      </c>
      <c r="P69" s="15" t="n">
        <v>35223.83</v>
      </c>
      <c r="Q69" s="15" t="n">
        <v>0</v>
      </c>
      <c r="R69" s="11" t="n">
        <v>0</v>
      </c>
      <c r="S69" s="15" t="n">
        <f aca="false">P69-Q69</f>
        <v>35223.83</v>
      </c>
      <c r="T69" s="11" t="n">
        <f aca="false">IF(OR(J69="Completed",J69="Returned"),1,0)</f>
        <v>1</v>
      </c>
    </row>
    <row r="70" customFormat="false" ht="15" hidden="false" customHeight="false" outlineLevel="0" collapsed="false">
      <c r="A70" s="11" t="s">
        <v>873</v>
      </c>
      <c r="B70" s="11" t="s">
        <v>517</v>
      </c>
      <c r="C70" s="24" t="n">
        <v>45357</v>
      </c>
      <c r="D70" s="11" t="s">
        <v>34</v>
      </c>
      <c r="E70" s="11" t="s">
        <v>95</v>
      </c>
      <c r="F70" s="11" t="s">
        <v>78</v>
      </c>
      <c r="G70" s="11" t="s">
        <v>621</v>
      </c>
      <c r="H70" s="11" t="s">
        <v>20</v>
      </c>
      <c r="I70" s="11" t="s">
        <v>115</v>
      </c>
      <c r="J70" s="11" t="s">
        <v>242</v>
      </c>
      <c r="K70" s="11" t="n">
        <v>3</v>
      </c>
      <c r="L70" s="15" t="n">
        <v>1165.83</v>
      </c>
      <c r="M70" s="11" t="n">
        <v>0</v>
      </c>
      <c r="N70" s="15" t="n">
        <v>3497.49</v>
      </c>
      <c r="O70" s="15" t="n">
        <v>0</v>
      </c>
      <c r="P70" s="15" t="n">
        <v>3497.49</v>
      </c>
      <c r="Q70" s="15" t="n">
        <v>0</v>
      </c>
      <c r="R70" s="11" t="n">
        <v>0</v>
      </c>
      <c r="S70" s="15" t="n">
        <f aca="false">P70-Q70</f>
        <v>3497.49</v>
      </c>
      <c r="T70" s="11" t="n">
        <f aca="false">IF(OR(J70="Completed",J70="Returned"),1,0)</f>
        <v>1</v>
      </c>
    </row>
    <row r="71" customFormat="false" ht="15" hidden="false" customHeight="false" outlineLevel="0" collapsed="false">
      <c r="A71" s="11" t="s">
        <v>874</v>
      </c>
      <c r="B71" s="11" t="s">
        <v>517</v>
      </c>
      <c r="C71" s="24" t="n">
        <v>45357</v>
      </c>
      <c r="D71" s="11" t="s">
        <v>34</v>
      </c>
      <c r="E71" s="11" t="s">
        <v>95</v>
      </c>
      <c r="F71" s="11" t="s">
        <v>78</v>
      </c>
      <c r="G71" s="11" t="s">
        <v>605</v>
      </c>
      <c r="H71" s="11" t="s">
        <v>24</v>
      </c>
      <c r="I71" s="11" t="s">
        <v>115</v>
      </c>
      <c r="J71" s="11" t="s">
        <v>242</v>
      </c>
      <c r="K71" s="11" t="n">
        <v>1</v>
      </c>
      <c r="L71" s="15" t="n">
        <v>5818.64</v>
      </c>
      <c r="M71" s="11" t="n">
        <v>0</v>
      </c>
      <c r="N71" s="15" t="n">
        <v>5818.64</v>
      </c>
      <c r="O71" s="15" t="n">
        <v>0</v>
      </c>
      <c r="P71" s="15" t="n">
        <v>5818.64</v>
      </c>
      <c r="Q71" s="15" t="n">
        <v>0</v>
      </c>
      <c r="R71" s="11" t="n">
        <v>0</v>
      </c>
      <c r="S71" s="15" t="n">
        <f aca="false">P71-Q71</f>
        <v>5818.64</v>
      </c>
      <c r="T71" s="11" t="n">
        <f aca="false">IF(OR(J71="Completed",J71="Returned"),1,0)</f>
        <v>1</v>
      </c>
    </row>
    <row r="72" customFormat="false" ht="15" hidden="false" customHeight="false" outlineLevel="0" collapsed="false">
      <c r="A72" s="11" t="s">
        <v>875</v>
      </c>
      <c r="B72" s="11" t="s">
        <v>517</v>
      </c>
      <c r="C72" s="24" t="n">
        <v>45357</v>
      </c>
      <c r="D72" s="11" t="s">
        <v>34</v>
      </c>
      <c r="E72" s="11" t="s">
        <v>95</v>
      </c>
      <c r="F72" s="11" t="s">
        <v>78</v>
      </c>
      <c r="G72" s="11" t="s">
        <v>623</v>
      </c>
      <c r="H72" s="11" t="s">
        <v>20</v>
      </c>
      <c r="I72" s="11" t="s">
        <v>115</v>
      </c>
      <c r="J72" s="11" t="s">
        <v>242</v>
      </c>
      <c r="K72" s="11" t="n">
        <v>1</v>
      </c>
      <c r="L72" s="15" t="n">
        <v>16535.66</v>
      </c>
      <c r="M72" s="11" t="n">
        <v>20</v>
      </c>
      <c r="N72" s="15" t="n">
        <v>16535.66</v>
      </c>
      <c r="O72" s="15" t="n">
        <v>3307.13</v>
      </c>
      <c r="P72" s="15" t="n">
        <v>13228.53</v>
      </c>
      <c r="Q72" s="15" t="n">
        <v>0</v>
      </c>
      <c r="R72" s="11" t="n">
        <v>0</v>
      </c>
      <c r="S72" s="15" t="n">
        <f aca="false">P72-Q72</f>
        <v>13228.53</v>
      </c>
      <c r="T72" s="11" t="n">
        <f aca="false">IF(OR(J72="Completed",J72="Returned"),1,0)</f>
        <v>1</v>
      </c>
    </row>
    <row r="73" customFormat="false" ht="15" hidden="false" customHeight="false" outlineLevel="0" collapsed="false">
      <c r="A73" s="11" t="s">
        <v>876</v>
      </c>
      <c r="B73" s="11" t="s">
        <v>470</v>
      </c>
      <c r="C73" s="24" t="n">
        <v>45395</v>
      </c>
      <c r="D73" s="11" t="s">
        <v>35</v>
      </c>
      <c r="E73" s="11" t="s">
        <v>877</v>
      </c>
      <c r="F73" s="11" t="s">
        <v>70</v>
      </c>
      <c r="G73" s="11" t="s">
        <v>630</v>
      </c>
      <c r="H73" s="11" t="s">
        <v>23</v>
      </c>
      <c r="I73" s="11" t="s">
        <v>115</v>
      </c>
      <c r="J73" s="11" t="s">
        <v>250</v>
      </c>
      <c r="K73" s="11" t="n">
        <v>2</v>
      </c>
      <c r="L73" s="15" t="n">
        <v>18828.5</v>
      </c>
      <c r="M73" s="11" t="n">
        <v>10</v>
      </c>
      <c r="N73" s="15" t="n">
        <v>37657</v>
      </c>
      <c r="O73" s="15" t="n">
        <v>3765.7</v>
      </c>
      <c r="P73" s="15" t="n">
        <v>33891.3</v>
      </c>
      <c r="Q73" s="15" t="n">
        <v>0</v>
      </c>
      <c r="R73" s="11" t="n">
        <v>0</v>
      </c>
      <c r="S73" s="15" t="n">
        <f aca="false">P73-Q73</f>
        <v>33891.3</v>
      </c>
      <c r="T73" s="11" t="n">
        <f aca="false">IF(OR(J73="Completed",J73="Returned"),1,0)</f>
        <v>0</v>
      </c>
    </row>
    <row r="74" customFormat="false" ht="15" hidden="false" customHeight="false" outlineLevel="0" collapsed="false">
      <c r="A74" s="11" t="s">
        <v>878</v>
      </c>
      <c r="B74" s="11" t="s">
        <v>543</v>
      </c>
      <c r="C74" s="24" t="n">
        <v>45474</v>
      </c>
      <c r="D74" s="11" t="s">
        <v>38</v>
      </c>
      <c r="E74" s="11" t="s">
        <v>879</v>
      </c>
      <c r="F74" s="11" t="s">
        <v>82</v>
      </c>
      <c r="G74" s="11" t="s">
        <v>639</v>
      </c>
      <c r="H74" s="11" t="s">
        <v>23</v>
      </c>
      <c r="I74" s="11" t="s">
        <v>113</v>
      </c>
      <c r="J74" s="11" t="s">
        <v>242</v>
      </c>
      <c r="K74" s="11" t="n">
        <v>3</v>
      </c>
      <c r="L74" s="15" t="n">
        <v>8493.72</v>
      </c>
      <c r="M74" s="11" t="n">
        <v>5</v>
      </c>
      <c r="N74" s="15" t="n">
        <v>25481.16</v>
      </c>
      <c r="O74" s="15" t="n">
        <v>1274.06</v>
      </c>
      <c r="P74" s="15" t="n">
        <v>24207.1</v>
      </c>
      <c r="Q74" s="15" t="n">
        <v>0</v>
      </c>
      <c r="R74" s="11" t="n">
        <v>0</v>
      </c>
      <c r="S74" s="15" t="n">
        <f aca="false">P74-Q74</f>
        <v>24207.1</v>
      </c>
      <c r="T74" s="11" t="n">
        <f aca="false">IF(OR(J74="Completed",J74="Returned"),1,0)</f>
        <v>1</v>
      </c>
    </row>
    <row r="75" customFormat="false" ht="15" hidden="false" customHeight="false" outlineLevel="0" collapsed="false">
      <c r="A75" s="11" t="s">
        <v>880</v>
      </c>
      <c r="B75" s="11" t="s">
        <v>543</v>
      </c>
      <c r="C75" s="24" t="n">
        <v>45474</v>
      </c>
      <c r="D75" s="11" t="s">
        <v>38</v>
      </c>
      <c r="E75" s="11" t="s">
        <v>879</v>
      </c>
      <c r="F75" s="11" t="s">
        <v>82</v>
      </c>
      <c r="G75" s="11" t="s">
        <v>775</v>
      </c>
      <c r="H75" s="11" t="s">
        <v>23</v>
      </c>
      <c r="I75" s="11" t="s">
        <v>113</v>
      </c>
      <c r="J75" s="11" t="s">
        <v>242</v>
      </c>
      <c r="K75" s="11" t="n">
        <v>1</v>
      </c>
      <c r="L75" s="15" t="n">
        <v>26274.11</v>
      </c>
      <c r="M75" s="11" t="n">
        <v>20</v>
      </c>
      <c r="N75" s="15" t="n">
        <v>26274.11</v>
      </c>
      <c r="O75" s="15" t="n">
        <v>5254.82</v>
      </c>
      <c r="P75" s="15" t="n">
        <v>21019.29</v>
      </c>
      <c r="Q75" s="15" t="n">
        <v>0</v>
      </c>
      <c r="R75" s="11" t="n">
        <v>0</v>
      </c>
      <c r="S75" s="15" t="n">
        <f aca="false">P75-Q75</f>
        <v>21019.29</v>
      </c>
      <c r="T75" s="11" t="n">
        <f aca="false">IF(OR(J75="Completed",J75="Returned"),1,0)</f>
        <v>1</v>
      </c>
    </row>
    <row r="76" customFormat="false" ht="15" hidden="false" customHeight="false" outlineLevel="0" collapsed="false">
      <c r="A76" s="11" t="s">
        <v>881</v>
      </c>
      <c r="B76" s="11" t="s">
        <v>439</v>
      </c>
      <c r="C76" s="24" t="n">
        <v>45339</v>
      </c>
      <c r="D76" s="11" t="s">
        <v>33</v>
      </c>
      <c r="E76" s="11" t="s">
        <v>882</v>
      </c>
      <c r="F76" s="11" t="s">
        <v>74</v>
      </c>
      <c r="G76" s="11" t="s">
        <v>883</v>
      </c>
      <c r="H76" s="11" t="s">
        <v>21</v>
      </c>
      <c r="I76" s="11" t="s">
        <v>113</v>
      </c>
      <c r="J76" s="11" t="s">
        <v>250</v>
      </c>
      <c r="K76" s="11" t="n">
        <v>3</v>
      </c>
      <c r="L76" s="15" t="n">
        <v>11175.62</v>
      </c>
      <c r="M76" s="11" t="n">
        <v>5</v>
      </c>
      <c r="N76" s="15" t="n">
        <v>33526.86</v>
      </c>
      <c r="O76" s="15" t="n">
        <v>1676.34</v>
      </c>
      <c r="P76" s="15" t="n">
        <v>31850.52</v>
      </c>
      <c r="Q76" s="15" t="n">
        <v>0</v>
      </c>
      <c r="R76" s="11" t="n">
        <v>0</v>
      </c>
      <c r="S76" s="15" t="n">
        <f aca="false">P76-Q76</f>
        <v>31850.52</v>
      </c>
      <c r="T76" s="11" t="n">
        <f aca="false">IF(OR(J76="Completed",J76="Returned"),1,0)</f>
        <v>0</v>
      </c>
    </row>
    <row r="77" customFormat="false" ht="15" hidden="false" customHeight="false" outlineLevel="0" collapsed="false">
      <c r="A77" s="11" t="s">
        <v>884</v>
      </c>
      <c r="B77" s="11" t="s">
        <v>439</v>
      </c>
      <c r="C77" s="24" t="n">
        <v>45339</v>
      </c>
      <c r="D77" s="11" t="s">
        <v>33</v>
      </c>
      <c r="E77" s="11" t="s">
        <v>882</v>
      </c>
      <c r="F77" s="11" t="s">
        <v>74</v>
      </c>
      <c r="G77" s="11" t="s">
        <v>633</v>
      </c>
      <c r="H77" s="11" t="s">
        <v>22</v>
      </c>
      <c r="I77" s="11" t="s">
        <v>113</v>
      </c>
      <c r="J77" s="11" t="s">
        <v>250</v>
      </c>
      <c r="K77" s="11" t="n">
        <v>3</v>
      </c>
      <c r="L77" s="15" t="n">
        <v>4574.41</v>
      </c>
      <c r="M77" s="11" t="n">
        <v>0</v>
      </c>
      <c r="N77" s="15" t="n">
        <v>13723.23</v>
      </c>
      <c r="O77" s="15" t="n">
        <v>0</v>
      </c>
      <c r="P77" s="15" t="n">
        <v>13723.23</v>
      </c>
      <c r="Q77" s="15" t="n">
        <v>0</v>
      </c>
      <c r="R77" s="11" t="n">
        <v>0</v>
      </c>
      <c r="S77" s="15" t="n">
        <f aca="false">P77-Q77</f>
        <v>13723.23</v>
      </c>
      <c r="T77" s="11" t="n">
        <f aca="false">IF(OR(J77="Completed",J77="Returned"),1,0)</f>
        <v>0</v>
      </c>
    </row>
    <row r="78" customFormat="false" ht="15" hidden="false" customHeight="false" outlineLevel="0" collapsed="false">
      <c r="A78" s="11" t="s">
        <v>885</v>
      </c>
      <c r="B78" s="11" t="s">
        <v>439</v>
      </c>
      <c r="C78" s="24" t="n">
        <v>45339</v>
      </c>
      <c r="D78" s="11" t="s">
        <v>33</v>
      </c>
      <c r="E78" s="11" t="s">
        <v>882</v>
      </c>
      <c r="F78" s="11" t="s">
        <v>74</v>
      </c>
      <c r="G78" s="11" t="s">
        <v>886</v>
      </c>
      <c r="H78" s="11" t="s">
        <v>21</v>
      </c>
      <c r="I78" s="11" t="s">
        <v>113</v>
      </c>
      <c r="J78" s="11" t="s">
        <v>250</v>
      </c>
      <c r="K78" s="11" t="n">
        <v>1</v>
      </c>
      <c r="L78" s="15" t="n">
        <v>25201.06</v>
      </c>
      <c r="M78" s="11" t="n">
        <v>5</v>
      </c>
      <c r="N78" s="15" t="n">
        <v>25201.06</v>
      </c>
      <c r="O78" s="15" t="n">
        <v>1260.05</v>
      </c>
      <c r="P78" s="15" t="n">
        <v>23941.01</v>
      </c>
      <c r="Q78" s="15" t="n">
        <v>0</v>
      </c>
      <c r="R78" s="11" t="n">
        <v>0</v>
      </c>
      <c r="S78" s="15" t="n">
        <f aca="false">P78-Q78</f>
        <v>23941.01</v>
      </c>
      <c r="T78" s="11" t="n">
        <f aca="false">IF(OR(J78="Completed",J78="Returned"),1,0)</f>
        <v>0</v>
      </c>
    </row>
    <row r="79" customFormat="false" ht="15" hidden="false" customHeight="false" outlineLevel="0" collapsed="false">
      <c r="A79" s="11" t="s">
        <v>887</v>
      </c>
      <c r="B79" s="11" t="s">
        <v>439</v>
      </c>
      <c r="C79" s="24" t="n">
        <v>45339</v>
      </c>
      <c r="D79" s="11" t="s">
        <v>33</v>
      </c>
      <c r="E79" s="11" t="s">
        <v>882</v>
      </c>
      <c r="F79" s="11" t="s">
        <v>74</v>
      </c>
      <c r="G79" s="11" t="s">
        <v>859</v>
      </c>
      <c r="H79" s="11" t="s">
        <v>23</v>
      </c>
      <c r="I79" s="11" t="s">
        <v>113</v>
      </c>
      <c r="J79" s="11" t="s">
        <v>250</v>
      </c>
      <c r="K79" s="11" t="n">
        <v>1</v>
      </c>
      <c r="L79" s="15" t="n">
        <v>17485.19</v>
      </c>
      <c r="M79" s="11" t="n">
        <v>10</v>
      </c>
      <c r="N79" s="15" t="n">
        <v>17485.19</v>
      </c>
      <c r="O79" s="15" t="n">
        <v>1748.52</v>
      </c>
      <c r="P79" s="15" t="n">
        <v>15736.67</v>
      </c>
      <c r="Q79" s="15" t="n">
        <v>0</v>
      </c>
      <c r="R79" s="11" t="n">
        <v>0</v>
      </c>
      <c r="S79" s="15" t="n">
        <f aca="false">P79-Q79</f>
        <v>15736.67</v>
      </c>
      <c r="T79" s="11" t="n">
        <f aca="false">IF(OR(J79="Completed",J79="Returned"),1,0)</f>
        <v>0</v>
      </c>
    </row>
    <row r="80" customFormat="false" ht="15" hidden="false" customHeight="false" outlineLevel="0" collapsed="false">
      <c r="A80" s="11" t="s">
        <v>888</v>
      </c>
      <c r="B80" s="11" t="s">
        <v>402</v>
      </c>
      <c r="C80" s="24" t="n">
        <v>45671</v>
      </c>
      <c r="D80" s="11" t="s">
        <v>44</v>
      </c>
      <c r="E80" s="11" t="s">
        <v>95</v>
      </c>
      <c r="F80" s="11" t="s">
        <v>78</v>
      </c>
      <c r="G80" s="11" t="s">
        <v>603</v>
      </c>
      <c r="H80" s="11" t="s">
        <v>23</v>
      </c>
      <c r="I80" s="11" t="s">
        <v>114</v>
      </c>
      <c r="J80" s="11" t="s">
        <v>269</v>
      </c>
      <c r="K80" s="11" t="n">
        <v>4</v>
      </c>
      <c r="L80" s="15" t="n">
        <v>15622.68</v>
      </c>
      <c r="M80" s="11" t="n">
        <v>0</v>
      </c>
      <c r="N80" s="15" t="n">
        <v>62490.72</v>
      </c>
      <c r="O80" s="15" t="n">
        <v>0</v>
      </c>
      <c r="P80" s="15" t="n">
        <v>62490.72</v>
      </c>
      <c r="Q80" s="15" t="n">
        <v>0</v>
      </c>
      <c r="R80" s="11" t="n">
        <v>0</v>
      </c>
      <c r="S80" s="15" t="n">
        <f aca="false">P80-Q80</f>
        <v>62490.72</v>
      </c>
      <c r="T80" s="11" t="n">
        <f aca="false">IF(OR(J80="Completed",J80="Returned"),1,0)</f>
        <v>1</v>
      </c>
    </row>
    <row r="81" customFormat="false" ht="15" hidden="false" customHeight="false" outlineLevel="0" collapsed="false">
      <c r="A81" s="11" t="s">
        <v>889</v>
      </c>
      <c r="B81" s="11" t="s">
        <v>402</v>
      </c>
      <c r="C81" s="24" t="n">
        <v>45671</v>
      </c>
      <c r="D81" s="11" t="s">
        <v>44</v>
      </c>
      <c r="E81" s="11" t="s">
        <v>95</v>
      </c>
      <c r="F81" s="11" t="s">
        <v>78</v>
      </c>
      <c r="G81" s="11" t="s">
        <v>854</v>
      </c>
      <c r="H81" s="11" t="s">
        <v>20</v>
      </c>
      <c r="I81" s="11" t="s">
        <v>114</v>
      </c>
      <c r="J81" s="11" t="s">
        <v>269</v>
      </c>
      <c r="K81" s="11" t="n">
        <v>4</v>
      </c>
      <c r="L81" s="15" t="n">
        <v>25742.49</v>
      </c>
      <c r="M81" s="11" t="n">
        <v>0</v>
      </c>
      <c r="N81" s="15" t="n">
        <v>102969.96</v>
      </c>
      <c r="O81" s="15" t="n">
        <v>0</v>
      </c>
      <c r="P81" s="15" t="n">
        <v>102969.96</v>
      </c>
      <c r="Q81" s="15" t="n">
        <v>0</v>
      </c>
      <c r="R81" s="11" t="n">
        <v>0</v>
      </c>
      <c r="S81" s="15" t="n">
        <f aca="false">P81-Q81</f>
        <v>102969.96</v>
      </c>
      <c r="T81" s="11" t="n">
        <f aca="false">IF(OR(J81="Completed",J81="Returned"),1,0)</f>
        <v>1</v>
      </c>
    </row>
    <row r="82" customFormat="false" ht="15" hidden="false" customHeight="false" outlineLevel="0" collapsed="false">
      <c r="A82" s="11" t="s">
        <v>890</v>
      </c>
      <c r="B82" s="11" t="s">
        <v>412</v>
      </c>
      <c r="C82" s="24" t="n">
        <v>44190</v>
      </c>
      <c r="D82" s="11" t="s">
        <v>28</v>
      </c>
      <c r="E82" s="11" t="s">
        <v>891</v>
      </c>
      <c r="F82" s="11" t="s">
        <v>78</v>
      </c>
      <c r="G82" s="11" t="s">
        <v>160</v>
      </c>
      <c r="H82" s="11" t="s">
        <v>23</v>
      </c>
      <c r="I82" s="11" t="s">
        <v>113</v>
      </c>
      <c r="J82" s="11" t="s">
        <v>242</v>
      </c>
      <c r="K82" s="11" t="n">
        <v>1</v>
      </c>
      <c r="L82" s="15" t="n">
        <v>21122.18</v>
      </c>
      <c r="M82" s="11" t="n">
        <v>0</v>
      </c>
      <c r="N82" s="15" t="n">
        <v>21122.18</v>
      </c>
      <c r="O82" s="15" t="n">
        <v>0</v>
      </c>
      <c r="P82" s="15" t="n">
        <v>21122.18</v>
      </c>
      <c r="Q82" s="15" t="n">
        <v>0</v>
      </c>
      <c r="R82" s="11" t="n">
        <v>0</v>
      </c>
      <c r="S82" s="15" t="n">
        <f aca="false">P82-Q82</f>
        <v>21122.18</v>
      </c>
      <c r="T82" s="11" t="n">
        <f aca="false">IF(OR(J82="Completed",J82="Returned"),1,0)</f>
        <v>1</v>
      </c>
    </row>
    <row r="83" customFormat="false" ht="15" hidden="false" customHeight="false" outlineLevel="0" collapsed="false">
      <c r="A83" s="11" t="s">
        <v>892</v>
      </c>
      <c r="B83" s="11" t="s">
        <v>358</v>
      </c>
      <c r="C83" s="24" t="n">
        <v>45408</v>
      </c>
      <c r="D83" s="11" t="s">
        <v>35</v>
      </c>
      <c r="E83" s="11" t="s">
        <v>891</v>
      </c>
      <c r="F83" s="11" t="s">
        <v>78</v>
      </c>
      <c r="G83" s="11" t="s">
        <v>786</v>
      </c>
      <c r="H83" s="11" t="s">
        <v>24</v>
      </c>
      <c r="I83" s="11" t="s">
        <v>113</v>
      </c>
      <c r="J83" s="11" t="s">
        <v>242</v>
      </c>
      <c r="K83" s="11" t="n">
        <v>3</v>
      </c>
      <c r="L83" s="15" t="n">
        <v>17477.91</v>
      </c>
      <c r="M83" s="11" t="n">
        <v>10</v>
      </c>
      <c r="N83" s="15" t="n">
        <v>52433.73</v>
      </c>
      <c r="O83" s="15" t="n">
        <v>5243.37</v>
      </c>
      <c r="P83" s="15" t="n">
        <v>47190.36</v>
      </c>
      <c r="Q83" s="15" t="n">
        <v>0</v>
      </c>
      <c r="R83" s="11" t="n">
        <v>0</v>
      </c>
      <c r="S83" s="15" t="n">
        <f aca="false">P83-Q83</f>
        <v>47190.36</v>
      </c>
      <c r="T83" s="11" t="n">
        <f aca="false">IF(OR(J83="Completed",J83="Returned"),1,0)</f>
        <v>1</v>
      </c>
    </row>
    <row r="84" customFormat="false" ht="15" hidden="false" customHeight="false" outlineLevel="0" collapsed="false">
      <c r="A84" s="11" t="s">
        <v>893</v>
      </c>
      <c r="B84" s="11" t="s">
        <v>348</v>
      </c>
      <c r="C84" s="24" t="n">
        <v>45479</v>
      </c>
      <c r="D84" s="11" t="s">
        <v>38</v>
      </c>
      <c r="E84" s="11" t="s">
        <v>894</v>
      </c>
      <c r="F84" s="11" t="s">
        <v>70</v>
      </c>
      <c r="G84" s="11" t="s">
        <v>139</v>
      </c>
      <c r="H84" s="11" t="s">
        <v>24</v>
      </c>
      <c r="I84" s="11" t="s">
        <v>113</v>
      </c>
      <c r="J84" s="11" t="s">
        <v>242</v>
      </c>
      <c r="K84" s="11" t="n">
        <v>1</v>
      </c>
      <c r="L84" s="15" t="n">
        <v>20278.89</v>
      </c>
      <c r="M84" s="11" t="n">
        <v>0</v>
      </c>
      <c r="N84" s="15" t="n">
        <v>20278.89</v>
      </c>
      <c r="O84" s="15" t="n">
        <v>0</v>
      </c>
      <c r="P84" s="15" t="n">
        <v>20278.89</v>
      </c>
      <c r="Q84" s="15" t="n">
        <v>0</v>
      </c>
      <c r="R84" s="11" t="n">
        <v>0</v>
      </c>
      <c r="S84" s="15" t="n">
        <f aca="false">P84-Q84</f>
        <v>20278.89</v>
      </c>
      <c r="T84" s="11" t="n">
        <f aca="false">IF(OR(J84="Completed",J84="Returned"),1,0)</f>
        <v>1</v>
      </c>
    </row>
    <row r="85" customFormat="false" ht="15" hidden="false" customHeight="false" outlineLevel="0" collapsed="false">
      <c r="A85" s="11" t="s">
        <v>895</v>
      </c>
      <c r="B85" s="11" t="s">
        <v>361</v>
      </c>
      <c r="C85" s="24" t="n">
        <v>45362</v>
      </c>
      <c r="D85" s="11" t="s">
        <v>34</v>
      </c>
      <c r="E85" s="11" t="s">
        <v>803</v>
      </c>
      <c r="F85" s="11" t="s">
        <v>25</v>
      </c>
      <c r="G85" s="11" t="s">
        <v>625</v>
      </c>
      <c r="H85" s="11" t="s">
        <v>21</v>
      </c>
      <c r="I85" s="11" t="s">
        <v>113</v>
      </c>
      <c r="J85" s="11" t="s">
        <v>242</v>
      </c>
      <c r="K85" s="11" t="n">
        <v>3</v>
      </c>
      <c r="L85" s="15" t="n">
        <v>15176.98</v>
      </c>
      <c r="M85" s="11" t="n">
        <v>10</v>
      </c>
      <c r="N85" s="15" t="n">
        <v>45530.94</v>
      </c>
      <c r="O85" s="15" t="n">
        <v>4553.09</v>
      </c>
      <c r="P85" s="15" t="n">
        <v>40977.85</v>
      </c>
      <c r="Q85" s="15" t="n">
        <v>0</v>
      </c>
      <c r="R85" s="11" t="n">
        <v>0</v>
      </c>
      <c r="S85" s="15" t="n">
        <f aca="false">P85-Q85</f>
        <v>40977.85</v>
      </c>
      <c r="T85" s="11" t="n">
        <f aca="false">IF(OR(J85="Completed",J85="Returned"),1,0)</f>
        <v>1</v>
      </c>
    </row>
    <row r="86" customFormat="false" ht="15" hidden="false" customHeight="false" outlineLevel="0" collapsed="false">
      <c r="A86" s="11" t="s">
        <v>896</v>
      </c>
      <c r="B86" s="11" t="s">
        <v>361</v>
      </c>
      <c r="C86" s="24" t="n">
        <v>45362</v>
      </c>
      <c r="D86" s="11" t="s">
        <v>34</v>
      </c>
      <c r="E86" s="11" t="s">
        <v>803</v>
      </c>
      <c r="F86" s="11" t="s">
        <v>25</v>
      </c>
      <c r="G86" s="11" t="s">
        <v>794</v>
      </c>
      <c r="H86" s="11" t="s">
        <v>23</v>
      </c>
      <c r="I86" s="11" t="s">
        <v>113</v>
      </c>
      <c r="J86" s="11" t="s">
        <v>242</v>
      </c>
      <c r="K86" s="11" t="n">
        <v>4</v>
      </c>
      <c r="L86" s="15" t="n">
        <v>20253.93</v>
      </c>
      <c r="M86" s="11" t="n">
        <v>10</v>
      </c>
      <c r="N86" s="15" t="n">
        <v>81015.72</v>
      </c>
      <c r="O86" s="15" t="n">
        <v>8101.57</v>
      </c>
      <c r="P86" s="15" t="n">
        <v>72914.15</v>
      </c>
      <c r="Q86" s="15" t="n">
        <v>62797.05</v>
      </c>
      <c r="R86" s="11" t="n">
        <v>4</v>
      </c>
      <c r="S86" s="15" t="n">
        <f aca="false">P86-Q86</f>
        <v>10117.1</v>
      </c>
      <c r="T86" s="11" t="n">
        <f aca="false">IF(OR(J86="Completed",J86="Returned"),1,0)</f>
        <v>1</v>
      </c>
    </row>
    <row r="87" customFormat="false" ht="15" hidden="false" customHeight="false" outlineLevel="0" collapsed="false">
      <c r="A87" s="11" t="s">
        <v>897</v>
      </c>
      <c r="B87" s="11" t="s">
        <v>361</v>
      </c>
      <c r="C87" s="24" t="n">
        <v>45362</v>
      </c>
      <c r="D87" s="11" t="s">
        <v>34</v>
      </c>
      <c r="E87" s="11" t="s">
        <v>803</v>
      </c>
      <c r="F87" s="11" t="s">
        <v>25</v>
      </c>
      <c r="G87" s="11" t="s">
        <v>805</v>
      </c>
      <c r="H87" s="11" t="s">
        <v>21</v>
      </c>
      <c r="I87" s="11" t="s">
        <v>113</v>
      </c>
      <c r="J87" s="11" t="s">
        <v>242</v>
      </c>
      <c r="K87" s="11" t="n">
        <v>1</v>
      </c>
      <c r="L87" s="15" t="n">
        <v>23243.35</v>
      </c>
      <c r="M87" s="11" t="n">
        <v>15</v>
      </c>
      <c r="N87" s="15" t="n">
        <v>23243.35</v>
      </c>
      <c r="O87" s="15" t="n">
        <v>3486.5</v>
      </c>
      <c r="P87" s="15" t="n">
        <v>19756.85</v>
      </c>
      <c r="Q87" s="15" t="n">
        <v>0</v>
      </c>
      <c r="R87" s="11" t="n">
        <v>0</v>
      </c>
      <c r="S87" s="15" t="n">
        <f aca="false">P87-Q87</f>
        <v>19756.85</v>
      </c>
      <c r="T87" s="11" t="n">
        <f aca="false">IF(OR(J87="Completed",J87="Returned"),1,0)</f>
        <v>1</v>
      </c>
    </row>
    <row r="88" customFormat="false" ht="15" hidden="false" customHeight="false" outlineLevel="0" collapsed="false">
      <c r="A88" s="11" t="s">
        <v>898</v>
      </c>
      <c r="B88" s="11" t="s">
        <v>361</v>
      </c>
      <c r="C88" s="24" t="n">
        <v>45362</v>
      </c>
      <c r="D88" s="11" t="s">
        <v>34</v>
      </c>
      <c r="E88" s="11" t="s">
        <v>803</v>
      </c>
      <c r="F88" s="11" t="s">
        <v>25</v>
      </c>
      <c r="G88" s="11" t="s">
        <v>621</v>
      </c>
      <c r="H88" s="11" t="s">
        <v>20</v>
      </c>
      <c r="I88" s="11" t="s">
        <v>113</v>
      </c>
      <c r="J88" s="11" t="s">
        <v>242</v>
      </c>
      <c r="K88" s="11" t="n">
        <v>4</v>
      </c>
      <c r="L88" s="15" t="n">
        <v>1165.83</v>
      </c>
      <c r="M88" s="11" t="n">
        <v>0</v>
      </c>
      <c r="N88" s="15" t="n">
        <v>4663.32</v>
      </c>
      <c r="O88" s="15" t="n">
        <v>0</v>
      </c>
      <c r="P88" s="15" t="n">
        <v>4663.32</v>
      </c>
      <c r="Q88" s="15" t="n">
        <v>0</v>
      </c>
      <c r="R88" s="11" t="n">
        <v>0</v>
      </c>
      <c r="S88" s="15" t="n">
        <f aca="false">P88-Q88</f>
        <v>4663.32</v>
      </c>
      <c r="T88" s="11" t="n">
        <f aca="false">IF(OR(J88="Completed",J88="Returned"),1,0)</f>
        <v>1</v>
      </c>
    </row>
    <row r="89" customFormat="false" ht="15" hidden="false" customHeight="false" outlineLevel="0" collapsed="false">
      <c r="A89" s="11" t="s">
        <v>899</v>
      </c>
      <c r="B89" s="11" t="s">
        <v>386</v>
      </c>
      <c r="C89" s="24" t="n">
        <v>45449</v>
      </c>
      <c r="D89" s="11" t="s">
        <v>37</v>
      </c>
      <c r="E89" s="11" t="s">
        <v>803</v>
      </c>
      <c r="F89" s="11" t="s">
        <v>25</v>
      </c>
      <c r="G89" s="11" t="s">
        <v>154</v>
      </c>
      <c r="H89" s="11" t="s">
        <v>21</v>
      </c>
      <c r="I89" s="11" t="s">
        <v>114</v>
      </c>
      <c r="J89" s="11" t="s">
        <v>242</v>
      </c>
      <c r="K89" s="11" t="n">
        <v>4</v>
      </c>
      <c r="L89" s="15" t="n">
        <v>2260.53</v>
      </c>
      <c r="M89" s="11" t="n">
        <v>0</v>
      </c>
      <c r="N89" s="15" t="n">
        <v>9042.12</v>
      </c>
      <c r="O89" s="15" t="n">
        <v>0</v>
      </c>
      <c r="P89" s="15" t="n">
        <v>9042.12</v>
      </c>
      <c r="Q89" s="15" t="n">
        <v>0</v>
      </c>
      <c r="R89" s="11" t="n">
        <v>0</v>
      </c>
      <c r="S89" s="15" t="n">
        <f aca="false">P89-Q89</f>
        <v>9042.12</v>
      </c>
      <c r="T89" s="11" t="n">
        <f aca="false">IF(OR(J89="Completed",J89="Returned"),1,0)</f>
        <v>1</v>
      </c>
    </row>
    <row r="90" customFormat="false" ht="15" hidden="false" customHeight="false" outlineLevel="0" collapsed="false">
      <c r="A90" s="11" t="s">
        <v>900</v>
      </c>
      <c r="B90" s="11" t="s">
        <v>386</v>
      </c>
      <c r="C90" s="24" t="n">
        <v>45449</v>
      </c>
      <c r="D90" s="11" t="s">
        <v>37</v>
      </c>
      <c r="E90" s="11" t="s">
        <v>803</v>
      </c>
      <c r="F90" s="11" t="s">
        <v>25</v>
      </c>
      <c r="G90" s="11" t="s">
        <v>630</v>
      </c>
      <c r="H90" s="11" t="s">
        <v>23</v>
      </c>
      <c r="I90" s="11" t="s">
        <v>114</v>
      </c>
      <c r="J90" s="11" t="s">
        <v>242</v>
      </c>
      <c r="K90" s="11" t="n">
        <v>3</v>
      </c>
      <c r="L90" s="15" t="n">
        <v>18828.5</v>
      </c>
      <c r="M90" s="11" t="n">
        <v>0</v>
      </c>
      <c r="N90" s="15" t="n">
        <v>56485.5</v>
      </c>
      <c r="O90" s="15" t="n">
        <v>0</v>
      </c>
      <c r="P90" s="15" t="n">
        <v>56485.5</v>
      </c>
      <c r="Q90" s="15" t="n">
        <v>0</v>
      </c>
      <c r="R90" s="11" t="n">
        <v>0</v>
      </c>
      <c r="S90" s="15" t="n">
        <f aca="false">P90-Q90</f>
        <v>56485.5</v>
      </c>
      <c r="T90" s="11" t="n">
        <f aca="false">IF(OR(J90="Completed",J90="Returned"),1,0)</f>
        <v>1</v>
      </c>
    </row>
    <row r="91" customFormat="false" ht="15" hidden="false" customHeight="false" outlineLevel="0" collapsed="false">
      <c r="A91" s="11" t="s">
        <v>901</v>
      </c>
      <c r="B91" s="11" t="s">
        <v>386</v>
      </c>
      <c r="C91" s="24" t="n">
        <v>45449</v>
      </c>
      <c r="D91" s="11" t="s">
        <v>37</v>
      </c>
      <c r="E91" s="11" t="s">
        <v>803</v>
      </c>
      <c r="F91" s="11" t="s">
        <v>25</v>
      </c>
      <c r="G91" s="11" t="s">
        <v>158</v>
      </c>
      <c r="H91" s="11" t="s">
        <v>22</v>
      </c>
      <c r="I91" s="11" t="s">
        <v>114</v>
      </c>
      <c r="J91" s="11" t="s">
        <v>242</v>
      </c>
      <c r="K91" s="11" t="n">
        <v>3</v>
      </c>
      <c r="L91" s="15" t="n">
        <v>5471.28</v>
      </c>
      <c r="M91" s="11" t="n">
        <v>20</v>
      </c>
      <c r="N91" s="15" t="n">
        <v>16413.84</v>
      </c>
      <c r="O91" s="15" t="n">
        <v>3282.77</v>
      </c>
      <c r="P91" s="15" t="n">
        <v>13131.07</v>
      </c>
      <c r="Q91" s="15" t="n">
        <v>0</v>
      </c>
      <c r="R91" s="11" t="n">
        <v>0</v>
      </c>
      <c r="S91" s="15" t="n">
        <f aca="false">P91-Q91</f>
        <v>13131.07</v>
      </c>
      <c r="T91" s="11" t="n">
        <f aca="false">IF(OR(J91="Completed",J91="Returned"),1,0)</f>
        <v>1</v>
      </c>
    </row>
    <row r="92" customFormat="false" ht="15" hidden="false" customHeight="false" outlineLevel="0" collapsed="false">
      <c r="A92" s="11" t="s">
        <v>902</v>
      </c>
      <c r="B92" s="11" t="s">
        <v>334</v>
      </c>
      <c r="C92" s="24" t="n">
        <v>45735</v>
      </c>
      <c r="D92" s="11" t="s">
        <v>46</v>
      </c>
      <c r="E92" s="11" t="s">
        <v>812</v>
      </c>
      <c r="F92" s="11" t="s">
        <v>82</v>
      </c>
      <c r="G92" s="11" t="s">
        <v>809</v>
      </c>
      <c r="H92" s="11" t="s">
        <v>22</v>
      </c>
      <c r="I92" s="11" t="s">
        <v>113</v>
      </c>
      <c r="J92" s="11" t="s">
        <v>269</v>
      </c>
      <c r="K92" s="11" t="n">
        <v>4</v>
      </c>
      <c r="L92" s="15" t="n">
        <v>22582.54</v>
      </c>
      <c r="M92" s="11" t="n">
        <v>20</v>
      </c>
      <c r="N92" s="15" t="n">
        <v>90330.16</v>
      </c>
      <c r="O92" s="15" t="n">
        <v>18066.03</v>
      </c>
      <c r="P92" s="15" t="n">
        <v>72264.13</v>
      </c>
      <c r="Q92" s="15" t="n">
        <v>0</v>
      </c>
      <c r="R92" s="11" t="n">
        <v>0</v>
      </c>
      <c r="S92" s="15" t="n">
        <f aca="false">P92-Q92</f>
        <v>72264.13</v>
      </c>
      <c r="T92" s="11" t="n">
        <f aca="false">IF(OR(J92="Completed",J92="Returned"),1,0)</f>
        <v>1</v>
      </c>
    </row>
    <row r="93" customFormat="false" ht="15" hidden="false" customHeight="false" outlineLevel="0" collapsed="false">
      <c r="A93" s="11" t="s">
        <v>903</v>
      </c>
      <c r="B93" s="11" t="s">
        <v>334</v>
      </c>
      <c r="C93" s="24" t="n">
        <v>45735</v>
      </c>
      <c r="D93" s="11" t="s">
        <v>46</v>
      </c>
      <c r="E93" s="11" t="s">
        <v>812</v>
      </c>
      <c r="F93" s="11" t="s">
        <v>82</v>
      </c>
      <c r="G93" s="11" t="s">
        <v>143</v>
      </c>
      <c r="H93" s="11" t="s">
        <v>23</v>
      </c>
      <c r="I93" s="11" t="s">
        <v>113</v>
      </c>
      <c r="J93" s="11" t="s">
        <v>269</v>
      </c>
      <c r="K93" s="11" t="n">
        <v>4</v>
      </c>
      <c r="L93" s="15" t="n">
        <v>8318.56</v>
      </c>
      <c r="M93" s="11" t="n">
        <v>0</v>
      </c>
      <c r="N93" s="15" t="n">
        <v>33274.24</v>
      </c>
      <c r="O93" s="15" t="n">
        <v>0</v>
      </c>
      <c r="P93" s="15" t="n">
        <v>33274.24</v>
      </c>
      <c r="Q93" s="15" t="n">
        <v>0</v>
      </c>
      <c r="R93" s="11" t="n">
        <v>0</v>
      </c>
      <c r="S93" s="15" t="n">
        <f aca="false">P93-Q93</f>
        <v>33274.24</v>
      </c>
      <c r="T93" s="11" t="n">
        <f aca="false">IF(OR(J93="Completed",J93="Returned"),1,0)</f>
        <v>1</v>
      </c>
    </row>
    <row r="94" customFormat="false" ht="15" hidden="false" customHeight="false" outlineLevel="0" collapsed="false">
      <c r="A94" s="11" t="s">
        <v>904</v>
      </c>
      <c r="B94" s="11" t="s">
        <v>363</v>
      </c>
      <c r="C94" s="24" t="n">
        <v>45299</v>
      </c>
      <c r="D94" s="11" t="s">
        <v>32</v>
      </c>
      <c r="E94" s="11" t="s">
        <v>905</v>
      </c>
      <c r="F94" s="11" t="s">
        <v>78</v>
      </c>
      <c r="G94" s="11" t="s">
        <v>143</v>
      </c>
      <c r="H94" s="11" t="s">
        <v>23</v>
      </c>
      <c r="I94" s="11" t="s">
        <v>114</v>
      </c>
      <c r="J94" s="11" t="s">
        <v>242</v>
      </c>
      <c r="K94" s="11" t="n">
        <v>2</v>
      </c>
      <c r="L94" s="15" t="n">
        <v>8318.56</v>
      </c>
      <c r="M94" s="11" t="n">
        <v>0</v>
      </c>
      <c r="N94" s="15" t="n">
        <v>16637.12</v>
      </c>
      <c r="O94" s="15" t="n">
        <v>0</v>
      </c>
      <c r="P94" s="15" t="n">
        <v>16637.12</v>
      </c>
      <c r="Q94" s="15" t="n">
        <v>0</v>
      </c>
      <c r="R94" s="11" t="n">
        <v>0</v>
      </c>
      <c r="S94" s="15" t="n">
        <f aca="false">P94-Q94</f>
        <v>16637.12</v>
      </c>
      <c r="T94" s="11" t="n">
        <f aca="false">IF(OR(J94="Completed",J94="Returned"),1,0)</f>
        <v>1</v>
      </c>
    </row>
    <row r="95" customFormat="false" ht="15" hidden="false" customHeight="false" outlineLevel="0" collapsed="false">
      <c r="A95" s="11" t="s">
        <v>906</v>
      </c>
      <c r="B95" s="11" t="s">
        <v>363</v>
      </c>
      <c r="C95" s="24" t="n">
        <v>45299</v>
      </c>
      <c r="D95" s="11" t="s">
        <v>32</v>
      </c>
      <c r="E95" s="11" t="s">
        <v>905</v>
      </c>
      <c r="F95" s="11" t="s">
        <v>78</v>
      </c>
      <c r="G95" s="11" t="s">
        <v>907</v>
      </c>
      <c r="H95" s="11" t="s">
        <v>22</v>
      </c>
      <c r="I95" s="11" t="s">
        <v>114</v>
      </c>
      <c r="J95" s="11" t="s">
        <v>242</v>
      </c>
      <c r="K95" s="11" t="n">
        <v>1</v>
      </c>
      <c r="L95" s="15" t="n">
        <v>25643.17</v>
      </c>
      <c r="M95" s="11" t="n">
        <v>15</v>
      </c>
      <c r="N95" s="15" t="n">
        <v>25643.17</v>
      </c>
      <c r="O95" s="15" t="n">
        <v>3846.48</v>
      </c>
      <c r="P95" s="15" t="n">
        <v>21796.69</v>
      </c>
      <c r="Q95" s="15" t="n">
        <v>0</v>
      </c>
      <c r="R95" s="11" t="n">
        <v>0</v>
      </c>
      <c r="S95" s="15" t="n">
        <f aca="false">P95-Q95</f>
        <v>21796.69</v>
      </c>
      <c r="T95" s="11" t="n">
        <f aca="false">IF(OR(J95="Completed",J95="Returned"),1,0)</f>
        <v>1</v>
      </c>
    </row>
    <row r="96" customFormat="false" ht="15" hidden="false" customHeight="false" outlineLevel="0" collapsed="false">
      <c r="A96" s="11" t="s">
        <v>908</v>
      </c>
      <c r="B96" s="11" t="s">
        <v>538</v>
      </c>
      <c r="C96" s="24" t="n">
        <v>45862</v>
      </c>
      <c r="D96" s="11" t="s">
        <v>50</v>
      </c>
      <c r="E96" s="11" t="s">
        <v>909</v>
      </c>
      <c r="F96" s="11" t="s">
        <v>78</v>
      </c>
      <c r="G96" s="11" t="s">
        <v>139</v>
      </c>
      <c r="H96" s="11" t="s">
        <v>24</v>
      </c>
      <c r="I96" s="11" t="s">
        <v>114</v>
      </c>
      <c r="J96" s="11" t="s">
        <v>269</v>
      </c>
      <c r="K96" s="11" t="n">
        <v>4</v>
      </c>
      <c r="L96" s="15" t="n">
        <v>20278.89</v>
      </c>
      <c r="M96" s="11" t="n">
        <v>0</v>
      </c>
      <c r="N96" s="15" t="n">
        <v>81115.56</v>
      </c>
      <c r="O96" s="15" t="n">
        <v>0</v>
      </c>
      <c r="P96" s="15" t="n">
        <v>81115.56</v>
      </c>
      <c r="Q96" s="15" t="n">
        <v>0</v>
      </c>
      <c r="R96" s="11" t="n">
        <v>0</v>
      </c>
      <c r="S96" s="15" t="n">
        <f aca="false">P96-Q96</f>
        <v>81115.56</v>
      </c>
      <c r="T96" s="11" t="n">
        <f aca="false">IF(OR(J96="Completed",J96="Returned"),1,0)</f>
        <v>1</v>
      </c>
    </row>
    <row r="97" customFormat="false" ht="15" hidden="false" customHeight="false" outlineLevel="0" collapsed="false">
      <c r="A97" s="11" t="s">
        <v>910</v>
      </c>
      <c r="B97" s="11" t="s">
        <v>538</v>
      </c>
      <c r="C97" s="24" t="n">
        <v>45862</v>
      </c>
      <c r="D97" s="11" t="s">
        <v>50</v>
      </c>
      <c r="E97" s="11" t="s">
        <v>909</v>
      </c>
      <c r="F97" s="11" t="s">
        <v>78</v>
      </c>
      <c r="G97" s="11" t="s">
        <v>605</v>
      </c>
      <c r="H97" s="11" t="s">
        <v>24</v>
      </c>
      <c r="I97" s="11" t="s">
        <v>114</v>
      </c>
      <c r="J97" s="11" t="s">
        <v>269</v>
      </c>
      <c r="K97" s="11" t="n">
        <v>3</v>
      </c>
      <c r="L97" s="15" t="n">
        <v>5818.64</v>
      </c>
      <c r="M97" s="11" t="n">
        <v>20</v>
      </c>
      <c r="N97" s="15" t="n">
        <v>17455.92</v>
      </c>
      <c r="O97" s="15" t="n">
        <v>3491.18</v>
      </c>
      <c r="P97" s="15" t="n">
        <v>13964.74</v>
      </c>
      <c r="Q97" s="15" t="n">
        <v>0</v>
      </c>
      <c r="R97" s="11" t="n">
        <v>0</v>
      </c>
      <c r="S97" s="15" t="n">
        <f aca="false">P97-Q97</f>
        <v>13964.74</v>
      </c>
      <c r="T97" s="11" t="n">
        <f aca="false">IF(OR(J97="Completed",J97="Returned"),1,0)</f>
        <v>1</v>
      </c>
    </row>
    <row r="98" customFormat="false" ht="15" hidden="false" customHeight="false" outlineLevel="0" collapsed="false">
      <c r="A98" s="11" t="s">
        <v>911</v>
      </c>
      <c r="B98" s="11" t="s">
        <v>538</v>
      </c>
      <c r="C98" s="24" t="n">
        <v>45862</v>
      </c>
      <c r="D98" s="11" t="s">
        <v>50</v>
      </c>
      <c r="E98" s="11" t="s">
        <v>909</v>
      </c>
      <c r="F98" s="11" t="s">
        <v>78</v>
      </c>
      <c r="G98" s="11" t="s">
        <v>643</v>
      </c>
      <c r="H98" s="11" t="s">
        <v>22</v>
      </c>
      <c r="I98" s="11" t="s">
        <v>114</v>
      </c>
      <c r="J98" s="11" t="s">
        <v>269</v>
      </c>
      <c r="K98" s="11" t="n">
        <v>2</v>
      </c>
      <c r="L98" s="15" t="n">
        <v>17935.95</v>
      </c>
      <c r="M98" s="11" t="n">
        <v>20</v>
      </c>
      <c r="N98" s="15" t="n">
        <v>35871.9</v>
      </c>
      <c r="O98" s="15" t="n">
        <v>7174.38</v>
      </c>
      <c r="P98" s="15" t="n">
        <v>28697.52</v>
      </c>
      <c r="Q98" s="15" t="n">
        <v>0</v>
      </c>
      <c r="R98" s="11" t="n">
        <v>0</v>
      </c>
      <c r="S98" s="15" t="n">
        <f aca="false">P98-Q98</f>
        <v>28697.52</v>
      </c>
      <c r="T98" s="11" t="n">
        <f aca="false">IF(OR(J98="Completed",J98="Returned"),1,0)</f>
        <v>1</v>
      </c>
    </row>
    <row r="99" customFormat="false" ht="15" hidden="false" customHeight="false" outlineLevel="0" collapsed="false">
      <c r="A99" s="11" t="s">
        <v>912</v>
      </c>
      <c r="B99" s="11" t="s">
        <v>376</v>
      </c>
      <c r="C99" s="24" t="n">
        <v>45760</v>
      </c>
      <c r="D99" s="11" t="s">
        <v>47</v>
      </c>
      <c r="E99" s="11" t="s">
        <v>913</v>
      </c>
      <c r="F99" s="11" t="s">
        <v>74</v>
      </c>
      <c r="G99" s="11" t="s">
        <v>637</v>
      </c>
      <c r="H99" s="11" t="s">
        <v>21</v>
      </c>
      <c r="I99" s="11" t="s">
        <v>113</v>
      </c>
      <c r="J99" s="11" t="s">
        <v>246</v>
      </c>
      <c r="K99" s="11" t="n">
        <v>5</v>
      </c>
      <c r="L99" s="15" t="n">
        <v>3019.36</v>
      </c>
      <c r="M99" s="11" t="n">
        <v>0</v>
      </c>
      <c r="N99" s="15" t="n">
        <v>15096.8</v>
      </c>
      <c r="O99" s="15" t="n">
        <v>0</v>
      </c>
      <c r="P99" s="15" t="n">
        <v>15096.8</v>
      </c>
      <c r="Q99" s="15" t="n">
        <v>0</v>
      </c>
      <c r="R99" s="11" t="n">
        <v>0</v>
      </c>
      <c r="S99" s="15" t="n">
        <f aca="false">P99-Q99</f>
        <v>15096.8</v>
      </c>
      <c r="T99" s="11" t="n">
        <f aca="false">IF(OR(J99="Completed",J99="Returned"),1,0)</f>
        <v>0</v>
      </c>
    </row>
    <row r="100" customFormat="false" ht="15" hidden="false" customHeight="false" outlineLevel="0" collapsed="false">
      <c r="A100" s="11" t="s">
        <v>914</v>
      </c>
      <c r="B100" s="11" t="s">
        <v>376</v>
      </c>
      <c r="C100" s="24" t="n">
        <v>45760</v>
      </c>
      <c r="D100" s="11" t="s">
        <v>47</v>
      </c>
      <c r="E100" s="11" t="s">
        <v>913</v>
      </c>
      <c r="F100" s="11" t="s">
        <v>74</v>
      </c>
      <c r="G100" s="11" t="s">
        <v>135</v>
      </c>
      <c r="H100" s="11" t="s">
        <v>22</v>
      </c>
      <c r="I100" s="11" t="s">
        <v>113</v>
      </c>
      <c r="J100" s="11" t="s">
        <v>246</v>
      </c>
      <c r="K100" s="11" t="n">
        <v>5</v>
      </c>
      <c r="L100" s="15" t="n">
        <v>22655.14</v>
      </c>
      <c r="M100" s="11" t="n">
        <v>0</v>
      </c>
      <c r="N100" s="15" t="n">
        <v>113275.7</v>
      </c>
      <c r="O100" s="15" t="n">
        <v>0</v>
      </c>
      <c r="P100" s="15" t="n">
        <v>113275.7</v>
      </c>
      <c r="Q100" s="15" t="n">
        <v>0</v>
      </c>
      <c r="R100" s="11" t="n">
        <v>0</v>
      </c>
      <c r="S100" s="15" t="n">
        <f aca="false">P100-Q100</f>
        <v>113275.7</v>
      </c>
      <c r="T100" s="11" t="n">
        <f aca="false">IF(OR(J100="Completed",J100="Returned"),1,0)</f>
        <v>0</v>
      </c>
    </row>
    <row r="101" customFormat="false" ht="15" hidden="false" customHeight="false" outlineLevel="0" collapsed="false">
      <c r="A101" s="11" t="s">
        <v>915</v>
      </c>
      <c r="B101" s="11" t="s">
        <v>376</v>
      </c>
      <c r="C101" s="24" t="n">
        <v>45760</v>
      </c>
      <c r="D101" s="11" t="s">
        <v>47</v>
      </c>
      <c r="E101" s="11" t="s">
        <v>913</v>
      </c>
      <c r="F101" s="11" t="s">
        <v>74</v>
      </c>
      <c r="G101" s="11" t="s">
        <v>781</v>
      </c>
      <c r="H101" s="11" t="s">
        <v>21</v>
      </c>
      <c r="I101" s="11" t="s">
        <v>113</v>
      </c>
      <c r="J101" s="11" t="s">
        <v>246</v>
      </c>
      <c r="K101" s="11" t="n">
        <v>2</v>
      </c>
      <c r="L101" s="15" t="n">
        <v>3962.52</v>
      </c>
      <c r="M101" s="11" t="n">
        <v>0</v>
      </c>
      <c r="N101" s="15" t="n">
        <v>7925.04</v>
      </c>
      <c r="O101" s="15" t="n">
        <v>0</v>
      </c>
      <c r="P101" s="15" t="n">
        <v>7925.04</v>
      </c>
      <c r="Q101" s="15" t="n">
        <v>0</v>
      </c>
      <c r="R101" s="11" t="n">
        <v>0</v>
      </c>
      <c r="S101" s="15" t="n">
        <f aca="false">P101-Q101</f>
        <v>7925.04</v>
      </c>
      <c r="T101" s="11" t="n">
        <f aca="false">IF(OR(J101="Completed",J101="Returned"),1,0)</f>
        <v>0</v>
      </c>
    </row>
    <row r="102" customFormat="false" ht="15" hidden="false" customHeight="false" outlineLevel="0" collapsed="false">
      <c r="A102" s="11" t="s">
        <v>916</v>
      </c>
      <c r="B102" s="11" t="s">
        <v>299</v>
      </c>
      <c r="C102" s="24" t="n">
        <v>45957</v>
      </c>
      <c r="D102" s="11" t="s">
        <v>53</v>
      </c>
      <c r="E102" s="11" t="s">
        <v>917</v>
      </c>
      <c r="F102" s="11" t="s">
        <v>78</v>
      </c>
      <c r="G102" s="11" t="s">
        <v>835</v>
      </c>
      <c r="H102" s="11" t="s">
        <v>22</v>
      </c>
      <c r="I102" s="11" t="s">
        <v>113</v>
      </c>
      <c r="J102" s="11" t="s">
        <v>242</v>
      </c>
      <c r="K102" s="11" t="n">
        <v>1</v>
      </c>
      <c r="L102" s="15" t="n">
        <v>22572.25</v>
      </c>
      <c r="M102" s="11" t="n">
        <v>10</v>
      </c>
      <c r="N102" s="15" t="n">
        <v>22572.25</v>
      </c>
      <c r="O102" s="15" t="n">
        <v>2257.22</v>
      </c>
      <c r="P102" s="15" t="n">
        <v>20315.03</v>
      </c>
      <c r="Q102" s="15" t="n">
        <v>0</v>
      </c>
      <c r="R102" s="11" t="n">
        <v>0</v>
      </c>
      <c r="S102" s="15" t="n">
        <f aca="false">P102-Q102</f>
        <v>20315.03</v>
      </c>
      <c r="T102" s="11" t="n">
        <f aca="false">IF(OR(J102="Completed",J102="Returned"),1,0)</f>
        <v>1</v>
      </c>
    </row>
    <row r="103" customFormat="false" ht="15" hidden="false" customHeight="false" outlineLevel="0" collapsed="false">
      <c r="A103" s="11" t="s">
        <v>918</v>
      </c>
      <c r="B103" s="11" t="s">
        <v>299</v>
      </c>
      <c r="C103" s="24" t="n">
        <v>45957</v>
      </c>
      <c r="D103" s="11" t="s">
        <v>53</v>
      </c>
      <c r="E103" s="11" t="s">
        <v>917</v>
      </c>
      <c r="F103" s="11" t="s">
        <v>78</v>
      </c>
      <c r="G103" s="11" t="s">
        <v>148</v>
      </c>
      <c r="H103" s="11" t="s">
        <v>21</v>
      </c>
      <c r="I103" s="11" t="s">
        <v>113</v>
      </c>
      <c r="J103" s="11" t="s">
        <v>242</v>
      </c>
      <c r="K103" s="11" t="n">
        <v>1</v>
      </c>
      <c r="L103" s="15" t="n">
        <v>11434.02</v>
      </c>
      <c r="M103" s="11" t="n">
        <v>0</v>
      </c>
      <c r="N103" s="15" t="n">
        <v>11434.02</v>
      </c>
      <c r="O103" s="15" t="n">
        <v>0</v>
      </c>
      <c r="P103" s="15" t="n">
        <v>11434.02</v>
      </c>
      <c r="Q103" s="15" t="n">
        <v>0</v>
      </c>
      <c r="R103" s="11" t="n">
        <v>0</v>
      </c>
      <c r="S103" s="15" t="n">
        <f aca="false">P103-Q103</f>
        <v>11434.02</v>
      </c>
      <c r="T103" s="11" t="n">
        <f aca="false">IF(OR(J103="Completed",J103="Returned"),1,0)</f>
        <v>1</v>
      </c>
    </row>
    <row r="104" customFormat="false" ht="15" hidden="false" customHeight="false" outlineLevel="0" collapsed="false">
      <c r="A104" s="11" t="s">
        <v>919</v>
      </c>
      <c r="B104" s="11" t="s">
        <v>308</v>
      </c>
      <c r="C104" s="24" t="n">
        <v>45937</v>
      </c>
      <c r="D104" s="11" t="s">
        <v>53</v>
      </c>
      <c r="E104" s="11" t="s">
        <v>920</v>
      </c>
      <c r="F104" s="11" t="s">
        <v>70</v>
      </c>
      <c r="G104" s="11" t="s">
        <v>139</v>
      </c>
      <c r="H104" s="11" t="s">
        <v>24</v>
      </c>
      <c r="I104" s="11" t="s">
        <v>114</v>
      </c>
      <c r="J104" s="11" t="s">
        <v>246</v>
      </c>
      <c r="K104" s="11" t="n">
        <v>5</v>
      </c>
      <c r="L104" s="15" t="n">
        <v>20278.89</v>
      </c>
      <c r="M104" s="11" t="n">
        <v>0</v>
      </c>
      <c r="N104" s="15" t="n">
        <v>101394.45</v>
      </c>
      <c r="O104" s="15" t="n">
        <v>0</v>
      </c>
      <c r="P104" s="15" t="n">
        <v>101394.45</v>
      </c>
      <c r="Q104" s="15" t="n">
        <v>0</v>
      </c>
      <c r="R104" s="11" t="n">
        <v>0</v>
      </c>
      <c r="S104" s="15" t="n">
        <f aca="false">P104-Q104</f>
        <v>101394.45</v>
      </c>
      <c r="T104" s="11" t="n">
        <f aca="false">IF(OR(J104="Completed",J104="Returned"),1,0)</f>
        <v>0</v>
      </c>
    </row>
    <row r="105" customFormat="false" ht="15" hidden="false" customHeight="false" outlineLevel="0" collapsed="false">
      <c r="A105" s="11" t="s">
        <v>921</v>
      </c>
      <c r="B105" s="11" t="s">
        <v>458</v>
      </c>
      <c r="C105" s="24" t="n">
        <v>45760</v>
      </c>
      <c r="D105" s="11" t="s">
        <v>47</v>
      </c>
      <c r="E105" s="11" t="s">
        <v>922</v>
      </c>
      <c r="F105" s="11" t="s">
        <v>74</v>
      </c>
      <c r="G105" s="11" t="s">
        <v>923</v>
      </c>
      <c r="H105" s="11" t="s">
        <v>22</v>
      </c>
      <c r="I105" s="11" t="s">
        <v>113</v>
      </c>
      <c r="J105" s="11" t="s">
        <v>242</v>
      </c>
      <c r="K105" s="11" t="n">
        <v>4</v>
      </c>
      <c r="L105" s="15" t="n">
        <v>5145.55</v>
      </c>
      <c r="M105" s="11" t="n">
        <v>5</v>
      </c>
      <c r="N105" s="15" t="n">
        <v>20582.2</v>
      </c>
      <c r="O105" s="15" t="n">
        <v>1029.11</v>
      </c>
      <c r="P105" s="15" t="n">
        <v>19553.09</v>
      </c>
      <c r="Q105" s="15" t="n">
        <v>0</v>
      </c>
      <c r="R105" s="11" t="n">
        <v>0</v>
      </c>
      <c r="S105" s="15" t="n">
        <f aca="false">P105-Q105</f>
        <v>19553.09</v>
      </c>
      <c r="T105" s="11" t="n">
        <f aca="false">IF(OR(J105="Completed",J105="Returned"),1,0)</f>
        <v>1</v>
      </c>
    </row>
    <row r="106" customFormat="false" ht="15" hidden="false" customHeight="false" outlineLevel="0" collapsed="false">
      <c r="A106" s="11" t="s">
        <v>924</v>
      </c>
      <c r="B106" s="11" t="s">
        <v>276</v>
      </c>
      <c r="C106" s="24" t="n">
        <v>45340</v>
      </c>
      <c r="D106" s="11" t="s">
        <v>33</v>
      </c>
      <c r="E106" s="11" t="s">
        <v>925</v>
      </c>
      <c r="F106" s="11" t="s">
        <v>82</v>
      </c>
      <c r="G106" s="11" t="s">
        <v>833</v>
      </c>
      <c r="H106" s="11" t="s">
        <v>23</v>
      </c>
      <c r="I106" s="11" t="s">
        <v>113</v>
      </c>
      <c r="J106" s="11" t="s">
        <v>250</v>
      </c>
      <c r="K106" s="11" t="n">
        <v>2</v>
      </c>
      <c r="L106" s="15" t="n">
        <v>14595.44</v>
      </c>
      <c r="M106" s="11" t="n">
        <v>0</v>
      </c>
      <c r="N106" s="15" t="n">
        <v>29190.88</v>
      </c>
      <c r="O106" s="15" t="n">
        <v>0</v>
      </c>
      <c r="P106" s="15" t="n">
        <v>29190.88</v>
      </c>
      <c r="Q106" s="15" t="n">
        <v>0</v>
      </c>
      <c r="R106" s="11" t="n">
        <v>0</v>
      </c>
      <c r="S106" s="15" t="n">
        <f aca="false">P106-Q106</f>
        <v>29190.88</v>
      </c>
      <c r="T106" s="11" t="n">
        <f aca="false">IF(OR(J106="Completed",J106="Returned"),1,0)</f>
        <v>0</v>
      </c>
    </row>
    <row r="107" customFormat="false" ht="15" hidden="false" customHeight="false" outlineLevel="0" collapsed="false">
      <c r="A107" s="11" t="s">
        <v>926</v>
      </c>
      <c r="B107" s="11" t="s">
        <v>267</v>
      </c>
      <c r="C107" s="24" t="n">
        <v>45476</v>
      </c>
      <c r="D107" s="11" t="s">
        <v>38</v>
      </c>
      <c r="E107" s="11" t="s">
        <v>90</v>
      </c>
      <c r="F107" s="11" t="s">
        <v>74</v>
      </c>
      <c r="G107" s="11" t="s">
        <v>154</v>
      </c>
      <c r="H107" s="11" t="s">
        <v>21</v>
      </c>
      <c r="I107" s="11" t="s">
        <v>113</v>
      </c>
      <c r="J107" s="11" t="s">
        <v>242</v>
      </c>
      <c r="K107" s="11" t="n">
        <v>3</v>
      </c>
      <c r="L107" s="15" t="n">
        <v>2260.53</v>
      </c>
      <c r="M107" s="11" t="n">
        <v>0</v>
      </c>
      <c r="N107" s="15" t="n">
        <v>6781.59</v>
      </c>
      <c r="O107" s="15" t="n">
        <v>0</v>
      </c>
      <c r="P107" s="15" t="n">
        <v>6781.59</v>
      </c>
      <c r="Q107" s="15" t="n">
        <v>0</v>
      </c>
      <c r="R107" s="11" t="n">
        <v>0</v>
      </c>
      <c r="S107" s="15" t="n">
        <f aca="false">P107-Q107</f>
        <v>6781.59</v>
      </c>
      <c r="T107" s="11" t="n">
        <f aca="false">IF(OR(J107="Completed",J107="Returned"),1,0)</f>
        <v>1</v>
      </c>
    </row>
    <row r="108" customFormat="false" ht="15" hidden="false" customHeight="false" outlineLevel="0" collapsed="false">
      <c r="A108" s="11" t="s">
        <v>927</v>
      </c>
      <c r="B108" s="11" t="s">
        <v>267</v>
      </c>
      <c r="C108" s="24" t="n">
        <v>45476</v>
      </c>
      <c r="D108" s="11" t="s">
        <v>38</v>
      </c>
      <c r="E108" s="11" t="s">
        <v>90</v>
      </c>
      <c r="F108" s="11" t="s">
        <v>74</v>
      </c>
      <c r="G108" s="11" t="s">
        <v>641</v>
      </c>
      <c r="H108" s="11" t="s">
        <v>24</v>
      </c>
      <c r="I108" s="11" t="s">
        <v>113</v>
      </c>
      <c r="J108" s="11" t="s">
        <v>242</v>
      </c>
      <c r="K108" s="11" t="n">
        <v>3</v>
      </c>
      <c r="L108" s="15" t="n">
        <v>7313.65</v>
      </c>
      <c r="M108" s="11" t="n">
        <v>15</v>
      </c>
      <c r="N108" s="15" t="n">
        <v>21940.95</v>
      </c>
      <c r="O108" s="15" t="n">
        <v>3291.14</v>
      </c>
      <c r="P108" s="15" t="n">
        <v>18649.81</v>
      </c>
      <c r="Q108" s="15" t="n">
        <v>0</v>
      </c>
      <c r="R108" s="11" t="n">
        <v>0</v>
      </c>
      <c r="S108" s="15" t="n">
        <f aca="false">P108-Q108</f>
        <v>18649.81</v>
      </c>
      <c r="T108" s="11" t="n">
        <f aca="false">IF(OR(J108="Completed",J108="Returned"),1,0)</f>
        <v>1</v>
      </c>
    </row>
    <row r="109" customFormat="false" ht="15" hidden="false" customHeight="false" outlineLevel="0" collapsed="false">
      <c r="A109" s="11" t="s">
        <v>928</v>
      </c>
      <c r="B109" s="11" t="s">
        <v>528</v>
      </c>
      <c r="C109" s="24" t="n">
        <v>45574</v>
      </c>
      <c r="D109" s="11" t="s">
        <v>41</v>
      </c>
      <c r="E109" s="11" t="s">
        <v>803</v>
      </c>
      <c r="F109" s="11" t="s">
        <v>25</v>
      </c>
      <c r="G109" s="11" t="s">
        <v>160</v>
      </c>
      <c r="H109" s="11" t="s">
        <v>23</v>
      </c>
      <c r="I109" s="11" t="s">
        <v>113</v>
      </c>
      <c r="J109" s="11" t="s">
        <v>242</v>
      </c>
      <c r="K109" s="11" t="n">
        <v>5</v>
      </c>
      <c r="L109" s="15" t="n">
        <v>21122.18</v>
      </c>
      <c r="M109" s="11" t="n">
        <v>0</v>
      </c>
      <c r="N109" s="15" t="n">
        <v>105610.9</v>
      </c>
      <c r="O109" s="15" t="n">
        <v>0</v>
      </c>
      <c r="P109" s="15" t="n">
        <v>105610.9</v>
      </c>
      <c r="Q109" s="15" t="n">
        <v>0</v>
      </c>
      <c r="R109" s="11" t="n">
        <v>0</v>
      </c>
      <c r="S109" s="15" t="n">
        <f aca="false">P109-Q109</f>
        <v>105610.9</v>
      </c>
      <c r="T109" s="11" t="n">
        <f aca="false">IF(OR(J109="Completed",J109="Returned"),1,0)</f>
        <v>1</v>
      </c>
    </row>
    <row r="110" customFormat="false" ht="15" hidden="false" customHeight="false" outlineLevel="0" collapsed="false">
      <c r="A110" s="11" t="s">
        <v>929</v>
      </c>
      <c r="B110" s="11" t="s">
        <v>528</v>
      </c>
      <c r="C110" s="24" t="n">
        <v>45574</v>
      </c>
      <c r="D110" s="11" t="s">
        <v>41</v>
      </c>
      <c r="E110" s="11" t="s">
        <v>803</v>
      </c>
      <c r="F110" s="11" t="s">
        <v>25</v>
      </c>
      <c r="G110" s="11" t="s">
        <v>141</v>
      </c>
      <c r="H110" s="11" t="s">
        <v>24</v>
      </c>
      <c r="I110" s="11" t="s">
        <v>113</v>
      </c>
      <c r="J110" s="11" t="s">
        <v>242</v>
      </c>
      <c r="K110" s="11" t="n">
        <v>5</v>
      </c>
      <c r="L110" s="15" t="n">
        <v>20481.04</v>
      </c>
      <c r="M110" s="11" t="n">
        <v>10</v>
      </c>
      <c r="N110" s="15" t="n">
        <v>102405.2</v>
      </c>
      <c r="O110" s="15" t="n">
        <v>10240.52</v>
      </c>
      <c r="P110" s="15" t="n">
        <v>92164.68</v>
      </c>
      <c r="Q110" s="15" t="n">
        <v>0</v>
      </c>
      <c r="R110" s="11" t="n">
        <v>0</v>
      </c>
      <c r="S110" s="15" t="n">
        <f aca="false">P110-Q110</f>
        <v>92164.68</v>
      </c>
      <c r="T110" s="11" t="n">
        <f aca="false">IF(OR(J110="Completed",J110="Returned"),1,0)</f>
        <v>1</v>
      </c>
    </row>
    <row r="111" customFormat="false" ht="15" hidden="false" customHeight="false" outlineLevel="0" collapsed="false">
      <c r="A111" s="11" t="s">
        <v>930</v>
      </c>
      <c r="B111" s="11" t="s">
        <v>441</v>
      </c>
      <c r="C111" s="24" t="n">
        <v>45297</v>
      </c>
      <c r="D111" s="11" t="s">
        <v>32</v>
      </c>
      <c r="E111" s="11" t="s">
        <v>931</v>
      </c>
      <c r="F111" s="11" t="s">
        <v>82</v>
      </c>
      <c r="G111" s="11" t="s">
        <v>135</v>
      </c>
      <c r="H111" s="11" t="s">
        <v>22</v>
      </c>
      <c r="I111" s="11" t="s">
        <v>114</v>
      </c>
      <c r="J111" s="11" t="s">
        <v>242</v>
      </c>
      <c r="K111" s="11" t="n">
        <v>1</v>
      </c>
      <c r="L111" s="15" t="n">
        <v>22655.14</v>
      </c>
      <c r="M111" s="11" t="n">
        <v>0</v>
      </c>
      <c r="N111" s="15" t="n">
        <v>22655.14</v>
      </c>
      <c r="O111" s="15" t="n">
        <v>0</v>
      </c>
      <c r="P111" s="15" t="n">
        <v>22655.14</v>
      </c>
      <c r="Q111" s="15" t="n">
        <v>0</v>
      </c>
      <c r="R111" s="11" t="n">
        <v>0</v>
      </c>
      <c r="S111" s="15" t="n">
        <f aca="false">P111-Q111</f>
        <v>22655.14</v>
      </c>
      <c r="T111" s="11" t="n">
        <f aca="false">IF(OR(J111="Completed",J111="Returned"),1,0)</f>
        <v>1</v>
      </c>
    </row>
    <row r="112" customFormat="false" ht="15" hidden="false" customHeight="false" outlineLevel="0" collapsed="false">
      <c r="A112" s="11" t="s">
        <v>932</v>
      </c>
      <c r="B112" s="11" t="s">
        <v>441</v>
      </c>
      <c r="C112" s="24" t="n">
        <v>45297</v>
      </c>
      <c r="D112" s="11" t="s">
        <v>32</v>
      </c>
      <c r="E112" s="11" t="s">
        <v>931</v>
      </c>
      <c r="F112" s="11" t="s">
        <v>82</v>
      </c>
      <c r="G112" s="11" t="s">
        <v>794</v>
      </c>
      <c r="H112" s="11" t="s">
        <v>23</v>
      </c>
      <c r="I112" s="11" t="s">
        <v>114</v>
      </c>
      <c r="J112" s="11" t="s">
        <v>242</v>
      </c>
      <c r="K112" s="11" t="n">
        <v>1</v>
      </c>
      <c r="L112" s="15" t="n">
        <v>20253.93</v>
      </c>
      <c r="M112" s="11" t="n">
        <v>20</v>
      </c>
      <c r="N112" s="15" t="n">
        <v>20253.93</v>
      </c>
      <c r="O112" s="15" t="n">
        <v>4050.79</v>
      </c>
      <c r="P112" s="15" t="n">
        <v>16203.14</v>
      </c>
      <c r="Q112" s="15" t="n">
        <v>0</v>
      </c>
      <c r="R112" s="11" t="n">
        <v>0</v>
      </c>
      <c r="S112" s="15" t="n">
        <f aca="false">P112-Q112</f>
        <v>16203.14</v>
      </c>
      <c r="T112" s="11" t="n">
        <f aca="false">IF(OR(J112="Completed",J112="Returned"),1,0)</f>
        <v>1</v>
      </c>
    </row>
    <row r="113" customFormat="false" ht="15" hidden="false" customHeight="false" outlineLevel="0" collapsed="false">
      <c r="A113" s="11" t="s">
        <v>933</v>
      </c>
      <c r="B113" s="11" t="s">
        <v>455</v>
      </c>
      <c r="C113" s="24" t="n">
        <v>45778</v>
      </c>
      <c r="D113" s="11" t="s">
        <v>48</v>
      </c>
      <c r="E113" s="11" t="s">
        <v>934</v>
      </c>
      <c r="F113" s="11" t="s">
        <v>82</v>
      </c>
      <c r="G113" s="11" t="s">
        <v>641</v>
      </c>
      <c r="H113" s="11" t="s">
        <v>24</v>
      </c>
      <c r="I113" s="11" t="s">
        <v>114</v>
      </c>
      <c r="J113" s="11" t="s">
        <v>242</v>
      </c>
      <c r="K113" s="11" t="n">
        <v>4</v>
      </c>
      <c r="L113" s="15" t="n">
        <v>7313.65</v>
      </c>
      <c r="M113" s="11" t="n">
        <v>20</v>
      </c>
      <c r="N113" s="15" t="n">
        <v>29254.6</v>
      </c>
      <c r="O113" s="15" t="n">
        <v>5850.92</v>
      </c>
      <c r="P113" s="15" t="n">
        <v>23403.68</v>
      </c>
      <c r="Q113" s="15" t="n">
        <v>0</v>
      </c>
      <c r="R113" s="11" t="n">
        <v>0</v>
      </c>
      <c r="S113" s="15" t="n">
        <f aca="false">P113-Q113</f>
        <v>23403.68</v>
      </c>
      <c r="T113" s="11" t="n">
        <f aca="false">IF(OR(J113="Completed",J113="Returned"),1,0)</f>
        <v>1</v>
      </c>
    </row>
    <row r="114" customFormat="false" ht="15" hidden="false" customHeight="false" outlineLevel="0" collapsed="false">
      <c r="A114" s="11" t="s">
        <v>935</v>
      </c>
      <c r="B114" s="11" t="s">
        <v>455</v>
      </c>
      <c r="C114" s="24" t="n">
        <v>45778</v>
      </c>
      <c r="D114" s="11" t="s">
        <v>48</v>
      </c>
      <c r="E114" s="11" t="s">
        <v>934</v>
      </c>
      <c r="F114" s="11" t="s">
        <v>82</v>
      </c>
      <c r="G114" s="11" t="s">
        <v>133</v>
      </c>
      <c r="H114" s="11" t="s">
        <v>21</v>
      </c>
      <c r="I114" s="11" t="s">
        <v>114</v>
      </c>
      <c r="J114" s="11" t="s">
        <v>242</v>
      </c>
      <c r="K114" s="11" t="n">
        <v>3</v>
      </c>
      <c r="L114" s="15" t="n">
        <v>15706.03</v>
      </c>
      <c r="M114" s="11" t="n">
        <v>15</v>
      </c>
      <c r="N114" s="15" t="n">
        <v>47118.09</v>
      </c>
      <c r="O114" s="15" t="n">
        <v>7067.71</v>
      </c>
      <c r="P114" s="15" t="n">
        <v>40050.38</v>
      </c>
      <c r="Q114" s="15" t="n">
        <v>0</v>
      </c>
      <c r="R114" s="11" t="n">
        <v>0</v>
      </c>
      <c r="S114" s="15" t="n">
        <f aca="false">P114-Q114</f>
        <v>40050.38</v>
      </c>
      <c r="T114" s="11" t="n">
        <f aca="false">IF(OR(J114="Completed",J114="Returned"),1,0)</f>
        <v>1</v>
      </c>
    </row>
    <row r="115" customFormat="false" ht="15" hidden="false" customHeight="false" outlineLevel="0" collapsed="false">
      <c r="A115" s="11" t="s">
        <v>936</v>
      </c>
      <c r="B115" s="11" t="s">
        <v>455</v>
      </c>
      <c r="C115" s="24" t="n">
        <v>45778</v>
      </c>
      <c r="D115" s="11" t="s">
        <v>48</v>
      </c>
      <c r="E115" s="11" t="s">
        <v>934</v>
      </c>
      <c r="F115" s="11" t="s">
        <v>82</v>
      </c>
      <c r="G115" s="11" t="s">
        <v>127</v>
      </c>
      <c r="H115" s="11" t="s">
        <v>21</v>
      </c>
      <c r="I115" s="11" t="s">
        <v>114</v>
      </c>
      <c r="J115" s="11" t="s">
        <v>242</v>
      </c>
      <c r="K115" s="11" t="n">
        <v>5</v>
      </c>
      <c r="L115" s="15" t="n">
        <v>4696.64</v>
      </c>
      <c r="M115" s="11" t="n">
        <v>20</v>
      </c>
      <c r="N115" s="15" t="n">
        <v>23483.2</v>
      </c>
      <c r="O115" s="15" t="n">
        <v>4696.64</v>
      </c>
      <c r="P115" s="15" t="n">
        <v>18786.56</v>
      </c>
      <c r="Q115" s="15" t="n">
        <v>0</v>
      </c>
      <c r="R115" s="11" t="n">
        <v>0</v>
      </c>
      <c r="S115" s="15" t="n">
        <f aca="false">P115-Q115</f>
        <v>18786.56</v>
      </c>
      <c r="T115" s="11" t="n">
        <f aca="false">IF(OR(J115="Completed",J115="Returned"),1,0)</f>
        <v>1</v>
      </c>
    </row>
    <row r="116" customFormat="false" ht="15" hidden="false" customHeight="false" outlineLevel="0" collapsed="false">
      <c r="A116" s="11" t="s">
        <v>937</v>
      </c>
      <c r="B116" s="11" t="s">
        <v>342</v>
      </c>
      <c r="C116" s="24" t="n">
        <v>45951</v>
      </c>
      <c r="D116" s="11" t="s">
        <v>53</v>
      </c>
      <c r="E116" s="11" t="s">
        <v>856</v>
      </c>
      <c r="F116" s="11" t="s">
        <v>70</v>
      </c>
      <c r="G116" s="11" t="s">
        <v>609</v>
      </c>
      <c r="H116" s="11" t="s">
        <v>20</v>
      </c>
      <c r="I116" s="11" t="s">
        <v>115</v>
      </c>
      <c r="J116" s="11" t="s">
        <v>242</v>
      </c>
      <c r="K116" s="11" t="n">
        <v>5</v>
      </c>
      <c r="L116" s="15" t="n">
        <v>10660.79</v>
      </c>
      <c r="M116" s="11" t="n">
        <v>0</v>
      </c>
      <c r="N116" s="15" t="n">
        <v>53303.95</v>
      </c>
      <c r="O116" s="15" t="n">
        <v>0</v>
      </c>
      <c r="P116" s="15" t="n">
        <v>53303.95</v>
      </c>
      <c r="Q116" s="15" t="n">
        <v>0</v>
      </c>
      <c r="R116" s="11" t="n">
        <v>0</v>
      </c>
      <c r="S116" s="15" t="n">
        <f aca="false">P116-Q116</f>
        <v>53303.95</v>
      </c>
      <c r="T116" s="11" t="n">
        <f aca="false">IF(OR(J116="Completed",J116="Returned"),1,0)</f>
        <v>1</v>
      </c>
    </row>
    <row r="117" customFormat="false" ht="15" hidden="false" customHeight="false" outlineLevel="0" collapsed="false">
      <c r="A117" s="11" t="s">
        <v>938</v>
      </c>
      <c r="B117" s="11" t="s">
        <v>553</v>
      </c>
      <c r="C117" s="24" t="n">
        <v>45778</v>
      </c>
      <c r="D117" s="11" t="s">
        <v>48</v>
      </c>
      <c r="E117" s="11" t="s">
        <v>850</v>
      </c>
      <c r="F117" s="11" t="s">
        <v>70</v>
      </c>
      <c r="G117" s="11" t="s">
        <v>939</v>
      </c>
      <c r="H117" s="11" t="s">
        <v>21</v>
      </c>
      <c r="I117" s="11" t="s">
        <v>115</v>
      </c>
      <c r="J117" s="11" t="s">
        <v>242</v>
      </c>
      <c r="K117" s="11" t="n">
        <v>5</v>
      </c>
      <c r="L117" s="15" t="n">
        <v>17637.28</v>
      </c>
      <c r="M117" s="11" t="n">
        <v>0</v>
      </c>
      <c r="N117" s="15" t="n">
        <v>88186.4</v>
      </c>
      <c r="O117" s="15" t="n">
        <v>0</v>
      </c>
      <c r="P117" s="15" t="n">
        <v>88186.4</v>
      </c>
      <c r="Q117" s="15" t="n">
        <v>74184.94</v>
      </c>
      <c r="R117" s="11" t="n">
        <v>5</v>
      </c>
      <c r="S117" s="15" t="n">
        <f aca="false">P117-Q117</f>
        <v>14001.46</v>
      </c>
      <c r="T117" s="11" t="n">
        <f aca="false">IF(OR(J117="Completed",J117="Returned"),1,0)</f>
        <v>1</v>
      </c>
    </row>
    <row r="118" customFormat="false" ht="15" hidden="false" customHeight="false" outlineLevel="0" collapsed="false">
      <c r="A118" s="11" t="s">
        <v>940</v>
      </c>
      <c r="B118" s="11" t="s">
        <v>553</v>
      </c>
      <c r="C118" s="24" t="n">
        <v>45778</v>
      </c>
      <c r="D118" s="11" t="s">
        <v>48</v>
      </c>
      <c r="E118" s="11" t="s">
        <v>850</v>
      </c>
      <c r="F118" s="11" t="s">
        <v>70</v>
      </c>
      <c r="G118" s="11" t="s">
        <v>143</v>
      </c>
      <c r="H118" s="11" t="s">
        <v>23</v>
      </c>
      <c r="I118" s="11" t="s">
        <v>115</v>
      </c>
      <c r="J118" s="11" t="s">
        <v>242</v>
      </c>
      <c r="K118" s="11" t="n">
        <v>5</v>
      </c>
      <c r="L118" s="15" t="n">
        <v>8318.56</v>
      </c>
      <c r="M118" s="11" t="n">
        <v>0</v>
      </c>
      <c r="N118" s="15" t="n">
        <v>41592.8</v>
      </c>
      <c r="O118" s="15" t="n">
        <v>0</v>
      </c>
      <c r="P118" s="15" t="n">
        <v>41592.8</v>
      </c>
      <c r="Q118" s="15" t="n">
        <v>0</v>
      </c>
      <c r="R118" s="11" t="n">
        <v>0</v>
      </c>
      <c r="S118" s="15" t="n">
        <f aca="false">P118-Q118</f>
        <v>41592.8</v>
      </c>
      <c r="T118" s="11" t="n">
        <f aca="false">IF(OR(J118="Completed",J118="Returned"),1,0)</f>
        <v>1</v>
      </c>
    </row>
    <row r="119" customFormat="false" ht="15" hidden="false" customHeight="false" outlineLevel="0" collapsed="false">
      <c r="A119" s="11" t="s">
        <v>941</v>
      </c>
      <c r="B119" s="11" t="s">
        <v>553</v>
      </c>
      <c r="C119" s="24" t="n">
        <v>45778</v>
      </c>
      <c r="D119" s="11" t="s">
        <v>48</v>
      </c>
      <c r="E119" s="11" t="s">
        <v>850</v>
      </c>
      <c r="F119" s="11" t="s">
        <v>70</v>
      </c>
      <c r="G119" s="11" t="s">
        <v>145</v>
      </c>
      <c r="H119" s="11" t="s">
        <v>20</v>
      </c>
      <c r="I119" s="11" t="s">
        <v>115</v>
      </c>
      <c r="J119" s="11" t="s">
        <v>242</v>
      </c>
      <c r="K119" s="11" t="n">
        <v>5</v>
      </c>
      <c r="L119" s="15" t="n">
        <v>20098.63</v>
      </c>
      <c r="M119" s="11" t="n">
        <v>15</v>
      </c>
      <c r="N119" s="15" t="n">
        <v>100493.15</v>
      </c>
      <c r="O119" s="15" t="n">
        <v>15073.97</v>
      </c>
      <c r="P119" s="15" t="n">
        <v>85419.18</v>
      </c>
      <c r="Q119" s="15" t="n">
        <v>0</v>
      </c>
      <c r="R119" s="11" t="n">
        <v>0</v>
      </c>
      <c r="S119" s="15" t="n">
        <f aca="false">P119-Q119</f>
        <v>85419.18</v>
      </c>
      <c r="T119" s="11" t="n">
        <f aca="false">IF(OR(J119="Completed",J119="Returned"),1,0)</f>
        <v>1</v>
      </c>
    </row>
    <row r="120" customFormat="false" ht="15" hidden="false" customHeight="false" outlineLevel="0" collapsed="false">
      <c r="A120" s="11" t="s">
        <v>942</v>
      </c>
      <c r="B120" s="11" t="s">
        <v>298</v>
      </c>
      <c r="C120" s="24" t="n">
        <v>45715</v>
      </c>
      <c r="D120" s="11" t="s">
        <v>45</v>
      </c>
      <c r="E120" s="11" t="s">
        <v>943</v>
      </c>
      <c r="F120" s="11" t="s">
        <v>70</v>
      </c>
      <c r="G120" s="11" t="s">
        <v>775</v>
      </c>
      <c r="H120" s="11" t="s">
        <v>23</v>
      </c>
      <c r="I120" s="11" t="s">
        <v>115</v>
      </c>
      <c r="J120" s="11" t="s">
        <v>242</v>
      </c>
      <c r="K120" s="11" t="n">
        <v>2</v>
      </c>
      <c r="L120" s="15" t="n">
        <v>26274.11</v>
      </c>
      <c r="M120" s="11" t="n">
        <v>0</v>
      </c>
      <c r="N120" s="15" t="n">
        <v>52548.22</v>
      </c>
      <c r="O120" s="15" t="n">
        <v>0</v>
      </c>
      <c r="P120" s="15" t="n">
        <v>52548.22</v>
      </c>
      <c r="Q120" s="15" t="n">
        <v>0</v>
      </c>
      <c r="R120" s="11" t="n">
        <v>0</v>
      </c>
      <c r="S120" s="15" t="n">
        <f aca="false">P120-Q120</f>
        <v>52548.22</v>
      </c>
      <c r="T120" s="11" t="n">
        <f aca="false">IF(OR(J120="Completed",J120="Returned"),1,0)</f>
        <v>1</v>
      </c>
    </row>
    <row r="121" customFormat="false" ht="15" hidden="false" customHeight="false" outlineLevel="0" collapsed="false">
      <c r="A121" s="11" t="s">
        <v>944</v>
      </c>
      <c r="B121" s="11" t="s">
        <v>298</v>
      </c>
      <c r="C121" s="24" t="n">
        <v>45715</v>
      </c>
      <c r="D121" s="11" t="s">
        <v>45</v>
      </c>
      <c r="E121" s="11" t="s">
        <v>943</v>
      </c>
      <c r="F121" s="11" t="s">
        <v>70</v>
      </c>
      <c r="G121" s="11" t="s">
        <v>835</v>
      </c>
      <c r="H121" s="11" t="s">
        <v>22</v>
      </c>
      <c r="I121" s="11" t="s">
        <v>115</v>
      </c>
      <c r="J121" s="11" t="s">
        <v>242</v>
      </c>
      <c r="K121" s="11" t="n">
        <v>2</v>
      </c>
      <c r="L121" s="15" t="n">
        <v>22572.25</v>
      </c>
      <c r="M121" s="11" t="n">
        <v>20</v>
      </c>
      <c r="N121" s="15" t="n">
        <v>45144.5</v>
      </c>
      <c r="O121" s="15" t="n">
        <v>9028.9</v>
      </c>
      <c r="P121" s="15" t="n">
        <v>36115.6</v>
      </c>
      <c r="Q121" s="15" t="n">
        <v>0</v>
      </c>
      <c r="R121" s="11" t="n">
        <v>0</v>
      </c>
      <c r="S121" s="15" t="n">
        <f aca="false">P121-Q121</f>
        <v>36115.6</v>
      </c>
      <c r="T121" s="11" t="n">
        <f aca="false">IF(OR(J121="Completed",J121="Returned"),1,0)</f>
        <v>1</v>
      </c>
    </row>
    <row r="122" customFormat="false" ht="15" hidden="false" customHeight="false" outlineLevel="0" collapsed="false">
      <c r="A122" s="11" t="s">
        <v>945</v>
      </c>
      <c r="B122" s="11" t="s">
        <v>350</v>
      </c>
      <c r="C122" s="24" t="n">
        <v>45677</v>
      </c>
      <c r="D122" s="11" t="s">
        <v>44</v>
      </c>
      <c r="E122" s="11" t="s">
        <v>946</v>
      </c>
      <c r="F122" s="11" t="s">
        <v>70</v>
      </c>
      <c r="G122" s="11" t="s">
        <v>803</v>
      </c>
      <c r="H122" s="11" t="s">
        <v>25</v>
      </c>
      <c r="I122" s="11" t="s">
        <v>114</v>
      </c>
      <c r="J122" s="11" t="s">
        <v>269</v>
      </c>
      <c r="K122" s="11" t="n">
        <v>1</v>
      </c>
      <c r="L122" s="15" t="n">
        <v>20278.89</v>
      </c>
      <c r="M122" s="11" t="n">
        <v>0</v>
      </c>
      <c r="N122" s="15" t="n">
        <v>20278.89</v>
      </c>
      <c r="O122" s="15" t="n">
        <v>0</v>
      </c>
      <c r="P122" s="15" t="n">
        <v>20278.89</v>
      </c>
      <c r="Q122" s="15" t="n">
        <v>0</v>
      </c>
      <c r="R122" s="11" t="n">
        <v>0</v>
      </c>
      <c r="S122" s="15" t="n">
        <f aca="false">P122-Q122</f>
        <v>20278.89</v>
      </c>
      <c r="T122" s="11" t="n">
        <f aca="false">IF(OR(J122="Completed",J122="Returned"),1,0)</f>
        <v>1</v>
      </c>
    </row>
    <row r="123" customFormat="false" ht="15" hidden="false" customHeight="false" outlineLevel="0" collapsed="false">
      <c r="A123" s="11" t="s">
        <v>947</v>
      </c>
      <c r="B123" s="11" t="s">
        <v>350</v>
      </c>
      <c r="C123" s="24" t="n">
        <v>45677</v>
      </c>
      <c r="D123" s="11" t="s">
        <v>44</v>
      </c>
      <c r="E123" s="11" t="s">
        <v>946</v>
      </c>
      <c r="F123" s="11" t="s">
        <v>70</v>
      </c>
      <c r="G123" s="11" t="s">
        <v>145</v>
      </c>
      <c r="H123" s="11" t="s">
        <v>20</v>
      </c>
      <c r="I123" s="11" t="s">
        <v>114</v>
      </c>
      <c r="J123" s="11" t="s">
        <v>269</v>
      </c>
      <c r="K123" s="11" t="n">
        <v>4</v>
      </c>
      <c r="L123" s="15" t="n">
        <v>20098.63</v>
      </c>
      <c r="M123" s="11" t="n">
        <v>0</v>
      </c>
      <c r="N123" s="15" t="n">
        <v>80394.52</v>
      </c>
      <c r="O123" s="15" t="n">
        <v>0</v>
      </c>
      <c r="P123" s="15" t="n">
        <v>80394.52</v>
      </c>
      <c r="Q123" s="15" t="n">
        <v>0</v>
      </c>
      <c r="R123" s="11" t="n">
        <v>0</v>
      </c>
      <c r="S123" s="15" t="n">
        <f aca="false">P123-Q123</f>
        <v>80394.52</v>
      </c>
      <c r="T123" s="11" t="n">
        <f aca="false">IF(OR(J123="Completed",J123="Returned"),1,0)</f>
        <v>1</v>
      </c>
    </row>
    <row r="124" customFormat="false" ht="15" hidden="false" customHeight="false" outlineLevel="0" collapsed="false">
      <c r="A124" s="11" t="s">
        <v>948</v>
      </c>
      <c r="B124" s="11" t="s">
        <v>350</v>
      </c>
      <c r="C124" s="24" t="n">
        <v>45677</v>
      </c>
      <c r="D124" s="11" t="s">
        <v>44</v>
      </c>
      <c r="E124" s="11" t="s">
        <v>946</v>
      </c>
      <c r="F124" s="11" t="s">
        <v>70</v>
      </c>
      <c r="G124" s="11" t="s">
        <v>154</v>
      </c>
      <c r="H124" s="11" t="s">
        <v>21</v>
      </c>
      <c r="I124" s="11" t="s">
        <v>114</v>
      </c>
      <c r="J124" s="11" t="s">
        <v>269</v>
      </c>
      <c r="K124" s="11" t="n">
        <v>4</v>
      </c>
      <c r="L124" s="15" t="n">
        <v>2260.53</v>
      </c>
      <c r="M124" s="11" t="n">
        <v>0</v>
      </c>
      <c r="N124" s="15" t="n">
        <v>9042.12</v>
      </c>
      <c r="O124" s="15" t="n">
        <v>0</v>
      </c>
      <c r="P124" s="15" t="n">
        <v>9042.12</v>
      </c>
      <c r="Q124" s="15" t="n">
        <v>0</v>
      </c>
      <c r="R124" s="11" t="n">
        <v>0</v>
      </c>
      <c r="S124" s="15" t="n">
        <f aca="false">P124-Q124</f>
        <v>9042.12</v>
      </c>
      <c r="T124" s="11" t="n">
        <f aca="false">IF(OR(J124="Completed",J124="Returned"),1,0)</f>
        <v>1</v>
      </c>
    </row>
    <row r="125" customFormat="false" ht="15" hidden="false" customHeight="false" outlineLevel="0" collapsed="false">
      <c r="A125" s="11" t="s">
        <v>949</v>
      </c>
      <c r="B125" s="11" t="s">
        <v>350</v>
      </c>
      <c r="C125" s="24" t="n">
        <v>45677</v>
      </c>
      <c r="D125" s="11" t="s">
        <v>44</v>
      </c>
      <c r="E125" s="11" t="s">
        <v>946</v>
      </c>
      <c r="F125" s="11" t="s">
        <v>70</v>
      </c>
      <c r="G125" s="11" t="s">
        <v>778</v>
      </c>
      <c r="H125" s="11" t="s">
        <v>24</v>
      </c>
      <c r="I125" s="11" t="s">
        <v>114</v>
      </c>
      <c r="J125" s="11" t="s">
        <v>269</v>
      </c>
      <c r="K125" s="11" t="n">
        <v>5</v>
      </c>
      <c r="L125" s="15" t="n">
        <v>4516.1</v>
      </c>
      <c r="M125" s="11" t="n">
        <v>15</v>
      </c>
      <c r="N125" s="15" t="n">
        <v>22580.5</v>
      </c>
      <c r="O125" s="15" t="n">
        <v>3387.08</v>
      </c>
      <c r="P125" s="15" t="n">
        <v>19193.42</v>
      </c>
      <c r="Q125" s="15" t="n">
        <v>0</v>
      </c>
      <c r="R125" s="11" t="n">
        <v>0</v>
      </c>
      <c r="S125" s="15" t="n">
        <f aca="false">P125-Q125</f>
        <v>19193.42</v>
      </c>
      <c r="T125" s="11" t="n">
        <f aca="false">IF(OR(J125="Completed",J125="Returned"),1,0)</f>
        <v>1</v>
      </c>
    </row>
    <row r="126" customFormat="false" ht="15" hidden="false" customHeight="false" outlineLevel="0" collapsed="false">
      <c r="A126" s="11" t="s">
        <v>950</v>
      </c>
      <c r="B126" s="11" t="s">
        <v>555</v>
      </c>
      <c r="C126" s="24" t="n">
        <v>45392</v>
      </c>
      <c r="D126" s="11" t="s">
        <v>35</v>
      </c>
      <c r="E126" s="11" t="s">
        <v>951</v>
      </c>
      <c r="F126" s="11" t="s">
        <v>78</v>
      </c>
      <c r="G126" s="11" t="s">
        <v>615</v>
      </c>
      <c r="H126" s="11" t="s">
        <v>23</v>
      </c>
      <c r="I126" s="11" t="s">
        <v>115</v>
      </c>
      <c r="J126" s="11" t="s">
        <v>246</v>
      </c>
      <c r="K126" s="11" t="n">
        <v>1</v>
      </c>
      <c r="L126" s="15" t="n">
        <v>2863.09</v>
      </c>
      <c r="M126" s="11" t="n">
        <v>0</v>
      </c>
      <c r="N126" s="15" t="n">
        <v>2863.09</v>
      </c>
      <c r="O126" s="15" t="n">
        <v>0</v>
      </c>
      <c r="P126" s="15" t="n">
        <v>2863.09</v>
      </c>
      <c r="Q126" s="15" t="n">
        <v>0</v>
      </c>
      <c r="R126" s="11" t="n">
        <v>0</v>
      </c>
      <c r="S126" s="15" t="n">
        <f aca="false">P126-Q126</f>
        <v>2863.09</v>
      </c>
      <c r="T126" s="11" t="n">
        <f aca="false">IF(OR(J126="Completed",J126="Returned"),1,0)</f>
        <v>0</v>
      </c>
    </row>
    <row r="127" customFormat="false" ht="15" hidden="false" customHeight="false" outlineLevel="0" collapsed="false">
      <c r="A127" s="11" t="s">
        <v>952</v>
      </c>
      <c r="B127" s="11" t="s">
        <v>555</v>
      </c>
      <c r="C127" s="24" t="n">
        <v>45392</v>
      </c>
      <c r="D127" s="11" t="s">
        <v>35</v>
      </c>
      <c r="E127" s="11" t="s">
        <v>951</v>
      </c>
      <c r="F127" s="11" t="s">
        <v>78</v>
      </c>
      <c r="G127" s="11" t="s">
        <v>907</v>
      </c>
      <c r="H127" s="11" t="s">
        <v>22</v>
      </c>
      <c r="I127" s="11" t="s">
        <v>115</v>
      </c>
      <c r="J127" s="11" t="s">
        <v>246</v>
      </c>
      <c r="K127" s="11" t="n">
        <v>5</v>
      </c>
      <c r="L127" s="15" t="n">
        <v>25643.17</v>
      </c>
      <c r="M127" s="11" t="n">
        <v>15</v>
      </c>
      <c r="N127" s="15" t="n">
        <v>128215.85</v>
      </c>
      <c r="O127" s="15" t="n">
        <v>19232.38</v>
      </c>
      <c r="P127" s="15" t="n">
        <v>108983.47</v>
      </c>
      <c r="Q127" s="15" t="n">
        <v>0</v>
      </c>
      <c r="R127" s="11" t="n">
        <v>0</v>
      </c>
      <c r="S127" s="15" t="n">
        <f aca="false">P127-Q127</f>
        <v>108983.47</v>
      </c>
      <c r="T127" s="11" t="n">
        <f aca="false">IF(OR(J127="Completed",J127="Returned"),1,0)</f>
        <v>0</v>
      </c>
    </row>
    <row r="128" customFormat="false" ht="15" hidden="false" customHeight="false" outlineLevel="0" collapsed="false">
      <c r="A128" s="11" t="s">
        <v>953</v>
      </c>
      <c r="B128" s="11" t="s">
        <v>544</v>
      </c>
      <c r="C128" s="24" t="n">
        <v>45708</v>
      </c>
      <c r="D128" s="11" t="s">
        <v>45</v>
      </c>
      <c r="E128" s="11" t="s">
        <v>954</v>
      </c>
      <c r="F128" s="11" t="s">
        <v>70</v>
      </c>
      <c r="G128" s="11" t="s">
        <v>641</v>
      </c>
      <c r="H128" s="11" t="s">
        <v>24</v>
      </c>
      <c r="I128" s="11" t="s">
        <v>115</v>
      </c>
      <c r="J128" s="11" t="s">
        <v>242</v>
      </c>
      <c r="K128" s="11" t="n">
        <v>3</v>
      </c>
      <c r="L128" s="15" t="n">
        <v>7313.65</v>
      </c>
      <c r="M128" s="11" t="n">
        <v>0</v>
      </c>
      <c r="N128" s="15" t="n">
        <v>21940.95</v>
      </c>
      <c r="O128" s="15" t="n">
        <v>0</v>
      </c>
      <c r="P128" s="15" t="n">
        <v>21940.95</v>
      </c>
      <c r="Q128" s="15" t="n">
        <v>0</v>
      </c>
      <c r="R128" s="11" t="n">
        <v>0</v>
      </c>
      <c r="S128" s="15" t="n">
        <f aca="false">P128-Q128</f>
        <v>21940.95</v>
      </c>
      <c r="T128" s="11" t="n">
        <f aca="false">IF(OR(J128="Completed",J128="Returned"),1,0)</f>
        <v>1</v>
      </c>
    </row>
    <row r="129" customFormat="false" ht="15" hidden="false" customHeight="false" outlineLevel="0" collapsed="false">
      <c r="A129" s="11" t="s">
        <v>955</v>
      </c>
      <c r="B129" s="11" t="s">
        <v>544</v>
      </c>
      <c r="C129" s="24" t="n">
        <v>45708</v>
      </c>
      <c r="D129" s="11" t="s">
        <v>45</v>
      </c>
      <c r="E129" s="11" t="s">
        <v>954</v>
      </c>
      <c r="F129" s="11" t="s">
        <v>70</v>
      </c>
      <c r="G129" s="11" t="s">
        <v>639</v>
      </c>
      <c r="H129" s="11" t="s">
        <v>23</v>
      </c>
      <c r="I129" s="11" t="s">
        <v>115</v>
      </c>
      <c r="J129" s="11" t="s">
        <v>242</v>
      </c>
      <c r="K129" s="11" t="n">
        <v>1</v>
      </c>
      <c r="L129" s="15" t="n">
        <v>8493.72</v>
      </c>
      <c r="M129" s="11" t="n">
        <v>0</v>
      </c>
      <c r="N129" s="15" t="n">
        <v>8493.72</v>
      </c>
      <c r="O129" s="15" t="n">
        <v>0</v>
      </c>
      <c r="P129" s="15" t="n">
        <v>8493.72</v>
      </c>
      <c r="Q129" s="15" t="n">
        <v>0</v>
      </c>
      <c r="R129" s="11" t="n">
        <v>0</v>
      </c>
      <c r="S129" s="15" t="n">
        <f aca="false">P129-Q129</f>
        <v>8493.72</v>
      </c>
      <c r="T129" s="11" t="n">
        <f aca="false">IF(OR(J129="Completed",J129="Returned"),1,0)</f>
        <v>1</v>
      </c>
    </row>
    <row r="130" customFormat="false" ht="15" hidden="false" customHeight="false" outlineLevel="0" collapsed="false">
      <c r="A130" s="11" t="s">
        <v>956</v>
      </c>
      <c r="B130" s="11" t="s">
        <v>544</v>
      </c>
      <c r="C130" s="24" t="n">
        <v>45708</v>
      </c>
      <c r="D130" s="11" t="s">
        <v>45</v>
      </c>
      <c r="E130" s="11" t="s">
        <v>954</v>
      </c>
      <c r="F130" s="11" t="s">
        <v>70</v>
      </c>
      <c r="G130" s="11" t="s">
        <v>957</v>
      </c>
      <c r="H130" s="11" t="s">
        <v>23</v>
      </c>
      <c r="I130" s="11" t="s">
        <v>115</v>
      </c>
      <c r="J130" s="11" t="s">
        <v>242</v>
      </c>
      <c r="K130" s="11" t="n">
        <v>4</v>
      </c>
      <c r="L130" s="15" t="n">
        <v>1741.05</v>
      </c>
      <c r="M130" s="11" t="n">
        <v>0</v>
      </c>
      <c r="N130" s="15" t="n">
        <v>6964.2</v>
      </c>
      <c r="O130" s="15" t="n">
        <v>0</v>
      </c>
      <c r="P130" s="15" t="n">
        <v>6964.2</v>
      </c>
      <c r="Q130" s="15" t="n">
        <v>0</v>
      </c>
      <c r="R130" s="11" t="n">
        <v>0</v>
      </c>
      <c r="S130" s="15" t="n">
        <f aca="false">P130-Q130</f>
        <v>6964.2</v>
      </c>
      <c r="T130" s="11" t="n">
        <f aca="false">IF(OR(J130="Completed",J130="Returned"),1,0)</f>
        <v>1</v>
      </c>
    </row>
    <row r="131" customFormat="false" ht="15" hidden="false" customHeight="false" outlineLevel="0" collapsed="false">
      <c r="A131" s="11" t="s">
        <v>958</v>
      </c>
      <c r="B131" s="11" t="s">
        <v>417</v>
      </c>
      <c r="C131" s="24" t="n">
        <v>45724</v>
      </c>
      <c r="D131" s="11" t="s">
        <v>46</v>
      </c>
      <c r="E131" s="11" t="s">
        <v>959</v>
      </c>
      <c r="F131" s="11" t="s">
        <v>82</v>
      </c>
      <c r="G131" s="11" t="s">
        <v>150</v>
      </c>
      <c r="H131" s="11" t="s">
        <v>22</v>
      </c>
      <c r="I131" s="11" t="s">
        <v>113</v>
      </c>
      <c r="J131" s="11" t="s">
        <v>242</v>
      </c>
      <c r="K131" s="11" t="n">
        <v>1</v>
      </c>
      <c r="L131" s="15" t="n">
        <v>21978.46</v>
      </c>
      <c r="M131" s="11" t="n">
        <v>10</v>
      </c>
      <c r="N131" s="15" t="n">
        <v>21978.46</v>
      </c>
      <c r="O131" s="15" t="n">
        <v>2197.85</v>
      </c>
      <c r="P131" s="15" t="n">
        <v>19780.61</v>
      </c>
      <c r="Q131" s="15" t="n">
        <v>0</v>
      </c>
      <c r="R131" s="11" t="n">
        <v>0</v>
      </c>
      <c r="S131" s="15" t="n">
        <f aca="false">P131-Q131</f>
        <v>19780.61</v>
      </c>
      <c r="T131" s="11" t="n">
        <f aca="false">IF(OR(J131="Completed",J131="Returned"),1,0)</f>
        <v>1</v>
      </c>
    </row>
    <row r="132" customFormat="false" ht="15" hidden="false" customHeight="false" outlineLevel="0" collapsed="false">
      <c r="A132" s="11" t="s">
        <v>960</v>
      </c>
      <c r="B132" s="11" t="s">
        <v>554</v>
      </c>
      <c r="C132" s="24" t="n">
        <v>45447</v>
      </c>
      <c r="D132" s="11" t="s">
        <v>37</v>
      </c>
      <c r="E132" s="11" t="s">
        <v>961</v>
      </c>
      <c r="F132" s="11" t="s">
        <v>78</v>
      </c>
      <c r="G132" s="11" t="s">
        <v>623</v>
      </c>
      <c r="H132" s="11" t="s">
        <v>20</v>
      </c>
      <c r="I132" s="11" t="s">
        <v>115</v>
      </c>
      <c r="J132" s="11" t="s">
        <v>250</v>
      </c>
      <c r="K132" s="11" t="n">
        <v>4</v>
      </c>
      <c r="L132" s="15" t="n">
        <v>16535.66</v>
      </c>
      <c r="M132" s="11" t="n">
        <v>0</v>
      </c>
      <c r="N132" s="15" t="n">
        <v>66142.64</v>
      </c>
      <c r="O132" s="15" t="n">
        <v>0</v>
      </c>
      <c r="P132" s="15" t="n">
        <v>66142.64</v>
      </c>
      <c r="Q132" s="15" t="n">
        <v>0</v>
      </c>
      <c r="R132" s="11" t="n">
        <v>0</v>
      </c>
      <c r="S132" s="15" t="n">
        <f aca="false">P132-Q132</f>
        <v>66142.64</v>
      </c>
      <c r="T132" s="11" t="n">
        <f aca="false">IF(OR(J132="Completed",J132="Returned"),1,0)</f>
        <v>0</v>
      </c>
    </row>
    <row r="133" customFormat="false" ht="15" hidden="false" customHeight="false" outlineLevel="0" collapsed="false">
      <c r="A133" s="11" t="s">
        <v>962</v>
      </c>
      <c r="B133" s="11" t="s">
        <v>554</v>
      </c>
      <c r="C133" s="24" t="n">
        <v>45447</v>
      </c>
      <c r="D133" s="11" t="s">
        <v>37</v>
      </c>
      <c r="E133" s="11" t="s">
        <v>961</v>
      </c>
      <c r="F133" s="11" t="s">
        <v>78</v>
      </c>
      <c r="G133" s="11" t="s">
        <v>156</v>
      </c>
      <c r="H133" s="11" t="s">
        <v>23</v>
      </c>
      <c r="I133" s="11" t="s">
        <v>115</v>
      </c>
      <c r="J133" s="11" t="s">
        <v>250</v>
      </c>
      <c r="K133" s="11" t="n">
        <v>4</v>
      </c>
      <c r="L133" s="15" t="n">
        <v>11992.92</v>
      </c>
      <c r="M133" s="11" t="n">
        <v>20</v>
      </c>
      <c r="N133" s="15" t="n">
        <v>47971.68</v>
      </c>
      <c r="O133" s="15" t="n">
        <v>9594.34</v>
      </c>
      <c r="P133" s="15" t="n">
        <v>38377.34</v>
      </c>
      <c r="Q133" s="15" t="n">
        <v>0</v>
      </c>
      <c r="R133" s="11" t="n">
        <v>0</v>
      </c>
      <c r="S133" s="15" t="n">
        <f aca="false">P133-Q133</f>
        <v>38377.34</v>
      </c>
      <c r="T133" s="11" t="n">
        <f aca="false">IF(OR(J133="Completed",J133="Returned"),1,0)</f>
        <v>0</v>
      </c>
    </row>
    <row r="134" customFormat="false" ht="15" hidden="false" customHeight="false" outlineLevel="0" collapsed="false">
      <c r="A134" s="11" t="s">
        <v>963</v>
      </c>
      <c r="B134" s="11" t="s">
        <v>285</v>
      </c>
      <c r="C134" s="24" t="n">
        <v>45756</v>
      </c>
      <c r="D134" s="11" t="s">
        <v>47</v>
      </c>
      <c r="E134" s="11" t="s">
        <v>964</v>
      </c>
      <c r="F134" s="11" t="s">
        <v>82</v>
      </c>
      <c r="G134" s="11" t="s">
        <v>965</v>
      </c>
      <c r="H134" s="11" t="s">
        <v>23</v>
      </c>
      <c r="I134" s="11" t="s">
        <v>115</v>
      </c>
      <c r="J134" s="11" t="s">
        <v>246</v>
      </c>
      <c r="K134" s="11" t="n">
        <v>2</v>
      </c>
      <c r="L134" s="15" t="n">
        <v>4511.74</v>
      </c>
      <c r="M134" s="11" t="n">
        <v>5</v>
      </c>
      <c r="N134" s="15" t="n">
        <v>9023.48</v>
      </c>
      <c r="O134" s="15" t="n">
        <v>451.17</v>
      </c>
      <c r="P134" s="15" t="n">
        <v>8572.31</v>
      </c>
      <c r="Q134" s="15" t="n">
        <v>0</v>
      </c>
      <c r="R134" s="11" t="n">
        <v>0</v>
      </c>
      <c r="S134" s="15" t="n">
        <f aca="false">P134-Q134</f>
        <v>8572.31</v>
      </c>
      <c r="T134" s="11" t="n">
        <f aca="false">IF(OR(J134="Completed",J134="Returned"),1,0)</f>
        <v>0</v>
      </c>
    </row>
    <row r="135" customFormat="false" ht="15" hidden="false" customHeight="false" outlineLevel="0" collapsed="false">
      <c r="A135" s="11" t="s">
        <v>966</v>
      </c>
      <c r="B135" s="11" t="s">
        <v>285</v>
      </c>
      <c r="C135" s="24" t="n">
        <v>45756</v>
      </c>
      <c r="D135" s="11" t="s">
        <v>47</v>
      </c>
      <c r="E135" s="11" t="s">
        <v>964</v>
      </c>
      <c r="F135" s="11" t="s">
        <v>82</v>
      </c>
      <c r="G135" s="11" t="s">
        <v>133</v>
      </c>
      <c r="H135" s="11" t="s">
        <v>21</v>
      </c>
      <c r="I135" s="11" t="s">
        <v>115</v>
      </c>
      <c r="J135" s="11" t="s">
        <v>246</v>
      </c>
      <c r="K135" s="11" t="n">
        <v>5</v>
      </c>
      <c r="L135" s="15" t="n">
        <v>15706.03</v>
      </c>
      <c r="M135" s="11" t="n">
        <v>0</v>
      </c>
      <c r="N135" s="15" t="n">
        <v>78530.15</v>
      </c>
      <c r="O135" s="15" t="n">
        <v>0</v>
      </c>
      <c r="P135" s="15" t="n">
        <v>78530.15</v>
      </c>
      <c r="Q135" s="15" t="n">
        <v>0</v>
      </c>
      <c r="R135" s="11" t="n">
        <v>0</v>
      </c>
      <c r="S135" s="15" t="n">
        <f aca="false">P135-Q135</f>
        <v>78530.15</v>
      </c>
      <c r="T135" s="11" t="n">
        <f aca="false">IF(OR(J135="Completed",J135="Returned"),1,0)</f>
        <v>0</v>
      </c>
    </row>
    <row r="136" customFormat="false" ht="15" hidden="false" customHeight="false" outlineLevel="0" collapsed="false">
      <c r="A136" s="11" t="s">
        <v>967</v>
      </c>
      <c r="B136" s="11" t="s">
        <v>569</v>
      </c>
      <c r="C136" s="24" t="n">
        <v>45339</v>
      </c>
      <c r="D136" s="11" t="s">
        <v>33</v>
      </c>
      <c r="E136" s="11" t="s">
        <v>856</v>
      </c>
      <c r="F136" s="11" t="s">
        <v>70</v>
      </c>
      <c r="G136" s="11" t="s">
        <v>141</v>
      </c>
      <c r="H136" s="11" t="s">
        <v>24</v>
      </c>
      <c r="I136" s="11" t="s">
        <v>113</v>
      </c>
      <c r="J136" s="11" t="s">
        <v>250</v>
      </c>
      <c r="K136" s="11" t="n">
        <v>4</v>
      </c>
      <c r="L136" s="15" t="n">
        <v>20481.04</v>
      </c>
      <c r="M136" s="11" t="n">
        <v>10</v>
      </c>
      <c r="N136" s="15" t="n">
        <v>81924.16</v>
      </c>
      <c r="O136" s="15" t="n">
        <v>8192.42</v>
      </c>
      <c r="P136" s="15" t="n">
        <v>73731.74</v>
      </c>
      <c r="Q136" s="15" t="n">
        <v>0</v>
      </c>
      <c r="R136" s="11" t="n">
        <v>0</v>
      </c>
      <c r="S136" s="15" t="n">
        <f aca="false">P136-Q136</f>
        <v>73731.74</v>
      </c>
      <c r="T136" s="11" t="n">
        <f aca="false">IF(OR(J136="Completed",J136="Returned"),1,0)</f>
        <v>0</v>
      </c>
    </row>
    <row r="137" customFormat="false" ht="15" hidden="false" customHeight="false" outlineLevel="0" collapsed="false">
      <c r="A137" s="11" t="s">
        <v>968</v>
      </c>
      <c r="B137" s="11" t="s">
        <v>569</v>
      </c>
      <c r="C137" s="24" t="n">
        <v>45339</v>
      </c>
      <c r="D137" s="11" t="s">
        <v>33</v>
      </c>
      <c r="E137" s="11" t="s">
        <v>856</v>
      </c>
      <c r="F137" s="11" t="s">
        <v>70</v>
      </c>
      <c r="G137" s="11" t="s">
        <v>641</v>
      </c>
      <c r="H137" s="11" t="s">
        <v>24</v>
      </c>
      <c r="I137" s="11" t="s">
        <v>113</v>
      </c>
      <c r="J137" s="11" t="s">
        <v>250</v>
      </c>
      <c r="K137" s="11" t="n">
        <v>3</v>
      </c>
      <c r="L137" s="15" t="n">
        <v>7313.65</v>
      </c>
      <c r="M137" s="11" t="n">
        <v>0</v>
      </c>
      <c r="N137" s="15" t="n">
        <v>21940.95</v>
      </c>
      <c r="O137" s="15" t="n">
        <v>0</v>
      </c>
      <c r="P137" s="15" t="n">
        <v>21940.95</v>
      </c>
      <c r="Q137" s="15" t="n">
        <v>0</v>
      </c>
      <c r="R137" s="11" t="n">
        <v>0</v>
      </c>
      <c r="S137" s="15" t="n">
        <f aca="false">P137-Q137</f>
        <v>21940.95</v>
      </c>
      <c r="T137" s="11" t="n">
        <f aca="false">IF(OR(J137="Completed",J137="Returned"),1,0)</f>
        <v>0</v>
      </c>
    </row>
    <row r="138" customFormat="false" ht="15" hidden="false" customHeight="false" outlineLevel="0" collapsed="false">
      <c r="A138" s="11" t="s">
        <v>969</v>
      </c>
      <c r="B138" s="11" t="s">
        <v>569</v>
      </c>
      <c r="C138" s="24" t="n">
        <v>45339</v>
      </c>
      <c r="D138" s="11" t="s">
        <v>33</v>
      </c>
      <c r="E138" s="11" t="s">
        <v>856</v>
      </c>
      <c r="F138" s="11" t="s">
        <v>70</v>
      </c>
      <c r="G138" s="11" t="s">
        <v>970</v>
      </c>
      <c r="H138" s="11" t="s">
        <v>20</v>
      </c>
      <c r="I138" s="11" t="s">
        <v>113</v>
      </c>
      <c r="J138" s="11" t="s">
        <v>250</v>
      </c>
      <c r="K138" s="11" t="n">
        <v>5</v>
      </c>
      <c r="L138" s="15" t="n">
        <v>15383.27</v>
      </c>
      <c r="M138" s="11" t="n">
        <v>0</v>
      </c>
      <c r="N138" s="15" t="n">
        <v>76916.35</v>
      </c>
      <c r="O138" s="15" t="n">
        <v>0</v>
      </c>
      <c r="P138" s="15" t="n">
        <v>76916.35</v>
      </c>
      <c r="Q138" s="15" t="n">
        <v>0</v>
      </c>
      <c r="R138" s="11" t="n">
        <v>0</v>
      </c>
      <c r="S138" s="15" t="n">
        <f aca="false">P138-Q138</f>
        <v>76916.35</v>
      </c>
      <c r="T138" s="11" t="n">
        <f aca="false">IF(OR(J138="Completed",J138="Returned"),1,0)</f>
        <v>0</v>
      </c>
    </row>
    <row r="139" customFormat="false" ht="15" hidden="false" customHeight="false" outlineLevel="0" collapsed="false">
      <c r="A139" s="11" t="s">
        <v>971</v>
      </c>
      <c r="B139" s="11" t="s">
        <v>471</v>
      </c>
      <c r="C139" s="24" t="n">
        <v>45730</v>
      </c>
      <c r="D139" s="11" t="s">
        <v>46</v>
      </c>
      <c r="E139" s="11" t="s">
        <v>972</v>
      </c>
      <c r="F139" s="11" t="s">
        <v>78</v>
      </c>
      <c r="G139" s="11" t="s">
        <v>630</v>
      </c>
      <c r="H139" s="11" t="s">
        <v>23</v>
      </c>
      <c r="I139" s="11" t="s">
        <v>113</v>
      </c>
      <c r="J139" s="11" t="s">
        <v>242</v>
      </c>
      <c r="K139" s="11" t="n">
        <v>5</v>
      </c>
      <c r="L139" s="15" t="n">
        <v>18828.5</v>
      </c>
      <c r="M139" s="11" t="n">
        <v>10</v>
      </c>
      <c r="N139" s="15" t="n">
        <v>94142.5</v>
      </c>
      <c r="O139" s="15" t="n">
        <v>9414.25</v>
      </c>
      <c r="P139" s="15" t="n">
        <v>84728.25</v>
      </c>
      <c r="Q139" s="15" t="n">
        <v>0</v>
      </c>
      <c r="R139" s="11" t="n">
        <v>0</v>
      </c>
      <c r="S139" s="15" t="n">
        <f aca="false">P139-Q139</f>
        <v>84728.25</v>
      </c>
      <c r="T139" s="11" t="n">
        <f aca="false">IF(OR(J139="Completed",J139="Returned"),1,0)</f>
        <v>1</v>
      </c>
    </row>
    <row r="140" customFormat="false" ht="15" hidden="false" customHeight="false" outlineLevel="0" collapsed="false">
      <c r="A140" s="11" t="s">
        <v>973</v>
      </c>
      <c r="B140" s="11" t="s">
        <v>471</v>
      </c>
      <c r="C140" s="24" t="n">
        <v>45730</v>
      </c>
      <c r="D140" s="11" t="s">
        <v>46</v>
      </c>
      <c r="E140" s="11" t="s">
        <v>972</v>
      </c>
      <c r="F140" s="11" t="s">
        <v>78</v>
      </c>
      <c r="G140" s="11" t="s">
        <v>623</v>
      </c>
      <c r="H140" s="11" t="s">
        <v>20</v>
      </c>
      <c r="I140" s="11" t="s">
        <v>113</v>
      </c>
      <c r="J140" s="11" t="s">
        <v>242</v>
      </c>
      <c r="K140" s="11" t="n">
        <v>4</v>
      </c>
      <c r="L140" s="15" t="n">
        <v>16535.66</v>
      </c>
      <c r="M140" s="11" t="n">
        <v>5</v>
      </c>
      <c r="N140" s="15" t="n">
        <v>66142.64</v>
      </c>
      <c r="O140" s="15" t="n">
        <v>3307.13</v>
      </c>
      <c r="P140" s="15" t="n">
        <v>62835.51</v>
      </c>
      <c r="Q140" s="15" t="n">
        <v>0</v>
      </c>
      <c r="R140" s="11" t="n">
        <v>0</v>
      </c>
      <c r="S140" s="15" t="n">
        <f aca="false">P140-Q140</f>
        <v>62835.51</v>
      </c>
      <c r="T140" s="11" t="n">
        <f aca="false">IF(OR(J140="Completed",J140="Returned"),1,0)</f>
        <v>1</v>
      </c>
    </row>
    <row r="141" customFormat="false" ht="15" hidden="false" customHeight="false" outlineLevel="0" collapsed="false">
      <c r="A141" s="11" t="s">
        <v>974</v>
      </c>
      <c r="B141" s="11" t="s">
        <v>374</v>
      </c>
      <c r="C141" s="24" t="n">
        <v>45625</v>
      </c>
      <c r="D141" s="11" t="s">
        <v>42</v>
      </c>
      <c r="E141" s="11" t="s">
        <v>975</v>
      </c>
      <c r="F141" s="11" t="s">
        <v>78</v>
      </c>
      <c r="G141" s="11" t="s">
        <v>162</v>
      </c>
      <c r="H141" s="11" t="s">
        <v>20</v>
      </c>
      <c r="I141" s="11" t="s">
        <v>114</v>
      </c>
      <c r="J141" s="11" t="s">
        <v>246</v>
      </c>
      <c r="K141" s="11" t="n">
        <v>2</v>
      </c>
      <c r="L141" s="15" t="n">
        <v>16084.14</v>
      </c>
      <c r="M141" s="11" t="n">
        <v>0</v>
      </c>
      <c r="N141" s="15" t="n">
        <v>32168.28</v>
      </c>
      <c r="O141" s="15" t="n">
        <v>0</v>
      </c>
      <c r="P141" s="15" t="n">
        <v>32168.28</v>
      </c>
      <c r="Q141" s="15" t="n">
        <v>0</v>
      </c>
      <c r="R141" s="11" t="n">
        <v>0</v>
      </c>
      <c r="S141" s="15" t="n">
        <f aca="false">P141-Q141</f>
        <v>32168.28</v>
      </c>
      <c r="T141" s="11" t="n">
        <f aca="false">IF(OR(J141="Completed",J141="Returned"),1,0)</f>
        <v>0</v>
      </c>
    </row>
    <row r="142" customFormat="false" ht="15" hidden="false" customHeight="false" outlineLevel="0" collapsed="false">
      <c r="A142" s="11" t="s">
        <v>976</v>
      </c>
      <c r="B142" s="11" t="s">
        <v>558</v>
      </c>
      <c r="C142" s="24" t="n">
        <v>45520</v>
      </c>
      <c r="D142" s="11" t="s">
        <v>39</v>
      </c>
      <c r="E142" s="11" t="s">
        <v>72</v>
      </c>
      <c r="F142" s="11" t="s">
        <v>74</v>
      </c>
      <c r="G142" s="11" t="s">
        <v>805</v>
      </c>
      <c r="H142" s="11" t="s">
        <v>21</v>
      </c>
      <c r="I142" s="11" t="s">
        <v>115</v>
      </c>
      <c r="J142" s="11" t="s">
        <v>242</v>
      </c>
      <c r="K142" s="11" t="n">
        <v>5</v>
      </c>
      <c r="L142" s="15" t="n">
        <v>23243.35</v>
      </c>
      <c r="M142" s="11" t="n">
        <v>0</v>
      </c>
      <c r="N142" s="15" t="n">
        <v>116216.75</v>
      </c>
      <c r="O142" s="15" t="n">
        <v>0</v>
      </c>
      <c r="P142" s="15" t="n">
        <v>116216.75</v>
      </c>
      <c r="Q142" s="15" t="n">
        <v>0</v>
      </c>
      <c r="R142" s="11" t="n">
        <v>0</v>
      </c>
      <c r="S142" s="15" t="n">
        <f aca="false">P142-Q142</f>
        <v>116216.75</v>
      </c>
      <c r="T142" s="11" t="n">
        <f aca="false">IF(OR(J142="Completed",J142="Returned"),1,0)</f>
        <v>1</v>
      </c>
    </row>
    <row r="143" customFormat="false" ht="15" hidden="false" customHeight="false" outlineLevel="0" collapsed="false">
      <c r="A143" s="11" t="s">
        <v>977</v>
      </c>
      <c r="B143" s="11" t="s">
        <v>558</v>
      </c>
      <c r="C143" s="24" t="n">
        <v>45520</v>
      </c>
      <c r="D143" s="11" t="s">
        <v>39</v>
      </c>
      <c r="E143" s="11" t="s">
        <v>72</v>
      </c>
      <c r="F143" s="11" t="s">
        <v>74</v>
      </c>
      <c r="G143" s="11" t="s">
        <v>794</v>
      </c>
      <c r="H143" s="11" t="s">
        <v>23</v>
      </c>
      <c r="I143" s="11" t="s">
        <v>115</v>
      </c>
      <c r="J143" s="11" t="s">
        <v>242</v>
      </c>
      <c r="K143" s="11" t="n">
        <v>1</v>
      </c>
      <c r="L143" s="15" t="n">
        <v>20253.93</v>
      </c>
      <c r="M143" s="11" t="n">
        <v>0</v>
      </c>
      <c r="N143" s="15" t="n">
        <v>20253.93</v>
      </c>
      <c r="O143" s="15" t="n">
        <v>0</v>
      </c>
      <c r="P143" s="15" t="n">
        <v>20253.93</v>
      </c>
      <c r="Q143" s="15" t="n">
        <v>0</v>
      </c>
      <c r="R143" s="11" t="n">
        <v>0</v>
      </c>
      <c r="S143" s="15" t="n">
        <f aca="false">P143-Q143</f>
        <v>20253.93</v>
      </c>
      <c r="T143" s="11" t="n">
        <f aca="false">IF(OR(J143="Completed",J143="Returned"),1,0)</f>
        <v>1</v>
      </c>
    </row>
    <row r="144" customFormat="false" ht="15" hidden="false" customHeight="false" outlineLevel="0" collapsed="false">
      <c r="A144" s="11" t="s">
        <v>978</v>
      </c>
      <c r="B144" s="11" t="s">
        <v>558</v>
      </c>
      <c r="C144" s="24" t="n">
        <v>45520</v>
      </c>
      <c r="D144" s="11" t="s">
        <v>39</v>
      </c>
      <c r="E144" s="11" t="s">
        <v>72</v>
      </c>
      <c r="F144" s="11" t="s">
        <v>74</v>
      </c>
      <c r="G144" s="11" t="s">
        <v>150</v>
      </c>
      <c r="H144" s="11" t="s">
        <v>22</v>
      </c>
      <c r="I144" s="11" t="s">
        <v>115</v>
      </c>
      <c r="J144" s="11" t="s">
        <v>242</v>
      </c>
      <c r="K144" s="11" t="n">
        <v>5</v>
      </c>
      <c r="L144" s="15" t="n">
        <v>21978.46</v>
      </c>
      <c r="M144" s="11" t="n">
        <v>0</v>
      </c>
      <c r="N144" s="15" t="n">
        <v>109892.3</v>
      </c>
      <c r="O144" s="15" t="n">
        <v>0</v>
      </c>
      <c r="P144" s="15" t="n">
        <v>109892.3</v>
      </c>
      <c r="Q144" s="15" t="n">
        <v>0</v>
      </c>
      <c r="R144" s="11" t="n">
        <v>0</v>
      </c>
      <c r="S144" s="15" t="n">
        <f aca="false">P144-Q144</f>
        <v>109892.3</v>
      </c>
      <c r="T144" s="11" t="n">
        <f aca="false">IF(OR(J144="Completed",J144="Returned"),1,0)</f>
        <v>1</v>
      </c>
    </row>
    <row r="145" customFormat="false" ht="15" hidden="false" customHeight="false" outlineLevel="0" collapsed="false">
      <c r="A145" s="11" t="s">
        <v>979</v>
      </c>
      <c r="B145" s="11" t="s">
        <v>494</v>
      </c>
      <c r="C145" s="24" t="n">
        <v>45992</v>
      </c>
      <c r="D145" s="11" t="s">
        <v>54</v>
      </c>
      <c r="E145" s="11" t="s">
        <v>980</v>
      </c>
      <c r="F145" s="11" t="s">
        <v>70</v>
      </c>
      <c r="G145" s="11" t="s">
        <v>981</v>
      </c>
      <c r="H145" s="11" t="s">
        <v>21</v>
      </c>
      <c r="I145" s="11" t="s">
        <v>115</v>
      </c>
      <c r="J145" s="11" t="s">
        <v>269</v>
      </c>
      <c r="K145" s="11" t="n">
        <v>1</v>
      </c>
      <c r="L145" s="15" t="n">
        <v>19552.29</v>
      </c>
      <c r="M145" s="11" t="n">
        <v>10</v>
      </c>
      <c r="N145" s="15" t="n">
        <v>19552.29</v>
      </c>
      <c r="O145" s="15" t="n">
        <v>1955.23</v>
      </c>
      <c r="P145" s="15" t="n">
        <v>17597.06</v>
      </c>
      <c r="Q145" s="15" t="n">
        <v>0</v>
      </c>
      <c r="R145" s="11" t="n">
        <v>0</v>
      </c>
      <c r="S145" s="15" t="n">
        <f aca="false">P145-Q145</f>
        <v>17597.06</v>
      </c>
      <c r="T145" s="11" t="n">
        <f aca="false">IF(OR(J145="Completed",J145="Returned"),1,0)</f>
        <v>1</v>
      </c>
    </row>
    <row r="146" customFormat="false" ht="15" hidden="false" customHeight="false" outlineLevel="0" collapsed="false">
      <c r="A146" s="11" t="s">
        <v>982</v>
      </c>
      <c r="B146" s="11" t="s">
        <v>494</v>
      </c>
      <c r="C146" s="24" t="n">
        <v>45992</v>
      </c>
      <c r="D146" s="11" t="s">
        <v>54</v>
      </c>
      <c r="E146" s="11" t="s">
        <v>980</v>
      </c>
      <c r="F146" s="11" t="s">
        <v>70</v>
      </c>
      <c r="G146" s="11" t="s">
        <v>139</v>
      </c>
      <c r="H146" s="11" t="s">
        <v>24</v>
      </c>
      <c r="I146" s="11" t="s">
        <v>115</v>
      </c>
      <c r="J146" s="11" t="s">
        <v>269</v>
      </c>
      <c r="K146" s="11" t="n">
        <v>5</v>
      </c>
      <c r="L146" s="15" t="n">
        <v>20278.89</v>
      </c>
      <c r="M146" s="11" t="n">
        <v>0</v>
      </c>
      <c r="N146" s="15" t="n">
        <v>101394.45</v>
      </c>
      <c r="O146" s="15" t="n">
        <v>0</v>
      </c>
      <c r="P146" s="15" t="n">
        <v>101394.45</v>
      </c>
      <c r="Q146" s="15" t="n">
        <v>0</v>
      </c>
      <c r="R146" s="11" t="n">
        <v>0</v>
      </c>
      <c r="S146" s="15" t="n">
        <f aca="false">P146-Q146</f>
        <v>101394.45</v>
      </c>
      <c r="T146" s="11" t="n">
        <f aca="false">IF(OR(J146="Completed",J146="Returned"),1,0)</f>
        <v>1</v>
      </c>
    </row>
    <row r="147" customFormat="false" ht="15" hidden="false" customHeight="false" outlineLevel="0" collapsed="false">
      <c r="A147" s="11" t="s">
        <v>983</v>
      </c>
      <c r="B147" s="11" t="s">
        <v>494</v>
      </c>
      <c r="C147" s="24" t="n">
        <v>45992</v>
      </c>
      <c r="D147" s="11" t="s">
        <v>54</v>
      </c>
      <c r="E147" s="11" t="s">
        <v>980</v>
      </c>
      <c r="F147" s="11" t="s">
        <v>70</v>
      </c>
      <c r="G147" s="11" t="s">
        <v>957</v>
      </c>
      <c r="H147" s="11" t="s">
        <v>23</v>
      </c>
      <c r="I147" s="11" t="s">
        <v>115</v>
      </c>
      <c r="J147" s="11" t="s">
        <v>269</v>
      </c>
      <c r="K147" s="11" t="n">
        <v>2</v>
      </c>
      <c r="L147" s="15" t="n">
        <v>1741.05</v>
      </c>
      <c r="M147" s="11" t="n">
        <v>5</v>
      </c>
      <c r="N147" s="15" t="n">
        <v>3482.1</v>
      </c>
      <c r="O147" s="15" t="n">
        <v>174.1</v>
      </c>
      <c r="P147" s="15" t="n">
        <v>3308</v>
      </c>
      <c r="Q147" s="15" t="n">
        <v>0</v>
      </c>
      <c r="R147" s="11" t="n">
        <v>0</v>
      </c>
      <c r="S147" s="15" t="n">
        <f aca="false">P147-Q147</f>
        <v>3308</v>
      </c>
      <c r="T147" s="11" t="n">
        <f aca="false">IF(OR(J147="Completed",J147="Returned"),1,0)</f>
        <v>1</v>
      </c>
    </row>
    <row r="148" customFormat="false" ht="15" hidden="false" customHeight="false" outlineLevel="0" collapsed="false">
      <c r="A148" s="11" t="s">
        <v>984</v>
      </c>
      <c r="B148" s="11" t="s">
        <v>494</v>
      </c>
      <c r="C148" s="24" t="n">
        <v>45992</v>
      </c>
      <c r="D148" s="11" t="s">
        <v>54</v>
      </c>
      <c r="E148" s="11" t="s">
        <v>980</v>
      </c>
      <c r="F148" s="11" t="s">
        <v>70</v>
      </c>
      <c r="G148" s="11" t="s">
        <v>970</v>
      </c>
      <c r="H148" s="11" t="s">
        <v>20</v>
      </c>
      <c r="I148" s="11" t="s">
        <v>115</v>
      </c>
      <c r="J148" s="11" t="s">
        <v>269</v>
      </c>
      <c r="K148" s="11" t="n">
        <v>1</v>
      </c>
      <c r="L148" s="15" t="n">
        <v>15383.27</v>
      </c>
      <c r="M148" s="11" t="n">
        <v>0</v>
      </c>
      <c r="N148" s="15" t="n">
        <v>15383.27</v>
      </c>
      <c r="O148" s="15" t="n">
        <v>0</v>
      </c>
      <c r="P148" s="15" t="n">
        <v>15383.27</v>
      </c>
      <c r="Q148" s="15" t="n">
        <v>0</v>
      </c>
      <c r="R148" s="11" t="n">
        <v>0</v>
      </c>
      <c r="S148" s="15" t="n">
        <f aca="false">P148-Q148</f>
        <v>15383.27</v>
      </c>
      <c r="T148" s="11" t="n">
        <f aca="false">IF(OR(J148="Completed",J148="Returned"),1,0)</f>
        <v>1</v>
      </c>
    </row>
    <row r="149" customFormat="false" ht="15" hidden="false" customHeight="false" outlineLevel="0" collapsed="false">
      <c r="A149" s="11" t="s">
        <v>985</v>
      </c>
      <c r="B149" s="11" t="s">
        <v>356</v>
      </c>
      <c r="C149" s="24" t="n">
        <v>45555</v>
      </c>
      <c r="D149" s="11" t="s">
        <v>40</v>
      </c>
      <c r="E149" s="11" t="s">
        <v>951</v>
      </c>
      <c r="F149" s="11" t="s">
        <v>78</v>
      </c>
      <c r="G149" s="11" t="s">
        <v>986</v>
      </c>
      <c r="H149" s="11" t="s">
        <v>22</v>
      </c>
      <c r="I149" s="11" t="s">
        <v>114</v>
      </c>
      <c r="J149" s="11" t="s">
        <v>242</v>
      </c>
      <c r="K149" s="11" t="n">
        <v>4</v>
      </c>
      <c r="L149" s="15" t="n">
        <v>19639.31</v>
      </c>
      <c r="M149" s="11" t="n">
        <v>15</v>
      </c>
      <c r="N149" s="15" t="n">
        <v>78557.24</v>
      </c>
      <c r="O149" s="15" t="n">
        <v>11783.59</v>
      </c>
      <c r="P149" s="15" t="n">
        <v>66773.65</v>
      </c>
      <c r="Q149" s="15" t="n">
        <v>0</v>
      </c>
      <c r="R149" s="11" t="n">
        <v>0</v>
      </c>
      <c r="S149" s="15" t="n">
        <f aca="false">P149-Q149</f>
        <v>66773.65</v>
      </c>
      <c r="T149" s="11" t="n">
        <f aca="false">IF(OR(J149="Completed",J149="Returned"),1,0)</f>
        <v>1</v>
      </c>
    </row>
    <row r="150" customFormat="false" ht="15" hidden="false" customHeight="false" outlineLevel="0" collapsed="false">
      <c r="A150" s="11" t="s">
        <v>987</v>
      </c>
      <c r="B150" s="11" t="s">
        <v>356</v>
      </c>
      <c r="C150" s="24" t="n">
        <v>45555</v>
      </c>
      <c r="D150" s="11" t="s">
        <v>40</v>
      </c>
      <c r="E150" s="11" t="s">
        <v>951</v>
      </c>
      <c r="F150" s="11" t="s">
        <v>78</v>
      </c>
      <c r="G150" s="11" t="s">
        <v>615</v>
      </c>
      <c r="H150" s="11" t="s">
        <v>23</v>
      </c>
      <c r="I150" s="11" t="s">
        <v>114</v>
      </c>
      <c r="J150" s="11" t="s">
        <v>242</v>
      </c>
      <c r="K150" s="11" t="n">
        <v>4</v>
      </c>
      <c r="L150" s="15" t="n">
        <v>2863.09</v>
      </c>
      <c r="M150" s="11" t="n">
        <v>0</v>
      </c>
      <c r="N150" s="15" t="n">
        <v>11452.36</v>
      </c>
      <c r="O150" s="15" t="n">
        <v>0</v>
      </c>
      <c r="P150" s="15" t="n">
        <v>11452.36</v>
      </c>
      <c r="Q150" s="15" t="n">
        <v>0</v>
      </c>
      <c r="R150" s="11" t="n">
        <v>0</v>
      </c>
      <c r="S150" s="15" t="n">
        <f aca="false">P150-Q150</f>
        <v>11452.36</v>
      </c>
      <c r="T150" s="11" t="n">
        <f aca="false">IF(OR(J150="Completed",J150="Returned"),1,0)</f>
        <v>1</v>
      </c>
    </row>
    <row r="151" customFormat="false" ht="15" hidden="false" customHeight="false" outlineLevel="0" collapsed="false">
      <c r="A151" s="11" t="s">
        <v>988</v>
      </c>
      <c r="B151" s="11" t="s">
        <v>356</v>
      </c>
      <c r="C151" s="24" t="n">
        <v>45555</v>
      </c>
      <c r="D151" s="11" t="s">
        <v>40</v>
      </c>
      <c r="E151" s="11" t="s">
        <v>951</v>
      </c>
      <c r="F151" s="11" t="s">
        <v>78</v>
      </c>
      <c r="G151" s="11" t="s">
        <v>152</v>
      </c>
      <c r="H151" s="11" t="s">
        <v>23</v>
      </c>
      <c r="I151" s="11" t="s">
        <v>114</v>
      </c>
      <c r="J151" s="11" t="s">
        <v>242</v>
      </c>
      <c r="K151" s="11" t="n">
        <v>3</v>
      </c>
      <c r="L151" s="15" t="n">
        <v>9953.59</v>
      </c>
      <c r="M151" s="11" t="n">
        <v>20</v>
      </c>
      <c r="N151" s="15" t="n">
        <v>29860.77</v>
      </c>
      <c r="O151" s="15" t="n">
        <v>5972.15</v>
      </c>
      <c r="P151" s="15" t="n">
        <v>23888.62</v>
      </c>
      <c r="Q151" s="15" t="n">
        <v>0</v>
      </c>
      <c r="R151" s="11" t="n">
        <v>0</v>
      </c>
      <c r="S151" s="15" t="n">
        <f aca="false">P151-Q151</f>
        <v>23888.62</v>
      </c>
      <c r="T151" s="11" t="n">
        <f aca="false">IF(OR(J151="Completed",J151="Returned"),1,0)</f>
        <v>1</v>
      </c>
    </row>
    <row r="152" customFormat="false" ht="15" hidden="false" customHeight="false" outlineLevel="0" collapsed="false">
      <c r="A152" s="11" t="s">
        <v>989</v>
      </c>
      <c r="B152" s="11" t="s">
        <v>500</v>
      </c>
      <c r="C152" s="24" t="n">
        <v>45830</v>
      </c>
      <c r="D152" s="11" t="s">
        <v>49</v>
      </c>
      <c r="E152" s="11" t="s">
        <v>990</v>
      </c>
      <c r="F152" s="11" t="s">
        <v>70</v>
      </c>
      <c r="G152" s="11" t="s">
        <v>156</v>
      </c>
      <c r="H152" s="11" t="s">
        <v>23</v>
      </c>
      <c r="I152" s="11" t="s">
        <v>114</v>
      </c>
      <c r="J152" s="11" t="s">
        <v>242</v>
      </c>
      <c r="K152" s="11" t="n">
        <v>3</v>
      </c>
      <c r="L152" s="15" t="n">
        <v>11992.92</v>
      </c>
      <c r="M152" s="11" t="n">
        <v>15</v>
      </c>
      <c r="N152" s="15" t="n">
        <v>35978.76</v>
      </c>
      <c r="O152" s="15" t="n">
        <v>5396.81</v>
      </c>
      <c r="P152" s="15" t="n">
        <v>30581.95</v>
      </c>
      <c r="Q152" s="15" t="n">
        <v>0</v>
      </c>
      <c r="R152" s="11" t="n">
        <v>0</v>
      </c>
      <c r="S152" s="15" t="n">
        <f aca="false">P152-Q152</f>
        <v>30581.95</v>
      </c>
      <c r="T152" s="11" t="n">
        <f aca="false">IF(OR(J152="Completed",J152="Returned"),1,0)</f>
        <v>1</v>
      </c>
    </row>
    <row r="153" customFormat="false" ht="15" hidden="false" customHeight="false" outlineLevel="0" collapsed="false">
      <c r="A153" s="11" t="s">
        <v>991</v>
      </c>
      <c r="B153" s="11" t="s">
        <v>333</v>
      </c>
      <c r="C153" s="24" t="n">
        <v>45744</v>
      </c>
      <c r="D153" s="11" t="s">
        <v>46</v>
      </c>
      <c r="E153" s="11" t="s">
        <v>905</v>
      </c>
      <c r="F153" s="11" t="s">
        <v>78</v>
      </c>
      <c r="G153" s="11" t="s">
        <v>970</v>
      </c>
      <c r="H153" s="11" t="s">
        <v>20</v>
      </c>
      <c r="I153" s="11" t="s">
        <v>114</v>
      </c>
      <c r="J153" s="11" t="s">
        <v>242</v>
      </c>
      <c r="K153" s="11" t="n">
        <v>3</v>
      </c>
      <c r="L153" s="15" t="n">
        <v>15383.27</v>
      </c>
      <c r="M153" s="11" t="n">
        <v>20</v>
      </c>
      <c r="N153" s="15" t="n">
        <v>46149.81</v>
      </c>
      <c r="O153" s="15" t="n">
        <v>9229.96</v>
      </c>
      <c r="P153" s="15" t="n">
        <v>36919.85</v>
      </c>
      <c r="Q153" s="15" t="n">
        <v>0</v>
      </c>
      <c r="R153" s="11" t="n">
        <v>0</v>
      </c>
      <c r="S153" s="15" t="n">
        <f aca="false">P153-Q153</f>
        <v>36919.85</v>
      </c>
      <c r="T153" s="11" t="n">
        <f aca="false">IF(OR(J153="Completed",J153="Returned"),1,0)</f>
        <v>1</v>
      </c>
    </row>
    <row r="154" customFormat="false" ht="15" hidden="false" customHeight="false" outlineLevel="0" collapsed="false">
      <c r="A154" s="11" t="s">
        <v>992</v>
      </c>
      <c r="B154" s="11" t="s">
        <v>378</v>
      </c>
      <c r="C154" s="24" t="n">
        <v>45863</v>
      </c>
      <c r="D154" s="11" t="s">
        <v>50</v>
      </c>
      <c r="E154" s="11" t="s">
        <v>993</v>
      </c>
      <c r="F154" s="11" t="s">
        <v>74</v>
      </c>
      <c r="G154" s="11" t="s">
        <v>827</v>
      </c>
      <c r="H154" s="11" t="s">
        <v>23</v>
      </c>
      <c r="I154" s="11" t="s">
        <v>115</v>
      </c>
      <c r="J154" s="11" t="s">
        <v>242</v>
      </c>
      <c r="K154" s="11" t="n">
        <v>3</v>
      </c>
      <c r="L154" s="15" t="n">
        <v>7855.79</v>
      </c>
      <c r="M154" s="11" t="n">
        <v>20</v>
      </c>
      <c r="N154" s="15" t="n">
        <v>23567.37</v>
      </c>
      <c r="O154" s="15" t="n">
        <v>4713.47</v>
      </c>
      <c r="P154" s="15" t="n">
        <v>18853.9</v>
      </c>
      <c r="Q154" s="15" t="n">
        <v>17236.27</v>
      </c>
      <c r="R154" s="11" t="n">
        <v>3</v>
      </c>
      <c r="S154" s="15" t="n">
        <f aca="false">P154-Q154</f>
        <v>1617.63</v>
      </c>
      <c r="T154" s="11" t="n">
        <f aca="false">IF(OR(J154="Completed",J154="Returned"),1,0)</f>
        <v>1</v>
      </c>
    </row>
    <row r="155" customFormat="false" ht="15" hidden="false" customHeight="false" outlineLevel="0" collapsed="false">
      <c r="A155" s="11" t="s">
        <v>994</v>
      </c>
      <c r="B155" s="11" t="s">
        <v>378</v>
      </c>
      <c r="C155" s="24" t="n">
        <v>45863</v>
      </c>
      <c r="D155" s="11" t="s">
        <v>50</v>
      </c>
      <c r="E155" s="11" t="s">
        <v>993</v>
      </c>
      <c r="F155" s="11" t="s">
        <v>74</v>
      </c>
      <c r="G155" s="11" t="s">
        <v>995</v>
      </c>
      <c r="H155" s="11" t="s">
        <v>24</v>
      </c>
      <c r="I155" s="11" t="s">
        <v>115</v>
      </c>
      <c r="J155" s="11" t="s">
        <v>242</v>
      </c>
      <c r="K155" s="11" t="n">
        <v>3</v>
      </c>
      <c r="L155" s="15" t="n">
        <v>11865.75</v>
      </c>
      <c r="M155" s="11" t="n">
        <v>0</v>
      </c>
      <c r="N155" s="15" t="n">
        <v>35597.25</v>
      </c>
      <c r="O155" s="15" t="n">
        <v>0</v>
      </c>
      <c r="P155" s="15" t="n">
        <v>35597.25</v>
      </c>
      <c r="Q155" s="15" t="n">
        <v>0</v>
      </c>
      <c r="R155" s="11" t="n">
        <v>0</v>
      </c>
      <c r="S155" s="15" t="n">
        <f aca="false">P155-Q155</f>
        <v>35597.25</v>
      </c>
      <c r="T155" s="11" t="n">
        <f aca="false">IF(OR(J155="Completed",J155="Returned"),1,0)</f>
        <v>1</v>
      </c>
    </row>
    <row r="156" customFormat="false" ht="15" hidden="false" customHeight="false" outlineLevel="0" collapsed="false">
      <c r="A156" s="11" t="s">
        <v>996</v>
      </c>
      <c r="B156" s="11" t="s">
        <v>477</v>
      </c>
      <c r="C156" s="24" t="n">
        <v>45379</v>
      </c>
      <c r="D156" s="11" t="s">
        <v>34</v>
      </c>
      <c r="E156" s="11" t="s">
        <v>997</v>
      </c>
      <c r="F156" s="11" t="s">
        <v>70</v>
      </c>
      <c r="G156" s="11" t="s">
        <v>156</v>
      </c>
      <c r="H156" s="11" t="s">
        <v>23</v>
      </c>
      <c r="I156" s="11" t="s">
        <v>113</v>
      </c>
      <c r="J156" s="11" t="s">
        <v>269</v>
      </c>
      <c r="K156" s="11" t="n">
        <v>5</v>
      </c>
      <c r="L156" s="15" t="n">
        <v>11992.92</v>
      </c>
      <c r="M156" s="11" t="n">
        <v>0</v>
      </c>
      <c r="N156" s="15" t="n">
        <v>59964.6</v>
      </c>
      <c r="O156" s="15" t="n">
        <v>0</v>
      </c>
      <c r="P156" s="15" t="n">
        <v>59964.6</v>
      </c>
      <c r="Q156" s="15" t="n">
        <v>0</v>
      </c>
      <c r="R156" s="11" t="n">
        <v>0</v>
      </c>
      <c r="S156" s="15" t="n">
        <f aca="false">P156-Q156</f>
        <v>59964.6</v>
      </c>
      <c r="T156" s="11" t="n">
        <f aca="false">IF(OR(J156="Completed",J156="Returned"),1,0)</f>
        <v>1</v>
      </c>
    </row>
    <row r="157" customFormat="false" ht="15" hidden="false" customHeight="false" outlineLevel="0" collapsed="false">
      <c r="A157" s="11" t="s">
        <v>998</v>
      </c>
      <c r="B157" s="11" t="s">
        <v>462</v>
      </c>
      <c r="C157" s="24" t="n">
        <v>45334</v>
      </c>
      <c r="D157" s="11" t="s">
        <v>33</v>
      </c>
      <c r="E157" s="11" t="s">
        <v>803</v>
      </c>
      <c r="F157" s="11" t="s">
        <v>25</v>
      </c>
      <c r="G157" s="11" t="s">
        <v>145</v>
      </c>
      <c r="H157" s="11" t="s">
        <v>20</v>
      </c>
      <c r="I157" s="11" t="s">
        <v>113</v>
      </c>
      <c r="J157" s="11" t="s">
        <v>269</v>
      </c>
      <c r="K157" s="11" t="n">
        <v>5</v>
      </c>
      <c r="L157" s="15" t="n">
        <v>20098.63</v>
      </c>
      <c r="M157" s="11" t="n">
        <v>20</v>
      </c>
      <c r="N157" s="15" t="n">
        <v>100493.15</v>
      </c>
      <c r="O157" s="15" t="n">
        <v>20098.63</v>
      </c>
      <c r="P157" s="15" t="n">
        <v>80394.52</v>
      </c>
      <c r="Q157" s="15" t="n">
        <v>0</v>
      </c>
      <c r="R157" s="11" t="n">
        <v>0</v>
      </c>
      <c r="S157" s="15" t="n">
        <f aca="false">P157-Q157</f>
        <v>80394.52</v>
      </c>
      <c r="T157" s="11" t="n">
        <f aca="false">IF(OR(J157="Completed",J157="Returned"),1,0)</f>
        <v>1</v>
      </c>
    </row>
    <row r="158" customFormat="false" ht="15" hidden="false" customHeight="false" outlineLevel="0" collapsed="false">
      <c r="A158" s="11" t="s">
        <v>999</v>
      </c>
      <c r="B158" s="11" t="s">
        <v>462</v>
      </c>
      <c r="C158" s="24" t="n">
        <v>45334</v>
      </c>
      <c r="D158" s="11" t="s">
        <v>33</v>
      </c>
      <c r="E158" s="11" t="s">
        <v>803</v>
      </c>
      <c r="F158" s="11" t="s">
        <v>25</v>
      </c>
      <c r="G158" s="11" t="s">
        <v>137</v>
      </c>
      <c r="H158" s="11" t="s">
        <v>22</v>
      </c>
      <c r="I158" s="11" t="s">
        <v>113</v>
      </c>
      <c r="J158" s="11" t="s">
        <v>269</v>
      </c>
      <c r="K158" s="11" t="n">
        <v>2</v>
      </c>
      <c r="L158" s="15" t="n">
        <v>12393.99</v>
      </c>
      <c r="M158" s="11" t="n">
        <v>0</v>
      </c>
      <c r="N158" s="15" t="n">
        <v>24787.98</v>
      </c>
      <c r="O158" s="15" t="n">
        <v>0</v>
      </c>
      <c r="P158" s="15" t="n">
        <v>24787.98</v>
      </c>
      <c r="Q158" s="15" t="n">
        <v>0</v>
      </c>
      <c r="R158" s="11" t="n">
        <v>0</v>
      </c>
      <c r="S158" s="15" t="n">
        <f aca="false">P158-Q158</f>
        <v>24787.98</v>
      </c>
      <c r="T158" s="11" t="n">
        <f aca="false">IF(OR(J158="Completed",J158="Returned"),1,0)</f>
        <v>1</v>
      </c>
    </row>
    <row r="159" customFormat="false" ht="15" hidden="false" customHeight="false" outlineLevel="0" collapsed="false">
      <c r="A159" s="11" t="s">
        <v>1000</v>
      </c>
      <c r="B159" s="11" t="s">
        <v>462</v>
      </c>
      <c r="C159" s="24" t="n">
        <v>45334</v>
      </c>
      <c r="D159" s="11" t="s">
        <v>33</v>
      </c>
      <c r="E159" s="11" t="s">
        <v>803</v>
      </c>
      <c r="F159" s="11" t="s">
        <v>25</v>
      </c>
      <c r="G159" s="11" t="s">
        <v>154</v>
      </c>
      <c r="H159" s="11" t="s">
        <v>21</v>
      </c>
      <c r="I159" s="11" t="s">
        <v>113</v>
      </c>
      <c r="J159" s="11" t="s">
        <v>269</v>
      </c>
      <c r="K159" s="11" t="n">
        <v>1</v>
      </c>
      <c r="L159" s="15" t="n">
        <v>2260.53</v>
      </c>
      <c r="M159" s="11" t="n">
        <v>20</v>
      </c>
      <c r="N159" s="15" t="n">
        <v>2260.53</v>
      </c>
      <c r="O159" s="15" t="n">
        <v>452.11</v>
      </c>
      <c r="P159" s="15" t="n">
        <v>1808.42</v>
      </c>
      <c r="Q159" s="15" t="n">
        <v>0</v>
      </c>
      <c r="R159" s="11" t="n">
        <v>0</v>
      </c>
      <c r="S159" s="15" t="n">
        <f aca="false">P159-Q159</f>
        <v>1808.42</v>
      </c>
      <c r="T159" s="11" t="n">
        <f aca="false">IF(OR(J159="Completed",J159="Returned"),1,0)</f>
        <v>1</v>
      </c>
    </row>
    <row r="160" customFormat="false" ht="15" hidden="false" customHeight="false" outlineLevel="0" collapsed="false">
      <c r="A160" s="11" t="s">
        <v>1001</v>
      </c>
      <c r="B160" s="11" t="s">
        <v>469</v>
      </c>
      <c r="C160" s="24" t="n">
        <v>45467</v>
      </c>
      <c r="D160" s="11" t="s">
        <v>37</v>
      </c>
      <c r="E160" s="11" t="s">
        <v>812</v>
      </c>
      <c r="F160" s="11" t="s">
        <v>82</v>
      </c>
      <c r="G160" s="11" t="s">
        <v>965</v>
      </c>
      <c r="H160" s="11" t="s">
        <v>23</v>
      </c>
      <c r="I160" s="11" t="s">
        <v>113</v>
      </c>
      <c r="J160" s="11" t="s">
        <v>242</v>
      </c>
      <c r="K160" s="11" t="n">
        <v>5</v>
      </c>
      <c r="L160" s="15" t="n">
        <v>4511.74</v>
      </c>
      <c r="M160" s="11" t="n">
        <v>20</v>
      </c>
      <c r="N160" s="15" t="n">
        <v>22558.7</v>
      </c>
      <c r="O160" s="15" t="n">
        <v>4511.74</v>
      </c>
      <c r="P160" s="15" t="n">
        <v>18046.96</v>
      </c>
      <c r="Q160" s="15" t="n">
        <v>0</v>
      </c>
      <c r="R160" s="11" t="n">
        <v>0</v>
      </c>
      <c r="S160" s="15" t="n">
        <f aca="false">P160-Q160</f>
        <v>18046.96</v>
      </c>
      <c r="T160" s="11" t="n">
        <f aca="false">IF(OR(J160="Completed",J160="Returned"),1,0)</f>
        <v>1</v>
      </c>
    </row>
    <row r="161" customFormat="false" ht="15" hidden="false" customHeight="false" outlineLevel="0" collapsed="false">
      <c r="A161" s="11" t="s">
        <v>1002</v>
      </c>
      <c r="B161" s="11" t="s">
        <v>469</v>
      </c>
      <c r="C161" s="24" t="n">
        <v>45467</v>
      </c>
      <c r="D161" s="11" t="s">
        <v>37</v>
      </c>
      <c r="E161" s="11" t="s">
        <v>812</v>
      </c>
      <c r="F161" s="11" t="s">
        <v>82</v>
      </c>
      <c r="G161" s="11" t="s">
        <v>162</v>
      </c>
      <c r="H161" s="11" t="s">
        <v>20</v>
      </c>
      <c r="I161" s="11" t="s">
        <v>113</v>
      </c>
      <c r="J161" s="11" t="s">
        <v>242</v>
      </c>
      <c r="K161" s="11" t="n">
        <v>1</v>
      </c>
      <c r="L161" s="15" t="n">
        <v>16084.14</v>
      </c>
      <c r="M161" s="11" t="n">
        <v>5</v>
      </c>
      <c r="N161" s="15" t="n">
        <v>16084.14</v>
      </c>
      <c r="O161" s="15" t="n">
        <v>804.21</v>
      </c>
      <c r="P161" s="15" t="n">
        <v>15279.93</v>
      </c>
      <c r="Q161" s="15" t="n">
        <v>0</v>
      </c>
      <c r="R161" s="11" t="n">
        <v>0</v>
      </c>
      <c r="S161" s="15" t="n">
        <f aca="false">P161-Q161</f>
        <v>15279.93</v>
      </c>
      <c r="T161" s="11" t="n">
        <f aca="false">IF(OR(J161="Completed",J161="Returned"),1,0)</f>
        <v>1</v>
      </c>
    </row>
    <row r="162" customFormat="false" ht="15" hidden="false" customHeight="false" outlineLevel="0" collapsed="false">
      <c r="A162" s="11" t="s">
        <v>1003</v>
      </c>
      <c r="B162" s="11" t="s">
        <v>469</v>
      </c>
      <c r="C162" s="24" t="n">
        <v>45467</v>
      </c>
      <c r="D162" s="11" t="s">
        <v>37</v>
      </c>
      <c r="E162" s="11" t="s">
        <v>812</v>
      </c>
      <c r="F162" s="11" t="s">
        <v>82</v>
      </c>
      <c r="G162" s="11" t="s">
        <v>939</v>
      </c>
      <c r="H162" s="11" t="s">
        <v>21</v>
      </c>
      <c r="I162" s="11" t="s">
        <v>113</v>
      </c>
      <c r="J162" s="11" t="s">
        <v>242</v>
      </c>
      <c r="K162" s="11" t="n">
        <v>5</v>
      </c>
      <c r="L162" s="15" t="n">
        <v>17637.28</v>
      </c>
      <c r="M162" s="11" t="n">
        <v>15</v>
      </c>
      <c r="N162" s="15" t="n">
        <v>88186.4</v>
      </c>
      <c r="O162" s="15" t="n">
        <v>13227.96</v>
      </c>
      <c r="P162" s="15" t="n">
        <v>74958.44</v>
      </c>
      <c r="Q162" s="15" t="n">
        <v>0</v>
      </c>
      <c r="R162" s="11" t="n">
        <v>0</v>
      </c>
      <c r="S162" s="15" t="n">
        <f aca="false">P162-Q162</f>
        <v>74958.44</v>
      </c>
      <c r="T162" s="11" t="n">
        <f aca="false">IF(OR(J162="Completed",J162="Returned"),1,0)</f>
        <v>1</v>
      </c>
    </row>
    <row r="163" customFormat="false" ht="15" hidden="false" customHeight="false" outlineLevel="0" collapsed="false">
      <c r="A163" s="11" t="s">
        <v>1004</v>
      </c>
      <c r="B163" s="11" t="s">
        <v>254</v>
      </c>
      <c r="C163" s="24" t="n">
        <v>45874</v>
      </c>
      <c r="D163" s="11" t="s">
        <v>51</v>
      </c>
      <c r="E163" s="11" t="s">
        <v>84</v>
      </c>
      <c r="F163" s="11" t="s">
        <v>78</v>
      </c>
      <c r="G163" s="11" t="s">
        <v>150</v>
      </c>
      <c r="H163" s="11" t="s">
        <v>22</v>
      </c>
      <c r="I163" s="11" t="s">
        <v>113</v>
      </c>
      <c r="J163" s="11" t="s">
        <v>242</v>
      </c>
      <c r="K163" s="11" t="n">
        <v>5</v>
      </c>
      <c r="L163" s="15" t="n">
        <v>21978.46</v>
      </c>
      <c r="M163" s="11" t="n">
        <v>5</v>
      </c>
      <c r="N163" s="15" t="n">
        <v>109892.3</v>
      </c>
      <c r="O163" s="15" t="n">
        <v>5494.62</v>
      </c>
      <c r="P163" s="15" t="n">
        <v>104397.68</v>
      </c>
      <c r="Q163" s="15" t="n">
        <v>0</v>
      </c>
      <c r="R163" s="11" t="n">
        <v>0</v>
      </c>
      <c r="S163" s="15" t="n">
        <f aca="false">P163-Q163</f>
        <v>104397.68</v>
      </c>
      <c r="T163" s="11" t="n">
        <f aca="false">IF(OR(J163="Completed",J163="Returned"),1,0)</f>
        <v>1</v>
      </c>
    </row>
    <row r="164" customFormat="false" ht="15" hidden="false" customHeight="false" outlineLevel="0" collapsed="false">
      <c r="A164" s="11" t="s">
        <v>1005</v>
      </c>
      <c r="B164" s="11" t="s">
        <v>579</v>
      </c>
      <c r="C164" s="24" t="n">
        <v>45588</v>
      </c>
      <c r="D164" s="11" t="s">
        <v>41</v>
      </c>
      <c r="E164" s="11" t="s">
        <v>1006</v>
      </c>
      <c r="F164" s="11" t="s">
        <v>78</v>
      </c>
      <c r="G164" s="11" t="s">
        <v>626</v>
      </c>
      <c r="H164" s="11" t="s">
        <v>24</v>
      </c>
      <c r="I164" s="11" t="s">
        <v>115</v>
      </c>
      <c r="J164" s="11" t="s">
        <v>269</v>
      </c>
      <c r="K164" s="11" t="n">
        <v>1</v>
      </c>
      <c r="L164" s="15" t="n">
        <v>11932.31</v>
      </c>
      <c r="M164" s="11" t="n">
        <v>0</v>
      </c>
      <c r="N164" s="15" t="n">
        <v>11932.31</v>
      </c>
      <c r="O164" s="15" t="n">
        <v>0</v>
      </c>
      <c r="P164" s="15" t="n">
        <v>11932.31</v>
      </c>
      <c r="Q164" s="15" t="n">
        <v>0</v>
      </c>
      <c r="R164" s="11" t="n">
        <v>0</v>
      </c>
      <c r="S164" s="15" t="n">
        <f aca="false">P164-Q164</f>
        <v>11932.31</v>
      </c>
      <c r="T164" s="11" t="n">
        <f aca="false">IF(OR(J164="Completed",J164="Returned"),1,0)</f>
        <v>1</v>
      </c>
    </row>
    <row r="165" customFormat="false" ht="15" hidden="false" customHeight="false" outlineLevel="0" collapsed="false">
      <c r="A165" s="11" t="s">
        <v>1007</v>
      </c>
      <c r="B165" s="11" t="s">
        <v>579</v>
      </c>
      <c r="C165" s="24" t="n">
        <v>45588</v>
      </c>
      <c r="D165" s="11" t="s">
        <v>41</v>
      </c>
      <c r="E165" s="11" t="s">
        <v>1006</v>
      </c>
      <c r="F165" s="11" t="s">
        <v>78</v>
      </c>
      <c r="G165" s="11" t="s">
        <v>158</v>
      </c>
      <c r="H165" s="11" t="s">
        <v>22</v>
      </c>
      <c r="I165" s="11" t="s">
        <v>115</v>
      </c>
      <c r="J165" s="11" t="s">
        <v>269</v>
      </c>
      <c r="K165" s="11" t="n">
        <v>4</v>
      </c>
      <c r="L165" s="15" t="n">
        <v>5471.28</v>
      </c>
      <c r="M165" s="11" t="n">
        <v>0</v>
      </c>
      <c r="N165" s="15" t="n">
        <v>21885.12</v>
      </c>
      <c r="O165" s="15" t="n">
        <v>0</v>
      </c>
      <c r="P165" s="15" t="n">
        <v>21885.12</v>
      </c>
      <c r="Q165" s="15" t="n">
        <v>0</v>
      </c>
      <c r="R165" s="11" t="n">
        <v>0</v>
      </c>
      <c r="S165" s="15" t="n">
        <f aca="false">P165-Q165</f>
        <v>21885.12</v>
      </c>
      <c r="T165" s="11" t="n">
        <f aca="false">IF(OR(J165="Completed",J165="Returned"),1,0)</f>
        <v>1</v>
      </c>
    </row>
    <row r="166" customFormat="false" ht="15" hidden="false" customHeight="false" outlineLevel="0" collapsed="false">
      <c r="A166" s="11" t="s">
        <v>1008</v>
      </c>
      <c r="B166" s="11" t="s">
        <v>579</v>
      </c>
      <c r="C166" s="24" t="n">
        <v>45588</v>
      </c>
      <c r="D166" s="11" t="s">
        <v>41</v>
      </c>
      <c r="E166" s="11" t="s">
        <v>1006</v>
      </c>
      <c r="F166" s="11" t="s">
        <v>78</v>
      </c>
      <c r="G166" s="11" t="s">
        <v>613</v>
      </c>
      <c r="H166" s="11" t="s">
        <v>23</v>
      </c>
      <c r="I166" s="11" t="s">
        <v>115</v>
      </c>
      <c r="J166" s="11" t="s">
        <v>269</v>
      </c>
      <c r="K166" s="11" t="n">
        <v>1</v>
      </c>
      <c r="L166" s="15" t="n">
        <v>7218.53</v>
      </c>
      <c r="M166" s="11" t="n">
        <v>0</v>
      </c>
      <c r="N166" s="15" t="n">
        <v>7218.53</v>
      </c>
      <c r="O166" s="15" t="n">
        <v>0</v>
      </c>
      <c r="P166" s="15" t="n">
        <v>7218.53</v>
      </c>
      <c r="Q166" s="15" t="n">
        <v>0</v>
      </c>
      <c r="R166" s="11" t="n">
        <v>0</v>
      </c>
      <c r="S166" s="15" t="n">
        <f aca="false">P166-Q166</f>
        <v>7218.53</v>
      </c>
      <c r="T166" s="11" t="n">
        <f aca="false">IF(OR(J166="Completed",J166="Returned"),1,0)</f>
        <v>1</v>
      </c>
    </row>
    <row r="167" customFormat="false" ht="15" hidden="false" customHeight="false" outlineLevel="0" collapsed="false">
      <c r="A167" s="11" t="s">
        <v>1009</v>
      </c>
      <c r="B167" s="11" t="s">
        <v>579</v>
      </c>
      <c r="C167" s="24" t="n">
        <v>45588</v>
      </c>
      <c r="D167" s="11" t="s">
        <v>41</v>
      </c>
      <c r="E167" s="11" t="s">
        <v>1006</v>
      </c>
      <c r="F167" s="11" t="s">
        <v>78</v>
      </c>
      <c r="G167" s="11" t="s">
        <v>148</v>
      </c>
      <c r="H167" s="11" t="s">
        <v>21</v>
      </c>
      <c r="I167" s="11" t="s">
        <v>115</v>
      </c>
      <c r="J167" s="11" t="s">
        <v>269</v>
      </c>
      <c r="K167" s="11" t="n">
        <v>2</v>
      </c>
      <c r="L167" s="15" t="n">
        <v>11434.02</v>
      </c>
      <c r="M167" s="11" t="n">
        <v>10</v>
      </c>
      <c r="N167" s="15" t="n">
        <v>22868.04</v>
      </c>
      <c r="O167" s="15" t="n">
        <v>2286.8</v>
      </c>
      <c r="P167" s="15" t="n">
        <v>20581.24</v>
      </c>
      <c r="Q167" s="15" t="n">
        <v>0</v>
      </c>
      <c r="R167" s="11" t="n">
        <v>0</v>
      </c>
      <c r="S167" s="15" t="n">
        <f aca="false">P167-Q167</f>
        <v>20581.24</v>
      </c>
      <c r="T167" s="11" t="n">
        <f aca="false">IF(OR(J167="Completed",J167="Returned"),1,0)</f>
        <v>1</v>
      </c>
    </row>
    <row r="168" customFormat="false" ht="15" hidden="false" customHeight="false" outlineLevel="0" collapsed="false">
      <c r="A168" s="11" t="s">
        <v>1010</v>
      </c>
      <c r="B168" s="11" t="s">
        <v>434</v>
      </c>
      <c r="C168" s="24" t="n">
        <v>45832</v>
      </c>
      <c r="D168" s="11" t="s">
        <v>49</v>
      </c>
      <c r="E168" s="11" t="s">
        <v>819</v>
      </c>
      <c r="F168" s="11" t="s">
        <v>82</v>
      </c>
      <c r="G168" s="11" t="s">
        <v>641</v>
      </c>
      <c r="H168" s="11" t="s">
        <v>24</v>
      </c>
      <c r="I168" s="11" t="s">
        <v>115</v>
      </c>
      <c r="J168" s="11" t="s">
        <v>250</v>
      </c>
      <c r="K168" s="11" t="n">
        <v>5</v>
      </c>
      <c r="L168" s="15" t="n">
        <v>7313.65</v>
      </c>
      <c r="M168" s="11" t="n">
        <v>0</v>
      </c>
      <c r="N168" s="15" t="n">
        <v>36568.25</v>
      </c>
      <c r="O168" s="15" t="n">
        <v>0</v>
      </c>
      <c r="P168" s="15" t="n">
        <v>36568.25</v>
      </c>
      <c r="Q168" s="15" t="n">
        <v>0</v>
      </c>
      <c r="R168" s="11" t="n">
        <v>0</v>
      </c>
      <c r="S168" s="15" t="n">
        <f aca="false">P168-Q168</f>
        <v>36568.25</v>
      </c>
      <c r="T168" s="11" t="n">
        <f aca="false">IF(OR(J168="Completed",J168="Returned"),1,0)</f>
        <v>0</v>
      </c>
    </row>
    <row r="169" customFormat="false" ht="15" hidden="false" customHeight="false" outlineLevel="0" collapsed="false">
      <c r="A169" s="11" t="s">
        <v>1011</v>
      </c>
      <c r="B169" s="11" t="s">
        <v>310</v>
      </c>
      <c r="C169" s="24" t="n">
        <v>45354</v>
      </c>
      <c r="D169" s="11" t="s">
        <v>34</v>
      </c>
      <c r="E169" s="11" t="s">
        <v>1012</v>
      </c>
      <c r="F169" s="11" t="s">
        <v>74</v>
      </c>
      <c r="G169" s="11" t="s">
        <v>939</v>
      </c>
      <c r="H169" s="11" t="s">
        <v>21</v>
      </c>
      <c r="I169" s="11" t="s">
        <v>113</v>
      </c>
      <c r="J169" s="11" t="s">
        <v>242</v>
      </c>
      <c r="K169" s="11" t="n">
        <v>1</v>
      </c>
      <c r="L169" s="15" t="n">
        <v>17637.28</v>
      </c>
      <c r="M169" s="11" t="n">
        <v>5</v>
      </c>
      <c r="N169" s="15" t="n">
        <v>17637.28</v>
      </c>
      <c r="O169" s="15" t="n">
        <v>881.86</v>
      </c>
      <c r="P169" s="15" t="n">
        <v>16755.42</v>
      </c>
      <c r="Q169" s="15" t="n">
        <v>0</v>
      </c>
      <c r="R169" s="11" t="n">
        <v>0</v>
      </c>
      <c r="S169" s="15" t="n">
        <f aca="false">P169-Q169</f>
        <v>16755.42</v>
      </c>
      <c r="T169" s="11" t="n">
        <f aca="false">IF(OR(J169="Completed",J169="Returned"),1,0)</f>
        <v>1</v>
      </c>
    </row>
    <row r="170" customFormat="false" ht="15" hidden="false" customHeight="false" outlineLevel="0" collapsed="false">
      <c r="A170" s="11" t="s">
        <v>1013</v>
      </c>
      <c r="B170" s="11" t="s">
        <v>310</v>
      </c>
      <c r="C170" s="24" t="n">
        <v>45354</v>
      </c>
      <c r="D170" s="11" t="s">
        <v>34</v>
      </c>
      <c r="E170" s="11" t="s">
        <v>1012</v>
      </c>
      <c r="F170" s="11" t="s">
        <v>74</v>
      </c>
      <c r="G170" s="11" t="s">
        <v>154</v>
      </c>
      <c r="H170" s="11" t="s">
        <v>21</v>
      </c>
      <c r="I170" s="11" t="s">
        <v>113</v>
      </c>
      <c r="J170" s="11" t="s">
        <v>242</v>
      </c>
      <c r="K170" s="11" t="n">
        <v>3</v>
      </c>
      <c r="L170" s="15" t="n">
        <v>2260.53</v>
      </c>
      <c r="M170" s="11" t="n">
        <v>20</v>
      </c>
      <c r="N170" s="15" t="n">
        <v>6781.59</v>
      </c>
      <c r="O170" s="15" t="n">
        <v>1356.32</v>
      </c>
      <c r="P170" s="15" t="n">
        <v>5425.27</v>
      </c>
      <c r="Q170" s="15" t="n">
        <v>0</v>
      </c>
      <c r="R170" s="11" t="n">
        <v>0</v>
      </c>
      <c r="S170" s="15" t="n">
        <f aca="false">P170-Q170</f>
        <v>5425.27</v>
      </c>
      <c r="T170" s="11" t="n">
        <f aca="false">IF(OR(J170="Completed",J170="Returned"),1,0)</f>
        <v>1</v>
      </c>
    </row>
    <row r="171" customFormat="false" ht="15" hidden="false" customHeight="false" outlineLevel="0" collapsed="false">
      <c r="A171" s="11" t="s">
        <v>1014</v>
      </c>
      <c r="B171" s="11" t="s">
        <v>310</v>
      </c>
      <c r="C171" s="24" t="n">
        <v>45354</v>
      </c>
      <c r="D171" s="11" t="s">
        <v>34</v>
      </c>
      <c r="E171" s="11" t="s">
        <v>1012</v>
      </c>
      <c r="F171" s="11" t="s">
        <v>74</v>
      </c>
      <c r="G171" s="11" t="s">
        <v>631</v>
      </c>
      <c r="H171" s="11" t="s">
        <v>24</v>
      </c>
      <c r="I171" s="11" t="s">
        <v>113</v>
      </c>
      <c r="J171" s="11" t="s">
        <v>242</v>
      </c>
      <c r="K171" s="11" t="n">
        <v>5</v>
      </c>
      <c r="L171" s="15" t="n">
        <v>11518.86</v>
      </c>
      <c r="M171" s="11" t="n">
        <v>15</v>
      </c>
      <c r="N171" s="15" t="n">
        <v>57594.3</v>
      </c>
      <c r="O171" s="15" t="n">
        <v>8639.14</v>
      </c>
      <c r="P171" s="15" t="n">
        <v>48955.16</v>
      </c>
      <c r="Q171" s="15" t="n">
        <v>41664.34</v>
      </c>
      <c r="R171" s="11" t="n">
        <v>5</v>
      </c>
      <c r="S171" s="15" t="n">
        <f aca="false">P171-Q171</f>
        <v>7290.82000000001</v>
      </c>
      <c r="T171" s="11" t="n">
        <f aca="false">IF(OR(J171="Completed",J171="Returned"),1,0)</f>
        <v>1</v>
      </c>
    </row>
    <row r="172" customFormat="false" ht="15" hidden="false" customHeight="false" outlineLevel="0" collapsed="false">
      <c r="A172" s="11" t="s">
        <v>1015</v>
      </c>
      <c r="B172" s="11" t="s">
        <v>329</v>
      </c>
      <c r="C172" s="24" t="n">
        <v>45705</v>
      </c>
      <c r="D172" s="11" t="s">
        <v>45</v>
      </c>
      <c r="E172" s="11" t="s">
        <v>803</v>
      </c>
      <c r="F172" s="11" t="s">
        <v>25</v>
      </c>
      <c r="G172" s="11" t="s">
        <v>158</v>
      </c>
      <c r="H172" s="11" t="s">
        <v>22</v>
      </c>
      <c r="I172" s="11" t="s">
        <v>113</v>
      </c>
      <c r="J172" s="11" t="s">
        <v>242</v>
      </c>
      <c r="K172" s="11" t="n">
        <v>2</v>
      </c>
      <c r="L172" s="15" t="n">
        <v>5471.28</v>
      </c>
      <c r="M172" s="11" t="n">
        <v>5</v>
      </c>
      <c r="N172" s="15" t="n">
        <v>10942.56</v>
      </c>
      <c r="O172" s="15" t="n">
        <v>547.13</v>
      </c>
      <c r="P172" s="15" t="n">
        <v>10395.43</v>
      </c>
      <c r="Q172" s="15" t="n">
        <v>0</v>
      </c>
      <c r="R172" s="11" t="n">
        <v>0</v>
      </c>
      <c r="S172" s="15" t="n">
        <f aca="false">P172-Q172</f>
        <v>10395.43</v>
      </c>
      <c r="T172" s="11" t="n">
        <f aca="false">IF(OR(J172="Completed",J172="Returned"),1,0)</f>
        <v>1</v>
      </c>
    </row>
    <row r="173" customFormat="false" ht="15" hidden="false" customHeight="false" outlineLevel="0" collapsed="false">
      <c r="A173" s="11" t="s">
        <v>1016</v>
      </c>
      <c r="B173" s="11" t="s">
        <v>329</v>
      </c>
      <c r="C173" s="24" t="n">
        <v>45705</v>
      </c>
      <c r="D173" s="11" t="s">
        <v>45</v>
      </c>
      <c r="E173" s="11" t="s">
        <v>803</v>
      </c>
      <c r="F173" s="11" t="s">
        <v>25</v>
      </c>
      <c r="G173" s="11" t="s">
        <v>148</v>
      </c>
      <c r="H173" s="11" t="s">
        <v>21</v>
      </c>
      <c r="I173" s="11" t="s">
        <v>113</v>
      </c>
      <c r="J173" s="11" t="s">
        <v>242</v>
      </c>
      <c r="K173" s="11" t="n">
        <v>2</v>
      </c>
      <c r="L173" s="15" t="n">
        <v>11434.02</v>
      </c>
      <c r="M173" s="11" t="n">
        <v>10</v>
      </c>
      <c r="N173" s="15" t="n">
        <v>22868.04</v>
      </c>
      <c r="O173" s="15" t="n">
        <v>2286.8</v>
      </c>
      <c r="P173" s="15" t="n">
        <v>20581.24</v>
      </c>
      <c r="Q173" s="15" t="n">
        <v>0</v>
      </c>
      <c r="R173" s="11" t="n">
        <v>0</v>
      </c>
      <c r="S173" s="15" t="n">
        <f aca="false">P173-Q173</f>
        <v>20581.24</v>
      </c>
      <c r="T173" s="11" t="n">
        <f aca="false">IF(OR(J173="Completed",J173="Returned"),1,0)</f>
        <v>1</v>
      </c>
    </row>
    <row r="174" customFormat="false" ht="15" hidden="false" customHeight="false" outlineLevel="0" collapsed="false">
      <c r="A174" s="11" t="s">
        <v>1017</v>
      </c>
      <c r="B174" s="11" t="s">
        <v>329</v>
      </c>
      <c r="C174" s="24" t="n">
        <v>45705</v>
      </c>
      <c r="D174" s="11" t="s">
        <v>45</v>
      </c>
      <c r="E174" s="11" t="s">
        <v>803</v>
      </c>
      <c r="F174" s="11" t="s">
        <v>25</v>
      </c>
      <c r="G174" s="11" t="s">
        <v>626</v>
      </c>
      <c r="H174" s="11" t="s">
        <v>24</v>
      </c>
      <c r="I174" s="11" t="s">
        <v>113</v>
      </c>
      <c r="J174" s="11" t="s">
        <v>242</v>
      </c>
      <c r="K174" s="11" t="n">
        <v>1</v>
      </c>
      <c r="L174" s="15" t="n">
        <v>11932.31</v>
      </c>
      <c r="M174" s="11" t="n">
        <v>0</v>
      </c>
      <c r="N174" s="15" t="n">
        <v>11932.31</v>
      </c>
      <c r="O174" s="15" t="n">
        <v>0</v>
      </c>
      <c r="P174" s="15" t="n">
        <v>11932.31</v>
      </c>
      <c r="Q174" s="15" t="n">
        <v>0</v>
      </c>
      <c r="R174" s="11" t="n">
        <v>0</v>
      </c>
      <c r="S174" s="15" t="n">
        <f aca="false">P174-Q174</f>
        <v>11932.31</v>
      </c>
      <c r="T174" s="11" t="n">
        <f aca="false">IF(OR(J174="Completed",J174="Returned"),1,0)</f>
        <v>1</v>
      </c>
    </row>
    <row r="175" customFormat="false" ht="15" hidden="false" customHeight="false" outlineLevel="0" collapsed="false">
      <c r="A175" s="11" t="s">
        <v>1018</v>
      </c>
      <c r="B175" s="11" t="s">
        <v>329</v>
      </c>
      <c r="C175" s="24" t="n">
        <v>45705</v>
      </c>
      <c r="D175" s="11" t="s">
        <v>45</v>
      </c>
      <c r="E175" s="11" t="s">
        <v>803</v>
      </c>
      <c r="F175" s="11" t="s">
        <v>25</v>
      </c>
      <c r="G175" s="11" t="s">
        <v>965</v>
      </c>
      <c r="H175" s="11" t="s">
        <v>23</v>
      </c>
      <c r="I175" s="11" t="s">
        <v>113</v>
      </c>
      <c r="J175" s="11" t="s">
        <v>242</v>
      </c>
      <c r="K175" s="11" t="n">
        <v>2</v>
      </c>
      <c r="L175" s="15" t="n">
        <v>4511.74</v>
      </c>
      <c r="M175" s="11" t="n">
        <v>15</v>
      </c>
      <c r="N175" s="15" t="n">
        <v>9023.48</v>
      </c>
      <c r="O175" s="15" t="n">
        <v>1353.52</v>
      </c>
      <c r="P175" s="15" t="n">
        <v>7669.96</v>
      </c>
      <c r="Q175" s="15" t="n">
        <v>0</v>
      </c>
      <c r="R175" s="11" t="n">
        <v>0</v>
      </c>
      <c r="S175" s="15" t="n">
        <f aca="false">P175-Q175</f>
        <v>7669.96</v>
      </c>
      <c r="T175" s="11" t="n">
        <f aca="false">IF(OR(J175="Completed",J175="Returned"),1,0)</f>
        <v>1</v>
      </c>
    </row>
    <row r="176" customFormat="false" ht="15" hidden="false" customHeight="false" outlineLevel="0" collapsed="false">
      <c r="A176" s="11" t="s">
        <v>1019</v>
      </c>
      <c r="B176" s="11" t="s">
        <v>315</v>
      </c>
      <c r="C176" s="24" t="n">
        <v>45610</v>
      </c>
      <c r="D176" s="11" t="s">
        <v>42</v>
      </c>
      <c r="E176" s="11" t="s">
        <v>1020</v>
      </c>
      <c r="F176" s="11" t="s">
        <v>70</v>
      </c>
      <c r="G176" s="11" t="s">
        <v>637</v>
      </c>
      <c r="H176" s="11" t="s">
        <v>21</v>
      </c>
      <c r="I176" s="11" t="s">
        <v>114</v>
      </c>
      <c r="J176" s="11" t="s">
        <v>250</v>
      </c>
      <c r="K176" s="11" t="n">
        <v>2</v>
      </c>
      <c r="L176" s="15" t="n">
        <v>3019.36</v>
      </c>
      <c r="M176" s="11" t="n">
        <v>20</v>
      </c>
      <c r="N176" s="15" t="n">
        <v>6038.72</v>
      </c>
      <c r="O176" s="15" t="n">
        <v>1207.74</v>
      </c>
      <c r="P176" s="15" t="n">
        <v>4830.98</v>
      </c>
      <c r="Q176" s="15" t="n">
        <v>0</v>
      </c>
      <c r="R176" s="11" t="n">
        <v>0</v>
      </c>
      <c r="S176" s="15" t="n">
        <f aca="false">P176-Q176</f>
        <v>4830.98</v>
      </c>
      <c r="T176" s="11" t="n">
        <f aca="false">IF(OR(J176="Completed",J176="Returned"),1,0)</f>
        <v>0</v>
      </c>
    </row>
    <row r="177" customFormat="false" ht="15" hidden="false" customHeight="false" outlineLevel="0" collapsed="false">
      <c r="A177" s="11" t="s">
        <v>1021</v>
      </c>
      <c r="B177" s="11" t="s">
        <v>315</v>
      </c>
      <c r="C177" s="24" t="n">
        <v>45610</v>
      </c>
      <c r="D177" s="11" t="s">
        <v>42</v>
      </c>
      <c r="E177" s="11" t="s">
        <v>1020</v>
      </c>
      <c r="F177" s="11" t="s">
        <v>70</v>
      </c>
      <c r="G177" s="11" t="s">
        <v>1022</v>
      </c>
      <c r="H177" s="11" t="s">
        <v>20</v>
      </c>
      <c r="I177" s="11" t="s">
        <v>114</v>
      </c>
      <c r="J177" s="11" t="s">
        <v>250</v>
      </c>
      <c r="K177" s="11" t="n">
        <v>1</v>
      </c>
      <c r="L177" s="15" t="n">
        <v>13809.86</v>
      </c>
      <c r="M177" s="11" t="n">
        <v>0</v>
      </c>
      <c r="N177" s="15" t="n">
        <v>13809.86</v>
      </c>
      <c r="O177" s="15" t="n">
        <v>0</v>
      </c>
      <c r="P177" s="15" t="n">
        <v>13809.86</v>
      </c>
      <c r="Q177" s="15" t="n">
        <v>0</v>
      </c>
      <c r="R177" s="11" t="n">
        <v>0</v>
      </c>
      <c r="S177" s="15" t="n">
        <f aca="false">P177-Q177</f>
        <v>13809.86</v>
      </c>
      <c r="T177" s="11" t="n">
        <f aca="false">IF(OR(J177="Completed",J177="Returned"),1,0)</f>
        <v>0</v>
      </c>
    </row>
    <row r="178" customFormat="false" ht="15" hidden="false" customHeight="false" outlineLevel="0" collapsed="false">
      <c r="A178" s="11" t="s">
        <v>1023</v>
      </c>
      <c r="B178" s="11" t="s">
        <v>306</v>
      </c>
      <c r="C178" s="24" t="n">
        <v>45608</v>
      </c>
      <c r="D178" s="11" t="s">
        <v>42</v>
      </c>
      <c r="E178" s="11" t="s">
        <v>1024</v>
      </c>
      <c r="F178" s="11" t="s">
        <v>74</v>
      </c>
      <c r="G178" s="11" t="s">
        <v>133</v>
      </c>
      <c r="H178" s="11" t="s">
        <v>21</v>
      </c>
      <c r="I178" s="11" t="s">
        <v>113</v>
      </c>
      <c r="J178" s="11" t="s">
        <v>242</v>
      </c>
      <c r="K178" s="11" t="n">
        <v>3</v>
      </c>
      <c r="L178" s="15" t="n">
        <v>15706.03</v>
      </c>
      <c r="M178" s="11" t="n">
        <v>0</v>
      </c>
      <c r="N178" s="15" t="n">
        <v>47118.09</v>
      </c>
      <c r="O178" s="15" t="n">
        <v>0</v>
      </c>
      <c r="P178" s="15" t="n">
        <v>47118.09</v>
      </c>
      <c r="Q178" s="15" t="n">
        <v>0</v>
      </c>
      <c r="R178" s="11" t="n">
        <v>0</v>
      </c>
      <c r="S178" s="15" t="n">
        <f aca="false">P178-Q178</f>
        <v>47118.09</v>
      </c>
      <c r="T178" s="11" t="n">
        <f aca="false">IF(OR(J178="Completed",J178="Returned"),1,0)</f>
        <v>1</v>
      </c>
    </row>
    <row r="179" customFormat="false" ht="15" hidden="false" customHeight="false" outlineLevel="0" collapsed="false">
      <c r="A179" s="11" t="s">
        <v>1025</v>
      </c>
      <c r="B179" s="11" t="s">
        <v>306</v>
      </c>
      <c r="C179" s="24" t="n">
        <v>45608</v>
      </c>
      <c r="D179" s="11" t="s">
        <v>42</v>
      </c>
      <c r="E179" s="11" t="s">
        <v>1024</v>
      </c>
      <c r="F179" s="11" t="s">
        <v>74</v>
      </c>
      <c r="G179" s="11" t="s">
        <v>617</v>
      </c>
      <c r="H179" s="11" t="s">
        <v>21</v>
      </c>
      <c r="I179" s="11" t="s">
        <v>113</v>
      </c>
      <c r="J179" s="11" t="s">
        <v>242</v>
      </c>
      <c r="K179" s="11" t="n">
        <v>4</v>
      </c>
      <c r="L179" s="15" t="n">
        <v>824.93</v>
      </c>
      <c r="M179" s="11" t="n">
        <v>15</v>
      </c>
      <c r="N179" s="15" t="n">
        <v>3299.72</v>
      </c>
      <c r="O179" s="15" t="n">
        <v>494.96</v>
      </c>
      <c r="P179" s="15" t="n">
        <v>2804.76</v>
      </c>
      <c r="Q179" s="15" t="n">
        <v>0</v>
      </c>
      <c r="R179" s="11" t="n">
        <v>0</v>
      </c>
      <c r="S179" s="15" t="n">
        <f aca="false">P179-Q179</f>
        <v>2804.76</v>
      </c>
      <c r="T179" s="11" t="n">
        <f aca="false">IF(OR(J179="Completed",J179="Returned"),1,0)</f>
        <v>1</v>
      </c>
    </row>
    <row r="180" customFormat="false" ht="15" hidden="false" customHeight="false" outlineLevel="0" collapsed="false">
      <c r="A180" s="11" t="s">
        <v>1026</v>
      </c>
      <c r="B180" s="11" t="s">
        <v>391</v>
      </c>
      <c r="C180" s="24" t="n">
        <v>45392</v>
      </c>
      <c r="D180" s="11" t="s">
        <v>35</v>
      </c>
      <c r="E180" s="11" t="s">
        <v>1027</v>
      </c>
      <c r="F180" s="11" t="s">
        <v>74</v>
      </c>
      <c r="G180" s="11" t="s">
        <v>637</v>
      </c>
      <c r="H180" s="11" t="s">
        <v>21</v>
      </c>
      <c r="I180" s="11" t="s">
        <v>115</v>
      </c>
      <c r="J180" s="11" t="s">
        <v>269</v>
      </c>
      <c r="K180" s="11" t="n">
        <v>1</v>
      </c>
      <c r="L180" s="15" t="n">
        <v>3019.36</v>
      </c>
      <c r="M180" s="11" t="n">
        <v>10</v>
      </c>
      <c r="N180" s="15" t="n">
        <v>3019.36</v>
      </c>
      <c r="O180" s="15" t="n">
        <v>301.94</v>
      </c>
      <c r="P180" s="15" t="n">
        <v>2717.42</v>
      </c>
      <c r="Q180" s="15" t="n">
        <v>0</v>
      </c>
      <c r="R180" s="11" t="n">
        <v>0</v>
      </c>
      <c r="S180" s="15" t="n">
        <f aca="false">P180-Q180</f>
        <v>2717.42</v>
      </c>
      <c r="T180" s="11" t="n">
        <f aca="false">IF(OR(J180="Completed",J180="Returned"),1,0)</f>
        <v>1</v>
      </c>
    </row>
    <row r="181" customFormat="false" ht="15" hidden="false" customHeight="false" outlineLevel="0" collapsed="false">
      <c r="A181" s="11" t="s">
        <v>1028</v>
      </c>
      <c r="B181" s="11" t="s">
        <v>391</v>
      </c>
      <c r="C181" s="24" t="n">
        <v>45392</v>
      </c>
      <c r="D181" s="11" t="s">
        <v>35</v>
      </c>
      <c r="E181" s="11" t="s">
        <v>1027</v>
      </c>
      <c r="F181" s="11" t="s">
        <v>74</v>
      </c>
      <c r="G181" s="11" t="s">
        <v>139</v>
      </c>
      <c r="H181" s="11" t="s">
        <v>24</v>
      </c>
      <c r="I181" s="11" t="s">
        <v>115</v>
      </c>
      <c r="J181" s="11" t="s">
        <v>269</v>
      </c>
      <c r="K181" s="11" t="n">
        <v>4</v>
      </c>
      <c r="L181" s="15" t="n">
        <v>20278.89</v>
      </c>
      <c r="M181" s="11" t="n">
        <v>5</v>
      </c>
      <c r="N181" s="15" t="n">
        <v>81115.56</v>
      </c>
      <c r="O181" s="15" t="n">
        <v>4055.78</v>
      </c>
      <c r="P181" s="15" t="n">
        <v>77059.78</v>
      </c>
      <c r="Q181" s="15" t="n">
        <v>0</v>
      </c>
      <c r="R181" s="11" t="n">
        <v>0</v>
      </c>
      <c r="S181" s="15" t="n">
        <f aca="false">P181-Q181</f>
        <v>77059.78</v>
      </c>
      <c r="T181" s="11" t="n">
        <f aca="false">IF(OR(J181="Completed",J181="Returned"),1,0)</f>
        <v>1</v>
      </c>
    </row>
    <row r="182" customFormat="false" ht="15" hidden="false" customHeight="false" outlineLevel="0" collapsed="false">
      <c r="A182" s="11" t="s">
        <v>1029</v>
      </c>
      <c r="B182" s="11" t="s">
        <v>457</v>
      </c>
      <c r="C182" s="24" t="n">
        <v>45921</v>
      </c>
      <c r="D182" s="11" t="s">
        <v>52</v>
      </c>
      <c r="E182" s="11" t="s">
        <v>1030</v>
      </c>
      <c r="F182" s="11" t="s">
        <v>78</v>
      </c>
      <c r="G182" s="11" t="s">
        <v>794</v>
      </c>
      <c r="H182" s="11" t="s">
        <v>23</v>
      </c>
      <c r="I182" s="11" t="s">
        <v>113</v>
      </c>
      <c r="J182" s="11" t="s">
        <v>242</v>
      </c>
      <c r="K182" s="11" t="n">
        <v>5</v>
      </c>
      <c r="L182" s="15" t="n">
        <v>20253.93</v>
      </c>
      <c r="M182" s="11" t="n">
        <v>15</v>
      </c>
      <c r="N182" s="15" t="n">
        <v>101269.65</v>
      </c>
      <c r="O182" s="15" t="n">
        <v>15190.45</v>
      </c>
      <c r="P182" s="15" t="n">
        <v>86079.2</v>
      </c>
      <c r="Q182" s="15" t="n">
        <v>0</v>
      </c>
      <c r="R182" s="11" t="n">
        <v>0</v>
      </c>
      <c r="S182" s="15" t="n">
        <f aca="false">P182-Q182</f>
        <v>86079.2</v>
      </c>
      <c r="T182" s="11" t="n">
        <f aca="false">IF(OR(J182="Completed",J182="Returned"),1,0)</f>
        <v>1</v>
      </c>
    </row>
    <row r="183" customFormat="false" ht="15" hidden="false" customHeight="false" outlineLevel="0" collapsed="false">
      <c r="A183" s="11" t="s">
        <v>1031</v>
      </c>
      <c r="B183" s="11" t="s">
        <v>457</v>
      </c>
      <c r="C183" s="24" t="n">
        <v>45921</v>
      </c>
      <c r="D183" s="11" t="s">
        <v>52</v>
      </c>
      <c r="E183" s="11" t="s">
        <v>1030</v>
      </c>
      <c r="F183" s="11" t="s">
        <v>78</v>
      </c>
      <c r="G183" s="11" t="s">
        <v>154</v>
      </c>
      <c r="H183" s="11" t="s">
        <v>21</v>
      </c>
      <c r="I183" s="11" t="s">
        <v>113</v>
      </c>
      <c r="J183" s="11" t="s">
        <v>242</v>
      </c>
      <c r="K183" s="11" t="n">
        <v>3</v>
      </c>
      <c r="L183" s="15" t="n">
        <v>2260.53</v>
      </c>
      <c r="M183" s="11" t="n">
        <v>10</v>
      </c>
      <c r="N183" s="15" t="n">
        <v>6781.59</v>
      </c>
      <c r="O183" s="15" t="n">
        <v>678.16</v>
      </c>
      <c r="P183" s="15" t="n">
        <v>6103.43</v>
      </c>
      <c r="Q183" s="15" t="n">
        <v>0</v>
      </c>
      <c r="R183" s="11" t="n">
        <v>0</v>
      </c>
      <c r="S183" s="15" t="n">
        <f aca="false">P183-Q183</f>
        <v>6103.43</v>
      </c>
      <c r="T183" s="11" t="n">
        <f aca="false">IF(OR(J183="Completed",J183="Returned"),1,0)</f>
        <v>1</v>
      </c>
    </row>
    <row r="184" customFormat="false" ht="15" hidden="false" customHeight="false" outlineLevel="0" collapsed="false">
      <c r="A184" s="11" t="s">
        <v>1032</v>
      </c>
      <c r="B184" s="11" t="s">
        <v>287</v>
      </c>
      <c r="C184" s="24" t="n">
        <v>45879</v>
      </c>
      <c r="D184" s="11" t="s">
        <v>51</v>
      </c>
      <c r="E184" s="11" t="s">
        <v>819</v>
      </c>
      <c r="F184" s="11" t="s">
        <v>82</v>
      </c>
      <c r="G184" s="11" t="s">
        <v>854</v>
      </c>
      <c r="H184" s="11" t="s">
        <v>20</v>
      </c>
      <c r="I184" s="11" t="s">
        <v>113</v>
      </c>
      <c r="J184" s="11" t="s">
        <v>250</v>
      </c>
      <c r="K184" s="11" t="n">
        <v>4</v>
      </c>
      <c r="L184" s="15" t="n">
        <v>25742.49</v>
      </c>
      <c r="M184" s="11" t="n">
        <v>5</v>
      </c>
      <c r="N184" s="15" t="n">
        <v>102969.96</v>
      </c>
      <c r="O184" s="15" t="n">
        <v>5148.5</v>
      </c>
      <c r="P184" s="15" t="n">
        <v>97821.46</v>
      </c>
      <c r="Q184" s="15" t="n">
        <v>0</v>
      </c>
      <c r="R184" s="11" t="n">
        <v>0</v>
      </c>
      <c r="S184" s="15" t="n">
        <f aca="false">P184-Q184</f>
        <v>97821.46</v>
      </c>
      <c r="T184" s="11" t="n">
        <f aca="false">IF(OR(J184="Completed",J184="Returned"),1,0)</f>
        <v>0</v>
      </c>
    </row>
    <row r="185" customFormat="false" ht="15" hidden="false" customHeight="false" outlineLevel="0" collapsed="false">
      <c r="A185" s="11" t="s">
        <v>1033</v>
      </c>
      <c r="B185" s="11" t="s">
        <v>287</v>
      </c>
      <c r="C185" s="24" t="n">
        <v>45879</v>
      </c>
      <c r="D185" s="11" t="s">
        <v>51</v>
      </c>
      <c r="E185" s="11" t="s">
        <v>819</v>
      </c>
      <c r="F185" s="11" t="s">
        <v>82</v>
      </c>
      <c r="G185" s="11" t="s">
        <v>639</v>
      </c>
      <c r="H185" s="11" t="s">
        <v>23</v>
      </c>
      <c r="I185" s="11" t="s">
        <v>113</v>
      </c>
      <c r="J185" s="11" t="s">
        <v>250</v>
      </c>
      <c r="K185" s="11" t="n">
        <v>1</v>
      </c>
      <c r="L185" s="15" t="n">
        <v>8493.72</v>
      </c>
      <c r="M185" s="11" t="n">
        <v>0</v>
      </c>
      <c r="N185" s="15" t="n">
        <v>8493.72</v>
      </c>
      <c r="O185" s="15" t="n">
        <v>0</v>
      </c>
      <c r="P185" s="15" t="n">
        <v>8493.72</v>
      </c>
      <c r="Q185" s="15" t="n">
        <v>0</v>
      </c>
      <c r="R185" s="11" t="n">
        <v>0</v>
      </c>
      <c r="S185" s="15" t="n">
        <f aca="false">P185-Q185</f>
        <v>8493.72</v>
      </c>
      <c r="T185" s="11" t="n">
        <f aca="false">IF(OR(J185="Completed",J185="Returned"),1,0)</f>
        <v>0</v>
      </c>
    </row>
    <row r="186" customFormat="false" ht="15" hidden="false" customHeight="false" outlineLevel="0" collapsed="false">
      <c r="A186" s="11" t="s">
        <v>1034</v>
      </c>
      <c r="B186" s="11" t="s">
        <v>287</v>
      </c>
      <c r="C186" s="24" t="n">
        <v>45879</v>
      </c>
      <c r="D186" s="11" t="s">
        <v>51</v>
      </c>
      <c r="E186" s="11" t="s">
        <v>819</v>
      </c>
      <c r="F186" s="11" t="s">
        <v>82</v>
      </c>
      <c r="G186" s="11" t="s">
        <v>639</v>
      </c>
      <c r="H186" s="11" t="s">
        <v>23</v>
      </c>
      <c r="I186" s="11" t="s">
        <v>113</v>
      </c>
      <c r="J186" s="11" t="s">
        <v>250</v>
      </c>
      <c r="K186" s="11" t="n">
        <v>4</v>
      </c>
      <c r="L186" s="15" t="n">
        <v>8493.72</v>
      </c>
      <c r="M186" s="11" t="n">
        <v>15</v>
      </c>
      <c r="N186" s="15" t="n">
        <v>33974.88</v>
      </c>
      <c r="O186" s="15" t="n">
        <v>5096.23</v>
      </c>
      <c r="P186" s="15" t="n">
        <v>28878.65</v>
      </c>
      <c r="Q186" s="15" t="n">
        <v>0</v>
      </c>
      <c r="R186" s="11" t="n">
        <v>0</v>
      </c>
      <c r="S186" s="15" t="n">
        <f aca="false">P186-Q186</f>
        <v>28878.65</v>
      </c>
      <c r="T186" s="11" t="n">
        <f aca="false">IF(OR(J186="Completed",J186="Returned"),1,0)</f>
        <v>0</v>
      </c>
    </row>
    <row r="187" customFormat="false" ht="15" hidden="false" customHeight="false" outlineLevel="0" collapsed="false">
      <c r="A187" s="11" t="s">
        <v>1035</v>
      </c>
      <c r="B187" s="11" t="s">
        <v>279</v>
      </c>
      <c r="C187" s="24" t="n">
        <v>45925</v>
      </c>
      <c r="D187" s="11" t="s">
        <v>52</v>
      </c>
      <c r="E187" s="11" t="s">
        <v>1036</v>
      </c>
      <c r="F187" s="11" t="s">
        <v>78</v>
      </c>
      <c r="G187" s="11" t="s">
        <v>127</v>
      </c>
      <c r="H187" s="11" t="s">
        <v>21</v>
      </c>
      <c r="I187" s="11" t="s">
        <v>114</v>
      </c>
      <c r="J187" s="11" t="s">
        <v>242</v>
      </c>
      <c r="K187" s="11" t="n">
        <v>5</v>
      </c>
      <c r="L187" s="15" t="n">
        <v>1699.2</v>
      </c>
      <c r="M187" s="11" t="n">
        <v>20</v>
      </c>
      <c r="N187" s="15" t="n">
        <v>8496</v>
      </c>
      <c r="O187" s="15" t="n">
        <v>1699.2</v>
      </c>
      <c r="P187" s="15" t="n">
        <v>6796.8</v>
      </c>
      <c r="Q187" s="15" t="n">
        <v>0</v>
      </c>
      <c r="R187" s="11" t="n">
        <v>0</v>
      </c>
      <c r="S187" s="15" t="n">
        <f aca="false">P187-Q187</f>
        <v>6796.8</v>
      </c>
      <c r="T187" s="11" t="n">
        <f aca="false">IF(OR(J187="Completed",J187="Returned"),1,0)</f>
        <v>1</v>
      </c>
    </row>
    <row r="188" customFormat="false" ht="15" hidden="false" customHeight="false" outlineLevel="0" collapsed="false">
      <c r="A188" s="11" t="s">
        <v>1037</v>
      </c>
      <c r="B188" s="11" t="s">
        <v>279</v>
      </c>
      <c r="C188" s="24" t="n">
        <v>45925</v>
      </c>
      <c r="D188" s="11" t="s">
        <v>52</v>
      </c>
      <c r="E188" s="11" t="s">
        <v>1036</v>
      </c>
      <c r="F188" s="11" t="s">
        <v>78</v>
      </c>
      <c r="G188" s="11" t="s">
        <v>143</v>
      </c>
      <c r="H188" s="11" t="s">
        <v>23</v>
      </c>
      <c r="I188" s="11" t="s">
        <v>114</v>
      </c>
      <c r="J188" s="11" t="s">
        <v>242</v>
      </c>
      <c r="K188" s="11" t="n">
        <v>2</v>
      </c>
      <c r="L188" s="15" t="n">
        <v>8318.56</v>
      </c>
      <c r="M188" s="11" t="n">
        <v>5</v>
      </c>
      <c r="N188" s="15" t="n">
        <v>16637.12</v>
      </c>
      <c r="O188" s="15" t="n">
        <v>831.86</v>
      </c>
      <c r="P188" s="15" t="n">
        <v>15805.26</v>
      </c>
      <c r="Q188" s="15" t="n">
        <v>0</v>
      </c>
      <c r="R188" s="11" t="n">
        <v>0</v>
      </c>
      <c r="S188" s="15" t="n">
        <f aca="false">P188-Q188</f>
        <v>15805.26</v>
      </c>
      <c r="T188" s="11" t="n">
        <f aca="false">IF(OR(J188="Completed",J188="Returned"),1,0)</f>
        <v>1</v>
      </c>
    </row>
    <row r="189" customFormat="false" ht="15" hidden="false" customHeight="false" outlineLevel="0" collapsed="false">
      <c r="A189" s="11" t="s">
        <v>1038</v>
      </c>
      <c r="B189" s="11" t="s">
        <v>399</v>
      </c>
      <c r="C189" s="24" t="n">
        <v>45906</v>
      </c>
      <c r="D189" s="11" t="s">
        <v>52</v>
      </c>
      <c r="E189" s="11" t="s">
        <v>877</v>
      </c>
      <c r="F189" s="11" t="s">
        <v>70</v>
      </c>
      <c r="G189" s="11" t="s">
        <v>135</v>
      </c>
      <c r="H189" s="11" t="s">
        <v>22</v>
      </c>
      <c r="I189" s="11" t="s">
        <v>115</v>
      </c>
      <c r="J189" s="11" t="s">
        <v>242</v>
      </c>
      <c r="K189" s="11" t="n">
        <v>4</v>
      </c>
      <c r="L189" s="15" t="n">
        <v>22655.14</v>
      </c>
      <c r="M189" s="11" t="n">
        <v>20</v>
      </c>
      <c r="N189" s="15" t="n">
        <v>90620.56</v>
      </c>
      <c r="O189" s="15" t="n">
        <v>18124.11</v>
      </c>
      <c r="P189" s="15" t="n">
        <v>72496.45</v>
      </c>
      <c r="Q189" s="15" t="n">
        <v>0</v>
      </c>
      <c r="R189" s="11" t="n">
        <v>0</v>
      </c>
      <c r="S189" s="15" t="n">
        <f aca="false">P189-Q189</f>
        <v>72496.45</v>
      </c>
      <c r="T189" s="11" t="n">
        <f aca="false">IF(OR(J189="Completed",J189="Returned"),1,0)</f>
        <v>1</v>
      </c>
    </row>
    <row r="190" customFormat="false" ht="15" hidden="false" customHeight="false" outlineLevel="0" collapsed="false">
      <c r="A190" s="11" t="s">
        <v>1039</v>
      </c>
      <c r="B190" s="11" t="s">
        <v>399</v>
      </c>
      <c r="C190" s="24" t="n">
        <v>45906</v>
      </c>
      <c r="D190" s="11" t="s">
        <v>52</v>
      </c>
      <c r="E190" s="11" t="s">
        <v>877</v>
      </c>
      <c r="F190" s="11" t="s">
        <v>70</v>
      </c>
      <c r="G190" s="11" t="s">
        <v>630</v>
      </c>
      <c r="H190" s="11" t="s">
        <v>23</v>
      </c>
      <c r="I190" s="11" t="s">
        <v>115</v>
      </c>
      <c r="J190" s="11" t="s">
        <v>242</v>
      </c>
      <c r="K190" s="11" t="n">
        <v>4</v>
      </c>
      <c r="L190" s="15" t="n">
        <v>18828.5</v>
      </c>
      <c r="M190" s="11" t="n">
        <v>0</v>
      </c>
      <c r="N190" s="15" t="n">
        <v>75314</v>
      </c>
      <c r="O190" s="15" t="n">
        <v>0</v>
      </c>
      <c r="P190" s="15" t="n">
        <v>75314</v>
      </c>
      <c r="Q190" s="15" t="n">
        <v>0</v>
      </c>
      <c r="R190" s="11" t="n">
        <v>0</v>
      </c>
      <c r="S190" s="15" t="n">
        <f aca="false">P190-Q190</f>
        <v>75314</v>
      </c>
      <c r="T190" s="11" t="n">
        <f aca="false">IF(OR(J190="Completed",J190="Returned"),1,0)</f>
        <v>1</v>
      </c>
    </row>
    <row r="191" customFormat="false" ht="15" hidden="false" customHeight="false" outlineLevel="0" collapsed="false">
      <c r="A191" s="11" t="s">
        <v>1040</v>
      </c>
      <c r="B191" s="11" t="s">
        <v>319</v>
      </c>
      <c r="C191" s="24" t="n">
        <v>45925</v>
      </c>
      <c r="D191" s="11" t="s">
        <v>52</v>
      </c>
      <c r="E191" s="11" t="s">
        <v>68</v>
      </c>
      <c r="F191" s="11" t="s">
        <v>70</v>
      </c>
      <c r="G191" s="11" t="s">
        <v>617</v>
      </c>
      <c r="H191" s="11" t="s">
        <v>21</v>
      </c>
      <c r="I191" s="11" t="s">
        <v>114</v>
      </c>
      <c r="J191" s="11" t="s">
        <v>242</v>
      </c>
      <c r="K191" s="11" t="n">
        <v>1</v>
      </c>
      <c r="L191" s="15" t="n">
        <v>2606.62</v>
      </c>
      <c r="M191" s="11" t="n">
        <v>20</v>
      </c>
      <c r="N191" s="15" t="n">
        <v>2606.62</v>
      </c>
      <c r="O191" s="15" t="n">
        <v>521.32</v>
      </c>
      <c r="P191" s="15" t="n">
        <v>2085.3</v>
      </c>
      <c r="Q191" s="15" t="n">
        <v>0</v>
      </c>
      <c r="R191" s="11" t="n">
        <v>0</v>
      </c>
      <c r="S191" s="15" t="n">
        <f aca="false">P191-Q191</f>
        <v>2085.3</v>
      </c>
      <c r="T191" s="11" t="n">
        <f aca="false">IF(OR(J191="Completed",J191="Returned"),1,0)</f>
        <v>1</v>
      </c>
    </row>
    <row r="192" customFormat="false" ht="15" hidden="false" customHeight="false" outlineLevel="0" collapsed="false">
      <c r="A192" s="11" t="s">
        <v>1041</v>
      </c>
      <c r="B192" s="11" t="s">
        <v>319</v>
      </c>
      <c r="C192" s="24" t="n">
        <v>45925</v>
      </c>
      <c r="D192" s="11" t="s">
        <v>52</v>
      </c>
      <c r="E192" s="11" t="s">
        <v>68</v>
      </c>
      <c r="F192" s="11" t="s">
        <v>70</v>
      </c>
      <c r="G192" s="11" t="s">
        <v>145</v>
      </c>
      <c r="H192" s="11" t="s">
        <v>20</v>
      </c>
      <c r="I192" s="11" t="s">
        <v>114</v>
      </c>
      <c r="J192" s="11" t="s">
        <v>242</v>
      </c>
      <c r="K192" s="11" t="n">
        <v>4</v>
      </c>
      <c r="L192" s="15" t="n">
        <v>20098.63</v>
      </c>
      <c r="M192" s="11" t="n">
        <v>5</v>
      </c>
      <c r="N192" s="15" t="n">
        <v>80394.52</v>
      </c>
      <c r="O192" s="15" t="n">
        <v>4019.73</v>
      </c>
      <c r="P192" s="15" t="n">
        <v>76374.79</v>
      </c>
      <c r="Q192" s="15" t="n">
        <v>0</v>
      </c>
      <c r="R192" s="11" t="n">
        <v>0</v>
      </c>
      <c r="S192" s="15" t="n">
        <f aca="false">P192-Q192</f>
        <v>76374.79</v>
      </c>
      <c r="T192" s="11" t="n">
        <f aca="false">IF(OR(J192="Completed",J192="Returned"),1,0)</f>
        <v>1</v>
      </c>
    </row>
    <row r="193" customFormat="false" ht="15" hidden="false" customHeight="false" outlineLevel="0" collapsed="false">
      <c r="A193" s="11" t="s">
        <v>1042</v>
      </c>
      <c r="B193" s="11" t="s">
        <v>319</v>
      </c>
      <c r="C193" s="24" t="n">
        <v>45925</v>
      </c>
      <c r="D193" s="11" t="s">
        <v>52</v>
      </c>
      <c r="E193" s="11" t="s">
        <v>68</v>
      </c>
      <c r="F193" s="11" t="s">
        <v>70</v>
      </c>
      <c r="G193" s="11" t="s">
        <v>156</v>
      </c>
      <c r="H193" s="11" t="s">
        <v>23</v>
      </c>
      <c r="I193" s="11" t="s">
        <v>114</v>
      </c>
      <c r="J193" s="11" t="s">
        <v>242</v>
      </c>
      <c r="K193" s="11" t="n">
        <v>3</v>
      </c>
      <c r="L193" s="15" t="n">
        <v>11992.92</v>
      </c>
      <c r="M193" s="11" t="n">
        <v>5</v>
      </c>
      <c r="N193" s="15" t="n">
        <v>35978.76</v>
      </c>
      <c r="O193" s="15" t="n">
        <v>1798.94</v>
      </c>
      <c r="P193" s="15" t="n">
        <v>34179.82</v>
      </c>
      <c r="Q193" s="15" t="n">
        <v>0</v>
      </c>
      <c r="R193" s="11" t="n">
        <v>0</v>
      </c>
      <c r="S193" s="15" t="n">
        <f aca="false">P193-Q193</f>
        <v>34179.82</v>
      </c>
      <c r="T193" s="11" t="n">
        <f aca="false">IF(OR(J193="Completed",J193="Returned"),1,0)</f>
        <v>1</v>
      </c>
    </row>
    <row r="194" customFormat="false" ht="15" hidden="false" customHeight="false" outlineLevel="0" collapsed="false">
      <c r="A194" s="11" t="s">
        <v>1043</v>
      </c>
      <c r="B194" s="11" t="s">
        <v>319</v>
      </c>
      <c r="C194" s="24" t="n">
        <v>45925</v>
      </c>
      <c r="D194" s="11" t="s">
        <v>52</v>
      </c>
      <c r="E194" s="11" t="s">
        <v>68</v>
      </c>
      <c r="F194" s="11" t="s">
        <v>70</v>
      </c>
      <c r="G194" s="11" t="s">
        <v>939</v>
      </c>
      <c r="H194" s="11" t="s">
        <v>21</v>
      </c>
      <c r="I194" s="11" t="s">
        <v>114</v>
      </c>
      <c r="J194" s="11" t="s">
        <v>242</v>
      </c>
      <c r="K194" s="11" t="n">
        <v>4</v>
      </c>
      <c r="L194" s="15" t="n">
        <v>17637.28</v>
      </c>
      <c r="M194" s="11" t="n">
        <v>15</v>
      </c>
      <c r="N194" s="15" t="n">
        <v>70549.12</v>
      </c>
      <c r="O194" s="15" t="n">
        <v>10582.37</v>
      </c>
      <c r="P194" s="15" t="n">
        <v>59966.75</v>
      </c>
      <c r="Q194" s="15" t="n">
        <v>0</v>
      </c>
      <c r="R194" s="11" t="n">
        <v>0</v>
      </c>
      <c r="S194" s="15" t="n">
        <f aca="false">P194-Q194</f>
        <v>59966.75</v>
      </c>
      <c r="T194" s="11" t="n">
        <f aca="false">IF(OR(J194="Completed",J194="Returned"),1,0)</f>
        <v>1</v>
      </c>
    </row>
    <row r="195" customFormat="false" ht="15" hidden="false" customHeight="false" outlineLevel="0" collapsed="false">
      <c r="A195" s="11" t="s">
        <v>1044</v>
      </c>
      <c r="B195" s="11" t="s">
        <v>387</v>
      </c>
      <c r="C195" s="24" t="n">
        <v>45581</v>
      </c>
      <c r="D195" s="11" t="s">
        <v>41</v>
      </c>
      <c r="E195" s="11" t="s">
        <v>894</v>
      </c>
      <c r="F195" s="11" t="s">
        <v>70</v>
      </c>
      <c r="G195" s="11" t="s">
        <v>623</v>
      </c>
      <c r="H195" s="11" t="s">
        <v>20</v>
      </c>
      <c r="I195" s="11" t="s">
        <v>114</v>
      </c>
      <c r="J195" s="11" t="s">
        <v>242</v>
      </c>
      <c r="K195" s="11" t="n">
        <v>4</v>
      </c>
      <c r="L195" s="15" t="n">
        <v>16535.66</v>
      </c>
      <c r="M195" s="11" t="n">
        <v>20</v>
      </c>
      <c r="N195" s="15" t="n">
        <v>66142.64</v>
      </c>
      <c r="O195" s="15" t="n">
        <v>13228.53</v>
      </c>
      <c r="P195" s="15" t="n">
        <v>52914.11</v>
      </c>
      <c r="Q195" s="15" t="n">
        <v>0</v>
      </c>
      <c r="R195" s="11" t="n">
        <v>0</v>
      </c>
      <c r="S195" s="15" t="n">
        <f aca="false">P195-Q195</f>
        <v>52914.11</v>
      </c>
      <c r="T195" s="11" t="n">
        <f aca="false">IF(OR(J195="Completed",J195="Returned"),1,0)</f>
        <v>1</v>
      </c>
    </row>
    <row r="196" customFormat="false" ht="15" hidden="false" customHeight="false" outlineLevel="0" collapsed="false">
      <c r="A196" s="11" t="s">
        <v>1045</v>
      </c>
      <c r="B196" s="11" t="s">
        <v>327</v>
      </c>
      <c r="C196" s="24" t="n">
        <v>45427</v>
      </c>
      <c r="D196" s="11" t="s">
        <v>36</v>
      </c>
      <c r="E196" s="11" t="s">
        <v>796</v>
      </c>
      <c r="F196" s="11" t="s">
        <v>82</v>
      </c>
      <c r="G196" s="11" t="s">
        <v>160</v>
      </c>
      <c r="H196" s="11" t="s">
        <v>23</v>
      </c>
      <c r="I196" s="11" t="s">
        <v>114</v>
      </c>
      <c r="J196" s="11" t="s">
        <v>250</v>
      </c>
      <c r="K196" s="11" t="n">
        <v>4</v>
      </c>
      <c r="L196" s="15" t="n">
        <v>21122.18</v>
      </c>
      <c r="M196" s="11" t="n">
        <v>20</v>
      </c>
      <c r="N196" s="15" t="n">
        <v>84488.72</v>
      </c>
      <c r="O196" s="15" t="n">
        <v>16897.74</v>
      </c>
      <c r="P196" s="15" t="n">
        <v>67590.98</v>
      </c>
      <c r="Q196" s="15" t="n">
        <v>0</v>
      </c>
      <c r="R196" s="11" t="n">
        <v>0</v>
      </c>
      <c r="S196" s="15" t="n">
        <f aca="false">P196-Q196</f>
        <v>67590.98</v>
      </c>
      <c r="T196" s="11" t="n">
        <f aca="false">IF(OR(J196="Completed",J196="Returned"),1,0)</f>
        <v>0</v>
      </c>
    </row>
    <row r="197" customFormat="false" ht="15" hidden="false" customHeight="false" outlineLevel="0" collapsed="false">
      <c r="A197" s="11" t="s">
        <v>1046</v>
      </c>
      <c r="B197" s="11" t="s">
        <v>327</v>
      </c>
      <c r="C197" s="24" t="n">
        <v>45427</v>
      </c>
      <c r="D197" s="11" t="s">
        <v>36</v>
      </c>
      <c r="E197" s="11" t="s">
        <v>796</v>
      </c>
      <c r="F197" s="11" t="s">
        <v>82</v>
      </c>
      <c r="G197" s="11" t="s">
        <v>641</v>
      </c>
      <c r="H197" s="11" t="s">
        <v>24</v>
      </c>
      <c r="I197" s="11" t="s">
        <v>114</v>
      </c>
      <c r="J197" s="11" t="s">
        <v>250</v>
      </c>
      <c r="K197" s="11" t="n">
        <v>5</v>
      </c>
      <c r="L197" s="15" t="n">
        <v>7313.65</v>
      </c>
      <c r="M197" s="11" t="n">
        <v>15</v>
      </c>
      <c r="N197" s="15" t="n">
        <v>36568.25</v>
      </c>
      <c r="O197" s="15" t="n">
        <v>5485.24</v>
      </c>
      <c r="P197" s="15" t="n">
        <v>31083.01</v>
      </c>
      <c r="Q197" s="15" t="n">
        <v>0</v>
      </c>
      <c r="R197" s="11" t="n">
        <v>0</v>
      </c>
      <c r="S197" s="15" t="n">
        <f aca="false">P197-Q197</f>
        <v>31083.01</v>
      </c>
      <c r="T197" s="11" t="n">
        <f aca="false">IF(OR(J197="Completed",J197="Returned"),1,0)</f>
        <v>0</v>
      </c>
    </row>
    <row r="198" customFormat="false" ht="15" hidden="false" customHeight="false" outlineLevel="0" collapsed="false">
      <c r="A198" s="11" t="s">
        <v>1047</v>
      </c>
      <c r="B198" s="11" t="s">
        <v>327</v>
      </c>
      <c r="C198" s="24" t="n">
        <v>45427</v>
      </c>
      <c r="D198" s="11" t="s">
        <v>36</v>
      </c>
      <c r="E198" s="11" t="s">
        <v>796</v>
      </c>
      <c r="F198" s="11" t="s">
        <v>82</v>
      </c>
      <c r="G198" s="11" t="s">
        <v>630</v>
      </c>
      <c r="H198" s="11" t="s">
        <v>23</v>
      </c>
      <c r="I198" s="11" t="s">
        <v>114</v>
      </c>
      <c r="J198" s="11" t="s">
        <v>250</v>
      </c>
      <c r="K198" s="11" t="n">
        <v>3</v>
      </c>
      <c r="L198" s="15" t="n">
        <v>18828.5</v>
      </c>
      <c r="M198" s="11" t="n">
        <v>10</v>
      </c>
      <c r="N198" s="15" t="n">
        <v>56485.5</v>
      </c>
      <c r="O198" s="15" t="n">
        <v>5648.55</v>
      </c>
      <c r="P198" s="15" t="n">
        <v>50836.95</v>
      </c>
      <c r="Q198" s="15" t="n">
        <v>0</v>
      </c>
      <c r="R198" s="11" t="n">
        <v>0</v>
      </c>
      <c r="S198" s="15" t="n">
        <f aca="false">P198-Q198</f>
        <v>50836.95</v>
      </c>
      <c r="T198" s="11" t="n">
        <f aca="false">IF(OR(J198="Completed",J198="Returned"),1,0)</f>
        <v>0</v>
      </c>
    </row>
    <row r="199" customFormat="false" ht="15" hidden="false" customHeight="false" outlineLevel="0" collapsed="false">
      <c r="A199" s="11" t="s">
        <v>1048</v>
      </c>
      <c r="B199" s="11" t="s">
        <v>327</v>
      </c>
      <c r="C199" s="24" t="n">
        <v>45427</v>
      </c>
      <c r="D199" s="11" t="s">
        <v>36</v>
      </c>
      <c r="E199" s="11" t="s">
        <v>796</v>
      </c>
      <c r="F199" s="11" t="s">
        <v>82</v>
      </c>
      <c r="G199" s="11" t="s">
        <v>981</v>
      </c>
      <c r="H199" s="11" t="s">
        <v>21</v>
      </c>
      <c r="I199" s="11" t="s">
        <v>114</v>
      </c>
      <c r="J199" s="11" t="s">
        <v>250</v>
      </c>
      <c r="K199" s="11" t="n">
        <v>1</v>
      </c>
      <c r="L199" s="15" t="n">
        <v>19552.29</v>
      </c>
      <c r="M199" s="11" t="n">
        <v>15</v>
      </c>
      <c r="N199" s="15" t="n">
        <v>19552.29</v>
      </c>
      <c r="O199" s="15" t="n">
        <v>2932.84</v>
      </c>
      <c r="P199" s="15" t="n">
        <v>16619.45</v>
      </c>
      <c r="Q199" s="15" t="n">
        <v>0</v>
      </c>
      <c r="R199" s="11" t="n">
        <v>0</v>
      </c>
      <c r="S199" s="15" t="n">
        <f aca="false">P199-Q199</f>
        <v>16619.45</v>
      </c>
      <c r="T199" s="11" t="n">
        <f aca="false">IF(OR(J199="Completed",J199="Returned"),1,0)</f>
        <v>0</v>
      </c>
    </row>
    <row r="200" customFormat="false" ht="15" hidden="false" customHeight="false" outlineLevel="0" collapsed="false">
      <c r="A200" s="11" t="s">
        <v>1049</v>
      </c>
      <c r="B200" s="11" t="s">
        <v>453</v>
      </c>
      <c r="C200" s="24" t="n">
        <v>45415</v>
      </c>
      <c r="D200" s="11" t="s">
        <v>36</v>
      </c>
      <c r="E200" s="11" t="s">
        <v>1050</v>
      </c>
      <c r="F200" s="11" t="s">
        <v>74</v>
      </c>
      <c r="G200" s="11" t="s">
        <v>630</v>
      </c>
      <c r="H200" s="11" t="s">
        <v>23</v>
      </c>
      <c r="I200" s="11" t="s">
        <v>113</v>
      </c>
      <c r="J200" s="11" t="s">
        <v>246</v>
      </c>
      <c r="K200" s="11" t="n">
        <v>3</v>
      </c>
      <c r="L200" s="15" t="n">
        <v>18828.5</v>
      </c>
      <c r="M200" s="11" t="n">
        <v>10</v>
      </c>
      <c r="N200" s="15" t="n">
        <v>56485.5</v>
      </c>
      <c r="O200" s="15" t="n">
        <v>5648.55</v>
      </c>
      <c r="P200" s="15" t="n">
        <v>50836.95</v>
      </c>
      <c r="Q200" s="15" t="n">
        <v>0</v>
      </c>
      <c r="R200" s="11" t="n">
        <v>0</v>
      </c>
      <c r="S200" s="15" t="n">
        <f aca="false">P200-Q200</f>
        <v>50836.95</v>
      </c>
      <c r="T200" s="11" t="n">
        <f aca="false">IF(OR(J200="Completed",J200="Returned"),1,0)</f>
        <v>0</v>
      </c>
    </row>
    <row r="201" customFormat="false" ht="15" hidden="false" customHeight="false" outlineLevel="0" collapsed="false">
      <c r="A201" s="11" t="s">
        <v>1051</v>
      </c>
      <c r="B201" s="11" t="s">
        <v>453</v>
      </c>
      <c r="C201" s="24" t="n">
        <v>45415</v>
      </c>
      <c r="D201" s="11" t="s">
        <v>36</v>
      </c>
      <c r="E201" s="11" t="s">
        <v>1050</v>
      </c>
      <c r="F201" s="11" t="s">
        <v>74</v>
      </c>
      <c r="G201" s="11" t="s">
        <v>809</v>
      </c>
      <c r="H201" s="11" t="s">
        <v>22</v>
      </c>
      <c r="I201" s="11" t="s">
        <v>113</v>
      </c>
      <c r="J201" s="11" t="s">
        <v>246</v>
      </c>
      <c r="K201" s="11" t="n">
        <v>5</v>
      </c>
      <c r="L201" s="15" t="n">
        <v>22582.54</v>
      </c>
      <c r="M201" s="11" t="n">
        <v>0</v>
      </c>
      <c r="N201" s="15" t="n">
        <v>112912.7</v>
      </c>
      <c r="O201" s="15" t="n">
        <v>0</v>
      </c>
      <c r="P201" s="15" t="n">
        <v>112912.7</v>
      </c>
      <c r="Q201" s="15" t="n">
        <v>0</v>
      </c>
      <c r="R201" s="11" t="n">
        <v>0</v>
      </c>
      <c r="S201" s="15" t="n">
        <f aca="false">P201-Q201</f>
        <v>112912.7</v>
      </c>
      <c r="T201" s="11" t="n">
        <f aca="false">IF(OR(J201="Completed",J201="Returned"),1,0)</f>
        <v>0</v>
      </c>
    </row>
    <row r="202" customFormat="false" ht="15" hidden="false" customHeight="false" outlineLevel="0" collapsed="false">
      <c r="A202" s="11" t="s">
        <v>1052</v>
      </c>
      <c r="B202" s="11" t="s">
        <v>453</v>
      </c>
      <c r="C202" s="24" t="n">
        <v>45415</v>
      </c>
      <c r="D202" s="11" t="s">
        <v>36</v>
      </c>
      <c r="E202" s="11" t="s">
        <v>1050</v>
      </c>
      <c r="F202" s="11" t="s">
        <v>74</v>
      </c>
      <c r="G202" s="11" t="s">
        <v>923</v>
      </c>
      <c r="H202" s="11" t="s">
        <v>22</v>
      </c>
      <c r="I202" s="11" t="s">
        <v>113</v>
      </c>
      <c r="J202" s="11" t="s">
        <v>246</v>
      </c>
      <c r="K202" s="11" t="n">
        <v>4</v>
      </c>
      <c r="L202" s="15" t="n">
        <v>5145.55</v>
      </c>
      <c r="M202" s="11" t="n">
        <v>5</v>
      </c>
      <c r="N202" s="15" t="n">
        <v>20582.2</v>
      </c>
      <c r="O202" s="15" t="n">
        <v>1029.11</v>
      </c>
      <c r="P202" s="15" t="n">
        <v>19553.09</v>
      </c>
      <c r="Q202" s="15" t="n">
        <v>0</v>
      </c>
      <c r="R202" s="11" t="n">
        <v>0</v>
      </c>
      <c r="S202" s="15" t="n">
        <f aca="false">P202-Q202</f>
        <v>19553.09</v>
      </c>
      <c r="T202" s="11" t="n">
        <f aca="false">IF(OR(J202="Completed",J202="Returned"),1,0)</f>
        <v>0</v>
      </c>
    </row>
    <row r="203" customFormat="false" ht="15" hidden="false" customHeight="false" outlineLevel="0" collapsed="false">
      <c r="A203" s="11" t="s">
        <v>1053</v>
      </c>
      <c r="B203" s="11" t="s">
        <v>453</v>
      </c>
      <c r="C203" s="24" t="n">
        <v>45415</v>
      </c>
      <c r="D203" s="11" t="s">
        <v>36</v>
      </c>
      <c r="E203" s="11" t="s">
        <v>1050</v>
      </c>
      <c r="F203" s="11" t="s">
        <v>74</v>
      </c>
      <c r="G203" s="11" t="s">
        <v>1054</v>
      </c>
      <c r="H203" s="11" t="s">
        <v>21</v>
      </c>
      <c r="I203" s="11" t="s">
        <v>113</v>
      </c>
      <c r="J203" s="11" t="s">
        <v>246</v>
      </c>
      <c r="K203" s="11" t="n">
        <v>3</v>
      </c>
      <c r="L203" s="15" t="n">
        <v>19632.52</v>
      </c>
      <c r="M203" s="11" t="n">
        <v>15</v>
      </c>
      <c r="N203" s="15" t="n">
        <v>58897.56</v>
      </c>
      <c r="O203" s="15" t="n">
        <v>8834.63</v>
      </c>
      <c r="P203" s="15" t="n">
        <v>50062.93</v>
      </c>
      <c r="Q203" s="15" t="n">
        <v>0</v>
      </c>
      <c r="R203" s="11" t="n">
        <v>0</v>
      </c>
      <c r="S203" s="15" t="n">
        <f aca="false">P203-Q203</f>
        <v>50062.93</v>
      </c>
      <c r="T203" s="11" t="n">
        <f aca="false">IF(OR(J203="Completed",J203="Returned"),1,0)</f>
        <v>0</v>
      </c>
    </row>
    <row r="204" customFormat="false" ht="15" hidden="false" customHeight="false" outlineLevel="0" collapsed="false">
      <c r="A204" s="11" t="s">
        <v>1055</v>
      </c>
      <c r="B204" s="11" t="s">
        <v>561</v>
      </c>
      <c r="C204" s="24" t="n">
        <v>45959</v>
      </c>
      <c r="D204" s="11" t="s">
        <v>53</v>
      </c>
      <c r="E204" s="11" t="s">
        <v>1056</v>
      </c>
      <c r="F204" s="11" t="s">
        <v>70</v>
      </c>
      <c r="G204" s="11" t="s">
        <v>139</v>
      </c>
      <c r="H204" s="11" t="s">
        <v>24</v>
      </c>
      <c r="I204" s="11" t="s">
        <v>114</v>
      </c>
      <c r="J204" s="11" t="s">
        <v>250</v>
      </c>
      <c r="K204" s="11" t="n">
        <v>4</v>
      </c>
      <c r="L204" s="15" t="n">
        <v>20278.89</v>
      </c>
      <c r="M204" s="11" t="n">
        <v>0</v>
      </c>
      <c r="N204" s="15" t="n">
        <v>81115.56</v>
      </c>
      <c r="O204" s="15" t="n">
        <v>0</v>
      </c>
      <c r="P204" s="15" t="n">
        <v>81115.56</v>
      </c>
      <c r="Q204" s="15" t="n">
        <v>0</v>
      </c>
      <c r="R204" s="11" t="n">
        <v>0</v>
      </c>
      <c r="S204" s="15" t="n">
        <f aca="false">P204-Q204</f>
        <v>81115.56</v>
      </c>
      <c r="T204" s="11" t="n">
        <f aca="false">IF(OR(J204="Completed",J204="Returned"),1,0)</f>
        <v>0</v>
      </c>
    </row>
    <row r="205" customFormat="false" ht="15" hidden="false" customHeight="false" outlineLevel="0" collapsed="false">
      <c r="A205" s="11" t="s">
        <v>1057</v>
      </c>
      <c r="B205" s="11" t="s">
        <v>561</v>
      </c>
      <c r="C205" s="24" t="n">
        <v>45959</v>
      </c>
      <c r="D205" s="11" t="s">
        <v>53</v>
      </c>
      <c r="E205" s="11" t="s">
        <v>1056</v>
      </c>
      <c r="F205" s="11" t="s">
        <v>70</v>
      </c>
      <c r="G205" s="11" t="s">
        <v>615</v>
      </c>
      <c r="H205" s="11" t="s">
        <v>23</v>
      </c>
      <c r="I205" s="11" t="s">
        <v>114</v>
      </c>
      <c r="J205" s="11" t="s">
        <v>250</v>
      </c>
      <c r="K205" s="11" t="n">
        <v>2</v>
      </c>
      <c r="L205" s="15" t="n">
        <v>2863.09</v>
      </c>
      <c r="M205" s="11" t="n">
        <v>5</v>
      </c>
      <c r="N205" s="15" t="n">
        <v>5726.18</v>
      </c>
      <c r="O205" s="15" t="n">
        <v>286.31</v>
      </c>
      <c r="P205" s="15" t="n">
        <v>5439.87</v>
      </c>
      <c r="Q205" s="15" t="n">
        <v>0</v>
      </c>
      <c r="R205" s="11" t="n">
        <v>0</v>
      </c>
      <c r="S205" s="15" t="n">
        <f aca="false">P205-Q205</f>
        <v>5439.87</v>
      </c>
      <c r="T205" s="11" t="n">
        <f aca="false">IF(OR(J205="Completed",J205="Returned"),1,0)</f>
        <v>0</v>
      </c>
    </row>
    <row r="206" customFormat="false" ht="15" hidden="false" customHeight="false" outlineLevel="0" collapsed="false">
      <c r="A206" s="11" t="s">
        <v>1058</v>
      </c>
      <c r="B206" s="11" t="s">
        <v>561</v>
      </c>
      <c r="C206" s="24" t="n">
        <v>45959</v>
      </c>
      <c r="D206" s="11" t="s">
        <v>53</v>
      </c>
      <c r="E206" s="11" t="s">
        <v>1056</v>
      </c>
      <c r="F206" s="11" t="s">
        <v>70</v>
      </c>
      <c r="G206" s="11" t="s">
        <v>129</v>
      </c>
      <c r="H206" s="11" t="s">
        <v>24</v>
      </c>
      <c r="I206" s="11" t="s">
        <v>114</v>
      </c>
      <c r="J206" s="11" t="s">
        <v>250</v>
      </c>
      <c r="K206" s="11" t="n">
        <v>4</v>
      </c>
      <c r="L206" s="15" t="n">
        <v>3184.81</v>
      </c>
      <c r="M206" s="11" t="n">
        <v>0</v>
      </c>
      <c r="N206" s="15" t="n">
        <v>12739.24</v>
      </c>
      <c r="O206" s="15" t="n">
        <v>0</v>
      </c>
      <c r="P206" s="15" t="n">
        <v>12739.24</v>
      </c>
      <c r="Q206" s="15" t="n">
        <v>0</v>
      </c>
      <c r="R206" s="11" t="n">
        <v>0</v>
      </c>
      <c r="S206" s="15" t="n">
        <f aca="false">P206-Q206</f>
        <v>12739.24</v>
      </c>
      <c r="T206" s="11" t="n">
        <f aca="false">IF(OR(J206="Completed",J206="Returned"),1,0)</f>
        <v>0</v>
      </c>
    </row>
    <row r="207" customFormat="false" ht="15" hidden="false" customHeight="false" outlineLevel="0" collapsed="false">
      <c r="A207" s="11" t="s">
        <v>1059</v>
      </c>
      <c r="B207" s="11" t="s">
        <v>519</v>
      </c>
      <c r="C207" s="24" t="n">
        <v>45541</v>
      </c>
      <c r="D207" s="11" t="s">
        <v>40</v>
      </c>
      <c r="E207" s="11" t="s">
        <v>1060</v>
      </c>
      <c r="F207" s="11" t="s">
        <v>78</v>
      </c>
      <c r="G207" s="11" t="s">
        <v>641</v>
      </c>
      <c r="H207" s="11" t="s">
        <v>24</v>
      </c>
      <c r="I207" s="11" t="s">
        <v>114</v>
      </c>
      <c r="J207" s="11" t="s">
        <v>269</v>
      </c>
      <c r="K207" s="11" t="n">
        <v>2</v>
      </c>
      <c r="L207" s="15" t="n">
        <v>7313.65</v>
      </c>
      <c r="M207" s="11" t="n">
        <v>0</v>
      </c>
      <c r="N207" s="15" t="n">
        <v>14627.3</v>
      </c>
      <c r="O207" s="15" t="n">
        <v>0</v>
      </c>
      <c r="P207" s="15" t="n">
        <v>14627.3</v>
      </c>
      <c r="Q207" s="15" t="n">
        <v>0</v>
      </c>
      <c r="R207" s="11" t="n">
        <v>0</v>
      </c>
      <c r="S207" s="15" t="n">
        <f aca="false">P207-Q207</f>
        <v>14627.3</v>
      </c>
      <c r="T207" s="11" t="n">
        <f aca="false">IF(OR(J207="Completed",J207="Returned"),1,0)</f>
        <v>1</v>
      </c>
    </row>
    <row r="208" customFormat="false" ht="15" hidden="false" customHeight="false" outlineLevel="0" collapsed="false">
      <c r="A208" s="11" t="s">
        <v>1061</v>
      </c>
      <c r="B208" s="11" t="s">
        <v>519</v>
      </c>
      <c r="C208" s="24" t="n">
        <v>45541</v>
      </c>
      <c r="D208" s="11" t="s">
        <v>40</v>
      </c>
      <c r="E208" s="11" t="s">
        <v>1060</v>
      </c>
      <c r="F208" s="11" t="s">
        <v>78</v>
      </c>
      <c r="G208" s="11" t="s">
        <v>611</v>
      </c>
      <c r="H208" s="11" t="s">
        <v>22</v>
      </c>
      <c r="I208" s="11" t="s">
        <v>114</v>
      </c>
      <c r="J208" s="11" t="s">
        <v>269</v>
      </c>
      <c r="K208" s="11" t="n">
        <v>4</v>
      </c>
      <c r="L208" s="15" t="n">
        <v>3634.57</v>
      </c>
      <c r="M208" s="11" t="n">
        <v>0</v>
      </c>
      <c r="N208" s="15" t="n">
        <v>14538.28</v>
      </c>
      <c r="O208" s="15" t="n">
        <v>0</v>
      </c>
      <c r="P208" s="15" t="n">
        <v>14538.28</v>
      </c>
      <c r="Q208" s="15" t="n">
        <v>0</v>
      </c>
      <c r="R208" s="11" t="n">
        <v>0</v>
      </c>
      <c r="S208" s="15" t="n">
        <f aca="false">P208-Q208</f>
        <v>14538.28</v>
      </c>
      <c r="T208" s="11" t="n">
        <f aca="false">IF(OR(J208="Completed",J208="Returned"),1,0)</f>
        <v>1</v>
      </c>
    </row>
    <row r="209" customFormat="false" ht="15" hidden="false" customHeight="false" outlineLevel="0" collapsed="false">
      <c r="A209" s="11" t="s">
        <v>1062</v>
      </c>
      <c r="B209" s="11" t="s">
        <v>519</v>
      </c>
      <c r="C209" s="24" t="n">
        <v>45541</v>
      </c>
      <c r="D209" s="11" t="s">
        <v>40</v>
      </c>
      <c r="E209" s="11" t="s">
        <v>1060</v>
      </c>
      <c r="F209" s="11" t="s">
        <v>78</v>
      </c>
      <c r="G209" s="11" t="s">
        <v>145</v>
      </c>
      <c r="H209" s="11" t="s">
        <v>20</v>
      </c>
      <c r="I209" s="11" t="s">
        <v>114</v>
      </c>
      <c r="J209" s="11" t="s">
        <v>269</v>
      </c>
      <c r="K209" s="11" t="n">
        <v>5</v>
      </c>
      <c r="L209" s="15" t="n">
        <v>20098.63</v>
      </c>
      <c r="M209" s="11" t="n">
        <v>10</v>
      </c>
      <c r="N209" s="15" t="n">
        <v>100493.15</v>
      </c>
      <c r="O209" s="15" t="n">
        <v>10049.32</v>
      </c>
      <c r="P209" s="15" t="n">
        <v>90443.83</v>
      </c>
      <c r="Q209" s="15" t="n">
        <v>0</v>
      </c>
      <c r="R209" s="11" t="n">
        <v>0</v>
      </c>
      <c r="S209" s="15" t="n">
        <f aca="false">P209-Q209</f>
        <v>90443.83</v>
      </c>
      <c r="T209" s="11" t="n">
        <f aca="false">IF(OR(J209="Completed",J209="Returned"),1,0)</f>
        <v>1</v>
      </c>
    </row>
    <row r="210" customFormat="false" ht="15" hidden="false" customHeight="false" outlineLevel="0" collapsed="false">
      <c r="A210" s="11" t="s">
        <v>1063</v>
      </c>
      <c r="B210" s="11" t="s">
        <v>516</v>
      </c>
      <c r="C210" s="24" t="n">
        <v>45487</v>
      </c>
      <c r="D210" s="11" t="s">
        <v>38</v>
      </c>
      <c r="E210" s="11" t="s">
        <v>1064</v>
      </c>
      <c r="F210" s="11" t="s">
        <v>82</v>
      </c>
      <c r="G210" s="11" t="s">
        <v>150</v>
      </c>
      <c r="H210" s="11" t="s">
        <v>22</v>
      </c>
      <c r="I210" s="11" t="s">
        <v>115</v>
      </c>
      <c r="J210" s="11" t="s">
        <v>250</v>
      </c>
      <c r="K210" s="11" t="n">
        <v>1</v>
      </c>
      <c r="L210" s="15" t="n">
        <v>21978.46</v>
      </c>
      <c r="M210" s="11" t="n">
        <v>5</v>
      </c>
      <c r="N210" s="15" t="n">
        <v>21978.46</v>
      </c>
      <c r="O210" s="15" t="n">
        <v>1098.92</v>
      </c>
      <c r="P210" s="15" t="n">
        <v>20879.54</v>
      </c>
      <c r="Q210" s="15" t="n">
        <v>0</v>
      </c>
      <c r="R210" s="11" t="n">
        <v>0</v>
      </c>
      <c r="S210" s="15" t="n">
        <f aca="false">P210-Q210</f>
        <v>20879.54</v>
      </c>
      <c r="T210" s="11" t="n">
        <f aca="false">IF(OR(J210="Completed",J210="Returned"),1,0)</f>
        <v>0</v>
      </c>
    </row>
    <row r="211" customFormat="false" ht="15" hidden="false" customHeight="false" outlineLevel="0" collapsed="false">
      <c r="A211" s="11" t="s">
        <v>1065</v>
      </c>
      <c r="B211" s="11" t="s">
        <v>516</v>
      </c>
      <c r="C211" s="24" t="n">
        <v>45487</v>
      </c>
      <c r="D211" s="11" t="s">
        <v>38</v>
      </c>
      <c r="E211" s="11" t="s">
        <v>1064</v>
      </c>
      <c r="F211" s="11" t="s">
        <v>82</v>
      </c>
      <c r="G211" s="11" t="s">
        <v>635</v>
      </c>
      <c r="H211" s="11" t="s">
        <v>22</v>
      </c>
      <c r="I211" s="11" t="s">
        <v>115</v>
      </c>
      <c r="J211" s="11" t="s">
        <v>250</v>
      </c>
      <c r="K211" s="11" t="n">
        <v>1</v>
      </c>
      <c r="L211" s="15" t="n">
        <v>7877.61</v>
      </c>
      <c r="M211" s="11" t="n">
        <v>5</v>
      </c>
      <c r="N211" s="15" t="n">
        <v>7877.61</v>
      </c>
      <c r="O211" s="15" t="n">
        <v>393.88</v>
      </c>
      <c r="P211" s="15" t="n">
        <v>7483.73</v>
      </c>
      <c r="Q211" s="15" t="n">
        <v>0</v>
      </c>
      <c r="R211" s="11" t="n">
        <v>0</v>
      </c>
      <c r="S211" s="15" t="n">
        <f aca="false">P211-Q211</f>
        <v>7483.73</v>
      </c>
      <c r="T211" s="11" t="n">
        <f aca="false">IF(OR(J211="Completed",J211="Returned"),1,0)</f>
        <v>0</v>
      </c>
    </row>
    <row r="212" customFormat="false" ht="15" hidden="false" customHeight="false" outlineLevel="0" collapsed="false">
      <c r="A212" s="11" t="s">
        <v>1066</v>
      </c>
      <c r="B212" s="11" t="s">
        <v>516</v>
      </c>
      <c r="C212" s="24" t="n">
        <v>45487</v>
      </c>
      <c r="D212" s="11" t="s">
        <v>38</v>
      </c>
      <c r="E212" s="11" t="s">
        <v>1064</v>
      </c>
      <c r="F212" s="11" t="s">
        <v>82</v>
      </c>
      <c r="G212" s="11" t="s">
        <v>633</v>
      </c>
      <c r="H212" s="11" t="s">
        <v>22</v>
      </c>
      <c r="I212" s="11" t="s">
        <v>115</v>
      </c>
      <c r="J212" s="11" t="s">
        <v>250</v>
      </c>
      <c r="K212" s="11" t="n">
        <v>2</v>
      </c>
      <c r="L212" s="15" t="n">
        <v>4574.41</v>
      </c>
      <c r="M212" s="11" t="n">
        <v>5</v>
      </c>
      <c r="N212" s="15" t="n">
        <v>9148.82</v>
      </c>
      <c r="O212" s="15" t="n">
        <v>457.44</v>
      </c>
      <c r="P212" s="15" t="n">
        <v>8691.38</v>
      </c>
      <c r="Q212" s="15" t="n">
        <v>0</v>
      </c>
      <c r="R212" s="11" t="n">
        <v>0</v>
      </c>
      <c r="S212" s="15" t="n">
        <f aca="false">P212-Q212</f>
        <v>8691.38</v>
      </c>
      <c r="T212" s="11" t="n">
        <f aca="false">IF(OR(J212="Completed",J212="Returned"),1,0)</f>
        <v>0</v>
      </c>
    </row>
    <row r="213" customFormat="false" ht="15" hidden="false" customHeight="false" outlineLevel="0" collapsed="false">
      <c r="A213" s="11" t="s">
        <v>1067</v>
      </c>
      <c r="B213" s="11" t="s">
        <v>534</v>
      </c>
      <c r="C213" s="24" t="n">
        <v>45542</v>
      </c>
      <c r="D213" s="11" t="s">
        <v>40</v>
      </c>
      <c r="E213" s="11" t="s">
        <v>1068</v>
      </c>
      <c r="F213" s="11" t="s">
        <v>78</v>
      </c>
      <c r="G213" s="11" t="s">
        <v>141</v>
      </c>
      <c r="H213" s="11" t="s">
        <v>24</v>
      </c>
      <c r="I213" s="11" t="s">
        <v>114</v>
      </c>
      <c r="J213" s="11" t="s">
        <v>269</v>
      </c>
      <c r="K213" s="11" t="n">
        <v>1</v>
      </c>
      <c r="L213" s="15" t="n">
        <v>20481.04</v>
      </c>
      <c r="M213" s="11" t="n">
        <v>5</v>
      </c>
      <c r="N213" s="15" t="n">
        <v>20481.04</v>
      </c>
      <c r="O213" s="15" t="n">
        <v>1024.05</v>
      </c>
      <c r="P213" s="15" t="n">
        <v>19456.99</v>
      </c>
      <c r="Q213" s="15" t="n">
        <v>0</v>
      </c>
      <c r="R213" s="11" t="n">
        <v>0</v>
      </c>
      <c r="S213" s="15" t="n">
        <f aca="false">P213-Q213</f>
        <v>19456.99</v>
      </c>
      <c r="T213" s="11" t="n">
        <f aca="false">IF(OR(J213="Completed",J213="Returned"),1,0)</f>
        <v>1</v>
      </c>
    </row>
    <row r="214" customFormat="false" ht="15" hidden="false" customHeight="false" outlineLevel="0" collapsed="false">
      <c r="A214" s="11" t="s">
        <v>1069</v>
      </c>
      <c r="B214" s="11" t="s">
        <v>534</v>
      </c>
      <c r="C214" s="24" t="n">
        <v>45542</v>
      </c>
      <c r="D214" s="11" t="s">
        <v>40</v>
      </c>
      <c r="E214" s="11" t="s">
        <v>1068</v>
      </c>
      <c r="F214" s="11" t="s">
        <v>78</v>
      </c>
      <c r="G214" s="11" t="s">
        <v>145</v>
      </c>
      <c r="H214" s="11" t="s">
        <v>20</v>
      </c>
      <c r="I214" s="11" t="s">
        <v>114</v>
      </c>
      <c r="J214" s="11" t="s">
        <v>269</v>
      </c>
      <c r="K214" s="11" t="n">
        <v>3</v>
      </c>
      <c r="L214" s="15" t="n">
        <v>20098.63</v>
      </c>
      <c r="M214" s="11" t="n">
        <v>0</v>
      </c>
      <c r="N214" s="15" t="n">
        <v>60295.89</v>
      </c>
      <c r="O214" s="15" t="n">
        <v>0</v>
      </c>
      <c r="P214" s="15" t="n">
        <v>60295.89</v>
      </c>
      <c r="Q214" s="15" t="n">
        <v>0</v>
      </c>
      <c r="R214" s="11" t="n">
        <v>0</v>
      </c>
      <c r="S214" s="15" t="n">
        <f aca="false">P214-Q214</f>
        <v>60295.89</v>
      </c>
      <c r="T214" s="11" t="n">
        <f aca="false">IF(OR(J214="Completed",J214="Returned"),1,0)</f>
        <v>1</v>
      </c>
    </row>
    <row r="215" customFormat="false" ht="15" hidden="false" customHeight="false" outlineLevel="0" collapsed="false">
      <c r="A215" s="11" t="s">
        <v>1070</v>
      </c>
      <c r="B215" s="11" t="s">
        <v>534</v>
      </c>
      <c r="C215" s="24" t="n">
        <v>45542</v>
      </c>
      <c r="D215" s="11" t="s">
        <v>40</v>
      </c>
      <c r="E215" s="11" t="s">
        <v>1068</v>
      </c>
      <c r="F215" s="11" t="s">
        <v>78</v>
      </c>
      <c r="G215" s="11" t="s">
        <v>970</v>
      </c>
      <c r="H215" s="11" t="s">
        <v>20</v>
      </c>
      <c r="I215" s="11" t="s">
        <v>114</v>
      </c>
      <c r="J215" s="11" t="s">
        <v>269</v>
      </c>
      <c r="K215" s="11" t="n">
        <v>1</v>
      </c>
      <c r="L215" s="15" t="n">
        <v>15383.27</v>
      </c>
      <c r="M215" s="11" t="n">
        <v>15</v>
      </c>
      <c r="N215" s="15" t="n">
        <v>15383.27</v>
      </c>
      <c r="O215" s="15" t="n">
        <v>2307.49</v>
      </c>
      <c r="P215" s="15" t="n">
        <v>13075.78</v>
      </c>
      <c r="Q215" s="15" t="n">
        <v>0</v>
      </c>
      <c r="R215" s="11" t="n">
        <v>0</v>
      </c>
      <c r="S215" s="15" t="n">
        <f aca="false">P215-Q215</f>
        <v>13075.78</v>
      </c>
      <c r="T215" s="11" t="n">
        <f aca="false">IF(OR(J215="Completed",J215="Returned"),1,0)</f>
        <v>1</v>
      </c>
    </row>
    <row r="216" customFormat="false" ht="15" hidden="false" customHeight="false" outlineLevel="0" collapsed="false">
      <c r="A216" s="11" t="s">
        <v>1071</v>
      </c>
      <c r="B216" s="11" t="s">
        <v>534</v>
      </c>
      <c r="C216" s="24" t="n">
        <v>45542</v>
      </c>
      <c r="D216" s="11" t="s">
        <v>40</v>
      </c>
      <c r="E216" s="11" t="s">
        <v>1068</v>
      </c>
      <c r="F216" s="11" t="s">
        <v>78</v>
      </c>
      <c r="G216" s="11" t="s">
        <v>143</v>
      </c>
      <c r="H216" s="11" t="s">
        <v>23</v>
      </c>
      <c r="I216" s="11" t="s">
        <v>114</v>
      </c>
      <c r="J216" s="11" t="s">
        <v>269</v>
      </c>
      <c r="K216" s="11" t="n">
        <v>2</v>
      </c>
      <c r="L216" s="15" t="n">
        <v>8318.56</v>
      </c>
      <c r="M216" s="11" t="n">
        <v>0</v>
      </c>
      <c r="N216" s="15" t="n">
        <v>16637.12</v>
      </c>
      <c r="O216" s="15" t="n">
        <v>0</v>
      </c>
      <c r="P216" s="15" t="n">
        <v>16637.12</v>
      </c>
      <c r="Q216" s="15" t="n">
        <v>0</v>
      </c>
      <c r="R216" s="11" t="n">
        <v>0</v>
      </c>
      <c r="S216" s="15" t="n">
        <f aca="false">P216-Q216</f>
        <v>16637.12</v>
      </c>
      <c r="T216" s="11" t="n">
        <f aca="false">IF(OR(J216="Completed",J216="Returned"),1,0)</f>
        <v>1</v>
      </c>
    </row>
    <row r="217" customFormat="false" ht="15" hidden="false" customHeight="false" outlineLevel="0" collapsed="false">
      <c r="A217" s="11" t="s">
        <v>1072</v>
      </c>
      <c r="B217" s="11" t="s">
        <v>393</v>
      </c>
      <c r="C217" s="24" t="n">
        <v>45410</v>
      </c>
      <c r="D217" s="11" t="s">
        <v>35</v>
      </c>
      <c r="E217" s="11" t="s">
        <v>1073</v>
      </c>
      <c r="F217" s="11" t="s">
        <v>70</v>
      </c>
      <c r="G217" s="11" t="s">
        <v>833</v>
      </c>
      <c r="H217" s="11" t="s">
        <v>23</v>
      </c>
      <c r="I217" s="11" t="s">
        <v>115</v>
      </c>
      <c r="J217" s="11" t="s">
        <v>246</v>
      </c>
      <c r="K217" s="11" t="n">
        <v>3</v>
      </c>
      <c r="L217" s="15" t="n">
        <v>14595.44</v>
      </c>
      <c r="M217" s="11" t="n">
        <v>20</v>
      </c>
      <c r="N217" s="15" t="n">
        <v>43786.32</v>
      </c>
      <c r="O217" s="15" t="n">
        <v>8757.26</v>
      </c>
      <c r="P217" s="15" t="n">
        <v>35029.06</v>
      </c>
      <c r="Q217" s="15" t="n">
        <v>0</v>
      </c>
      <c r="R217" s="11" t="n">
        <v>0</v>
      </c>
      <c r="S217" s="15" t="n">
        <f aca="false">P217-Q217</f>
        <v>35029.06</v>
      </c>
      <c r="T217" s="11" t="n">
        <f aca="false">IF(OR(J217="Completed",J217="Returned"),1,0)</f>
        <v>0</v>
      </c>
    </row>
    <row r="218" customFormat="false" ht="15" hidden="false" customHeight="false" outlineLevel="0" collapsed="false">
      <c r="A218" s="11" t="s">
        <v>1074</v>
      </c>
      <c r="B218" s="11" t="s">
        <v>393</v>
      </c>
      <c r="C218" s="24" t="n">
        <v>45410</v>
      </c>
      <c r="D218" s="11" t="s">
        <v>35</v>
      </c>
      <c r="E218" s="11" t="s">
        <v>1073</v>
      </c>
      <c r="F218" s="11" t="s">
        <v>70</v>
      </c>
      <c r="G218" s="11" t="s">
        <v>129</v>
      </c>
      <c r="H218" s="11" t="s">
        <v>24</v>
      </c>
      <c r="I218" s="11" t="s">
        <v>115</v>
      </c>
      <c r="J218" s="11" t="s">
        <v>246</v>
      </c>
      <c r="K218" s="11" t="n">
        <v>3</v>
      </c>
      <c r="L218" s="15" t="n">
        <v>3184.81</v>
      </c>
      <c r="M218" s="11" t="n">
        <v>0</v>
      </c>
      <c r="N218" s="15" t="n">
        <v>9554.43</v>
      </c>
      <c r="O218" s="15" t="n">
        <v>0</v>
      </c>
      <c r="P218" s="15" t="n">
        <v>9554.43</v>
      </c>
      <c r="Q218" s="15" t="n">
        <v>0</v>
      </c>
      <c r="R218" s="11" t="n">
        <v>0</v>
      </c>
      <c r="S218" s="15" t="n">
        <f aca="false">P218-Q218</f>
        <v>9554.43</v>
      </c>
      <c r="T218" s="11" t="n">
        <f aca="false">IF(OR(J218="Completed",J218="Returned"),1,0)</f>
        <v>0</v>
      </c>
    </row>
    <row r="219" customFormat="false" ht="15" hidden="false" customHeight="false" outlineLevel="0" collapsed="false">
      <c r="A219" s="11" t="s">
        <v>1075</v>
      </c>
      <c r="B219" s="11" t="s">
        <v>289</v>
      </c>
      <c r="C219" s="24" t="n">
        <v>45807</v>
      </c>
      <c r="D219" s="11" t="s">
        <v>48</v>
      </c>
      <c r="E219" s="11" t="s">
        <v>76</v>
      </c>
      <c r="F219" s="11" t="s">
        <v>78</v>
      </c>
      <c r="G219" s="11" t="s">
        <v>854</v>
      </c>
      <c r="H219" s="11" t="s">
        <v>20</v>
      </c>
      <c r="I219" s="11" t="s">
        <v>113</v>
      </c>
      <c r="J219" s="11" t="s">
        <v>250</v>
      </c>
      <c r="K219" s="11" t="n">
        <v>5</v>
      </c>
      <c r="L219" s="15" t="n">
        <v>25742.49</v>
      </c>
      <c r="M219" s="11" t="n">
        <v>5</v>
      </c>
      <c r="N219" s="15" t="n">
        <v>128712.45</v>
      </c>
      <c r="O219" s="15" t="n">
        <v>6435.62</v>
      </c>
      <c r="P219" s="15" t="n">
        <v>122276.83</v>
      </c>
      <c r="Q219" s="15" t="n">
        <v>0</v>
      </c>
      <c r="R219" s="11" t="n">
        <v>0</v>
      </c>
      <c r="S219" s="15" t="n">
        <f aca="false">P219-Q219</f>
        <v>122276.83</v>
      </c>
      <c r="T219" s="11" t="n">
        <f aca="false">IF(OR(J219="Completed",J219="Returned"),1,0)</f>
        <v>0</v>
      </c>
    </row>
    <row r="220" customFormat="false" ht="15" hidden="false" customHeight="false" outlineLevel="0" collapsed="false">
      <c r="A220" s="11" t="s">
        <v>1076</v>
      </c>
      <c r="B220" s="11" t="s">
        <v>289</v>
      </c>
      <c r="C220" s="24" t="n">
        <v>45807</v>
      </c>
      <c r="D220" s="11" t="s">
        <v>48</v>
      </c>
      <c r="E220" s="11" t="s">
        <v>76</v>
      </c>
      <c r="F220" s="11" t="s">
        <v>78</v>
      </c>
      <c r="G220" s="11" t="s">
        <v>626</v>
      </c>
      <c r="H220" s="11" t="s">
        <v>24</v>
      </c>
      <c r="I220" s="11" t="s">
        <v>113</v>
      </c>
      <c r="J220" s="11" t="s">
        <v>250</v>
      </c>
      <c r="K220" s="11" t="n">
        <v>4</v>
      </c>
      <c r="L220" s="15" t="n">
        <v>11932.31</v>
      </c>
      <c r="M220" s="11" t="n">
        <v>5</v>
      </c>
      <c r="N220" s="15" t="n">
        <v>47729.24</v>
      </c>
      <c r="O220" s="15" t="n">
        <v>2386.46</v>
      </c>
      <c r="P220" s="15" t="n">
        <v>45342.78</v>
      </c>
      <c r="Q220" s="15" t="n">
        <v>0</v>
      </c>
      <c r="R220" s="11" t="n">
        <v>0</v>
      </c>
      <c r="S220" s="15" t="n">
        <f aca="false">P220-Q220</f>
        <v>45342.78</v>
      </c>
      <c r="T220" s="11" t="n">
        <f aca="false">IF(OR(J220="Completed",J220="Returned"),1,0)</f>
        <v>0</v>
      </c>
    </row>
    <row r="221" customFormat="false" ht="15" hidden="false" customHeight="false" outlineLevel="0" collapsed="false">
      <c r="A221" s="11" t="s">
        <v>1077</v>
      </c>
      <c r="B221" s="11" t="s">
        <v>289</v>
      </c>
      <c r="C221" s="24" t="n">
        <v>45807</v>
      </c>
      <c r="D221" s="11" t="s">
        <v>48</v>
      </c>
      <c r="E221" s="11" t="s">
        <v>76</v>
      </c>
      <c r="F221" s="11" t="s">
        <v>78</v>
      </c>
      <c r="G221" s="11" t="s">
        <v>633</v>
      </c>
      <c r="H221" s="11" t="s">
        <v>22</v>
      </c>
      <c r="I221" s="11" t="s">
        <v>113</v>
      </c>
      <c r="J221" s="11" t="s">
        <v>250</v>
      </c>
      <c r="K221" s="11" t="n">
        <v>2</v>
      </c>
      <c r="L221" s="15" t="n">
        <v>4574.41</v>
      </c>
      <c r="M221" s="11" t="n">
        <v>15</v>
      </c>
      <c r="N221" s="15" t="n">
        <v>9148.82</v>
      </c>
      <c r="O221" s="15" t="n">
        <v>1372.32</v>
      </c>
      <c r="P221" s="15" t="n">
        <v>7776.5</v>
      </c>
      <c r="Q221" s="15" t="n">
        <v>0</v>
      </c>
      <c r="R221" s="11" t="n">
        <v>0</v>
      </c>
      <c r="S221" s="15" t="n">
        <f aca="false">P221-Q221</f>
        <v>7776.5</v>
      </c>
      <c r="T221" s="11" t="n">
        <f aca="false">IF(OR(J221="Completed",J221="Returned"),1,0)</f>
        <v>0</v>
      </c>
    </row>
    <row r="222" customFormat="false" ht="15" hidden="false" customHeight="false" outlineLevel="0" collapsed="false">
      <c r="A222" s="11" t="s">
        <v>1078</v>
      </c>
      <c r="B222" s="11" t="s">
        <v>514</v>
      </c>
      <c r="C222" s="24" t="n">
        <v>45474</v>
      </c>
      <c r="D222" s="11" t="s">
        <v>38</v>
      </c>
      <c r="E222" s="11" t="s">
        <v>1079</v>
      </c>
      <c r="F222" s="11" t="s">
        <v>78</v>
      </c>
      <c r="G222" s="11" t="s">
        <v>143</v>
      </c>
      <c r="H222" s="11" t="s">
        <v>23</v>
      </c>
      <c r="I222" s="11" t="s">
        <v>113</v>
      </c>
      <c r="J222" s="11" t="s">
        <v>242</v>
      </c>
      <c r="K222" s="11" t="n">
        <v>5</v>
      </c>
      <c r="L222" s="15" t="n">
        <v>8318.56</v>
      </c>
      <c r="M222" s="11" t="n">
        <v>15</v>
      </c>
      <c r="N222" s="15" t="n">
        <v>41592.8</v>
      </c>
      <c r="O222" s="15" t="n">
        <v>6238.92</v>
      </c>
      <c r="P222" s="15" t="n">
        <v>35353.88</v>
      </c>
      <c r="Q222" s="15" t="n">
        <v>0</v>
      </c>
      <c r="R222" s="11" t="n">
        <v>0</v>
      </c>
      <c r="S222" s="15" t="n">
        <f aca="false">P222-Q222</f>
        <v>35353.88</v>
      </c>
      <c r="T222" s="11" t="n">
        <f aca="false">IF(OR(J222="Completed",J222="Returned"),1,0)</f>
        <v>1</v>
      </c>
    </row>
    <row r="223" customFormat="false" ht="15" hidden="false" customHeight="false" outlineLevel="0" collapsed="false">
      <c r="A223" s="11" t="s">
        <v>1080</v>
      </c>
      <c r="B223" s="11" t="s">
        <v>514</v>
      </c>
      <c r="C223" s="24" t="n">
        <v>45474</v>
      </c>
      <c r="D223" s="11" t="s">
        <v>38</v>
      </c>
      <c r="E223" s="11" t="s">
        <v>1079</v>
      </c>
      <c r="F223" s="11" t="s">
        <v>78</v>
      </c>
      <c r="G223" s="11" t="s">
        <v>981</v>
      </c>
      <c r="H223" s="11" t="s">
        <v>21</v>
      </c>
      <c r="I223" s="11" t="s">
        <v>113</v>
      </c>
      <c r="J223" s="11" t="s">
        <v>242</v>
      </c>
      <c r="K223" s="11" t="n">
        <v>5</v>
      </c>
      <c r="L223" s="15" t="n">
        <v>19552.29</v>
      </c>
      <c r="M223" s="11" t="n">
        <v>20</v>
      </c>
      <c r="N223" s="15" t="n">
        <v>97761.45</v>
      </c>
      <c r="O223" s="15" t="n">
        <v>19552.29</v>
      </c>
      <c r="P223" s="15" t="n">
        <v>78209.16</v>
      </c>
      <c r="Q223" s="15" t="n">
        <v>0</v>
      </c>
      <c r="R223" s="11" t="n">
        <v>0</v>
      </c>
      <c r="S223" s="15" t="n">
        <f aca="false">P223-Q223</f>
        <v>78209.16</v>
      </c>
      <c r="T223" s="11" t="n">
        <f aca="false">IF(OR(J223="Completed",J223="Returned"),1,0)</f>
        <v>1</v>
      </c>
    </row>
    <row r="224" customFormat="false" ht="15" hidden="false" customHeight="false" outlineLevel="0" collapsed="false">
      <c r="A224" s="11" t="s">
        <v>1081</v>
      </c>
      <c r="B224" s="11" t="s">
        <v>525</v>
      </c>
      <c r="C224" s="24" t="n">
        <v>45552</v>
      </c>
      <c r="D224" s="11" t="s">
        <v>40</v>
      </c>
      <c r="E224" s="11" t="s">
        <v>1082</v>
      </c>
      <c r="F224" s="11" t="s">
        <v>74</v>
      </c>
      <c r="G224" s="11" t="s">
        <v>641</v>
      </c>
      <c r="H224" s="11" t="s">
        <v>24</v>
      </c>
      <c r="I224" s="11" t="s">
        <v>114</v>
      </c>
      <c r="J224" s="11" t="s">
        <v>242</v>
      </c>
      <c r="K224" s="11" t="n">
        <v>1</v>
      </c>
      <c r="L224" s="15" t="n">
        <v>7313.65</v>
      </c>
      <c r="M224" s="11" t="n">
        <v>0</v>
      </c>
      <c r="N224" s="15" t="n">
        <v>7313.65</v>
      </c>
      <c r="O224" s="15" t="n">
        <v>0</v>
      </c>
      <c r="P224" s="15" t="n">
        <v>7313.65</v>
      </c>
      <c r="Q224" s="15" t="n">
        <v>0</v>
      </c>
      <c r="R224" s="11" t="n">
        <v>0</v>
      </c>
      <c r="S224" s="15" t="n">
        <f aca="false">P224-Q224</f>
        <v>7313.65</v>
      </c>
      <c r="T224" s="11" t="n">
        <f aca="false">IF(OR(J224="Completed",J224="Returned"),1,0)</f>
        <v>1</v>
      </c>
    </row>
    <row r="225" customFormat="false" ht="15" hidden="false" customHeight="false" outlineLevel="0" collapsed="false">
      <c r="A225" s="11" t="s">
        <v>1083</v>
      </c>
      <c r="B225" s="11" t="s">
        <v>383</v>
      </c>
      <c r="C225" s="24" t="n">
        <v>45297</v>
      </c>
      <c r="D225" s="11" t="s">
        <v>32</v>
      </c>
      <c r="E225" s="11" t="s">
        <v>1084</v>
      </c>
      <c r="F225" s="11" t="s">
        <v>74</v>
      </c>
      <c r="G225" s="11" t="s">
        <v>135</v>
      </c>
      <c r="H225" s="11" t="s">
        <v>22</v>
      </c>
      <c r="I225" s="11" t="s">
        <v>115</v>
      </c>
      <c r="J225" s="11" t="s">
        <v>242</v>
      </c>
      <c r="K225" s="11" t="n">
        <v>3</v>
      </c>
      <c r="L225" s="15" t="n">
        <v>22655.14</v>
      </c>
      <c r="M225" s="11" t="n">
        <v>20</v>
      </c>
      <c r="N225" s="15" t="n">
        <v>67965.42</v>
      </c>
      <c r="O225" s="15" t="n">
        <v>13593.08</v>
      </c>
      <c r="P225" s="15" t="n">
        <v>54372.34</v>
      </c>
      <c r="Q225" s="15" t="n">
        <v>0</v>
      </c>
      <c r="R225" s="11" t="n">
        <v>0</v>
      </c>
      <c r="S225" s="15" t="n">
        <f aca="false">P225-Q225</f>
        <v>54372.34</v>
      </c>
      <c r="T225" s="11" t="n">
        <f aca="false">IF(OR(J225="Completed",J225="Returned"),1,0)</f>
        <v>1</v>
      </c>
    </row>
    <row r="226" customFormat="false" ht="15" hidden="false" customHeight="false" outlineLevel="0" collapsed="false">
      <c r="A226" s="11" t="s">
        <v>1085</v>
      </c>
      <c r="B226" s="11" t="s">
        <v>383</v>
      </c>
      <c r="C226" s="24" t="n">
        <v>45297</v>
      </c>
      <c r="D226" s="11" t="s">
        <v>32</v>
      </c>
      <c r="E226" s="11" t="s">
        <v>1084</v>
      </c>
      <c r="F226" s="11" t="s">
        <v>74</v>
      </c>
      <c r="G226" s="11" t="s">
        <v>145</v>
      </c>
      <c r="H226" s="11" t="s">
        <v>20</v>
      </c>
      <c r="I226" s="11" t="s">
        <v>115</v>
      </c>
      <c r="J226" s="11" t="s">
        <v>242</v>
      </c>
      <c r="K226" s="11" t="n">
        <v>4</v>
      </c>
      <c r="L226" s="15" t="n">
        <v>20098.63</v>
      </c>
      <c r="M226" s="11" t="n">
        <v>15</v>
      </c>
      <c r="N226" s="15" t="n">
        <v>80394.52</v>
      </c>
      <c r="O226" s="15" t="n">
        <v>12059.18</v>
      </c>
      <c r="P226" s="15" t="n">
        <v>68335.34</v>
      </c>
      <c r="Q226" s="15" t="n">
        <v>0</v>
      </c>
      <c r="R226" s="11" t="n">
        <v>0</v>
      </c>
      <c r="S226" s="15" t="n">
        <f aca="false">P226-Q226</f>
        <v>68335.34</v>
      </c>
      <c r="T226" s="11" t="n">
        <f aca="false">IF(OR(J226="Completed",J226="Returned"),1,0)</f>
        <v>1</v>
      </c>
    </row>
    <row r="227" customFormat="false" ht="15" hidden="false" customHeight="false" outlineLevel="0" collapsed="false">
      <c r="A227" s="11" t="s">
        <v>1086</v>
      </c>
      <c r="B227" s="11" t="s">
        <v>409</v>
      </c>
      <c r="C227" s="24" t="n">
        <v>45592</v>
      </c>
      <c r="D227" s="11" t="s">
        <v>41</v>
      </c>
      <c r="E227" s="11" t="s">
        <v>1087</v>
      </c>
      <c r="F227" s="11" t="s">
        <v>78</v>
      </c>
      <c r="G227" s="11" t="s">
        <v>809</v>
      </c>
      <c r="H227" s="11" t="s">
        <v>22</v>
      </c>
      <c r="I227" s="11" t="s">
        <v>113</v>
      </c>
      <c r="J227" s="11" t="s">
        <v>269</v>
      </c>
      <c r="K227" s="11" t="n">
        <v>1</v>
      </c>
      <c r="L227" s="15" t="n">
        <v>22582.54</v>
      </c>
      <c r="M227" s="11" t="n">
        <v>20</v>
      </c>
      <c r="N227" s="15" t="n">
        <v>22582.54</v>
      </c>
      <c r="O227" s="15" t="n">
        <v>4516.51</v>
      </c>
      <c r="P227" s="15" t="n">
        <v>18066.03</v>
      </c>
      <c r="Q227" s="15" t="n">
        <v>0</v>
      </c>
      <c r="R227" s="11" t="n">
        <v>0</v>
      </c>
      <c r="S227" s="15" t="n">
        <f aca="false">P227-Q227</f>
        <v>18066.03</v>
      </c>
      <c r="T227" s="11" t="n">
        <f aca="false">IF(OR(J227="Completed",J227="Returned"),1,0)</f>
        <v>1</v>
      </c>
    </row>
    <row r="228" customFormat="false" ht="15" hidden="false" customHeight="false" outlineLevel="0" collapsed="false">
      <c r="A228" s="11" t="s">
        <v>1088</v>
      </c>
      <c r="B228" s="11" t="s">
        <v>409</v>
      </c>
      <c r="C228" s="24" t="n">
        <v>45592</v>
      </c>
      <c r="D228" s="11" t="s">
        <v>41</v>
      </c>
      <c r="E228" s="11" t="s">
        <v>1087</v>
      </c>
      <c r="F228" s="11" t="s">
        <v>78</v>
      </c>
      <c r="G228" s="11" t="s">
        <v>611</v>
      </c>
      <c r="H228" s="11" t="s">
        <v>22</v>
      </c>
      <c r="I228" s="11" t="s">
        <v>113</v>
      </c>
      <c r="J228" s="11" t="s">
        <v>269</v>
      </c>
      <c r="K228" s="11" t="n">
        <v>2</v>
      </c>
      <c r="L228" s="15" t="n">
        <v>3634.57</v>
      </c>
      <c r="M228" s="11" t="n">
        <v>20</v>
      </c>
      <c r="N228" s="15" t="n">
        <v>7269.14</v>
      </c>
      <c r="O228" s="15" t="n">
        <v>1453.83</v>
      </c>
      <c r="P228" s="15" t="n">
        <v>5815.31</v>
      </c>
      <c r="Q228" s="15" t="n">
        <v>0</v>
      </c>
      <c r="R228" s="11" t="n">
        <v>0</v>
      </c>
      <c r="S228" s="15" t="n">
        <f aca="false">P228-Q228</f>
        <v>5815.31</v>
      </c>
      <c r="T228" s="11" t="n">
        <f aca="false">IF(OR(J228="Completed",J228="Returned"),1,0)</f>
        <v>1</v>
      </c>
    </row>
    <row r="229" customFormat="false" ht="15" hidden="false" customHeight="false" outlineLevel="0" collapsed="false">
      <c r="A229" s="11" t="s">
        <v>1089</v>
      </c>
      <c r="B229" s="11" t="s">
        <v>409</v>
      </c>
      <c r="C229" s="24" t="n">
        <v>45592</v>
      </c>
      <c r="D229" s="11" t="s">
        <v>41</v>
      </c>
      <c r="E229" s="11" t="s">
        <v>1087</v>
      </c>
      <c r="F229" s="11" t="s">
        <v>78</v>
      </c>
      <c r="G229" s="11" t="s">
        <v>607</v>
      </c>
      <c r="H229" s="11" t="s">
        <v>22</v>
      </c>
      <c r="I229" s="11" t="s">
        <v>113</v>
      </c>
      <c r="J229" s="11" t="s">
        <v>269</v>
      </c>
      <c r="K229" s="11" t="n">
        <v>2</v>
      </c>
      <c r="L229" s="15" t="n">
        <v>11569.57</v>
      </c>
      <c r="M229" s="11" t="n">
        <v>0</v>
      </c>
      <c r="N229" s="15" t="n">
        <v>23139.14</v>
      </c>
      <c r="O229" s="15" t="n">
        <v>0</v>
      </c>
      <c r="P229" s="15" t="n">
        <v>23139.14</v>
      </c>
      <c r="Q229" s="15" t="n">
        <v>0</v>
      </c>
      <c r="R229" s="11" t="n">
        <v>0</v>
      </c>
      <c r="S229" s="15" t="n">
        <f aca="false">P229-Q229</f>
        <v>23139.14</v>
      </c>
      <c r="T229" s="11" t="n">
        <f aca="false">IF(OR(J229="Completed",J229="Returned"),1,0)</f>
        <v>1</v>
      </c>
    </row>
    <row r="230" customFormat="false" ht="15" hidden="false" customHeight="false" outlineLevel="0" collapsed="false">
      <c r="A230" s="11" t="s">
        <v>1090</v>
      </c>
      <c r="B230" s="11" t="s">
        <v>375</v>
      </c>
      <c r="C230" s="24" t="n">
        <v>45432</v>
      </c>
      <c r="D230" s="11" t="s">
        <v>36</v>
      </c>
      <c r="E230" s="11" t="s">
        <v>1091</v>
      </c>
      <c r="F230" s="11" t="s">
        <v>74</v>
      </c>
      <c r="G230" s="11" t="s">
        <v>162</v>
      </c>
      <c r="H230" s="11" t="s">
        <v>20</v>
      </c>
      <c r="I230" s="11" t="s">
        <v>114</v>
      </c>
      <c r="J230" s="11" t="s">
        <v>269</v>
      </c>
      <c r="K230" s="11" t="n">
        <v>1</v>
      </c>
      <c r="L230" s="15" t="n">
        <v>16084.14</v>
      </c>
      <c r="M230" s="11" t="n">
        <v>0</v>
      </c>
      <c r="N230" s="15" t="n">
        <v>16084.14</v>
      </c>
      <c r="O230" s="15" t="n">
        <v>0</v>
      </c>
      <c r="P230" s="15" t="n">
        <v>16084.14</v>
      </c>
      <c r="Q230" s="15" t="n">
        <v>0</v>
      </c>
      <c r="R230" s="11" t="n">
        <v>0</v>
      </c>
      <c r="S230" s="15" t="n">
        <f aca="false">P230-Q230</f>
        <v>16084.14</v>
      </c>
      <c r="T230" s="11" t="n">
        <f aca="false">IF(OR(J230="Completed",J230="Returned"),1,0)</f>
        <v>1</v>
      </c>
    </row>
    <row r="231" customFormat="false" ht="15" hidden="false" customHeight="false" outlineLevel="0" collapsed="false">
      <c r="A231" s="11" t="s">
        <v>1092</v>
      </c>
      <c r="B231" s="11" t="s">
        <v>339</v>
      </c>
      <c r="C231" s="24" t="n">
        <v>45614</v>
      </c>
      <c r="D231" s="11" t="s">
        <v>42</v>
      </c>
      <c r="E231" s="11" t="s">
        <v>1060</v>
      </c>
      <c r="F231" s="11" t="s">
        <v>78</v>
      </c>
      <c r="G231" s="11" t="s">
        <v>1093</v>
      </c>
      <c r="H231" s="11" t="s">
        <v>21</v>
      </c>
      <c r="I231" s="11" t="s">
        <v>114</v>
      </c>
      <c r="J231" s="11" t="s">
        <v>242</v>
      </c>
      <c r="K231" s="11" t="n">
        <v>1</v>
      </c>
      <c r="L231" s="15" t="n">
        <v>13038.96</v>
      </c>
      <c r="M231" s="11" t="n">
        <v>0</v>
      </c>
      <c r="N231" s="15" t="n">
        <v>13038.96</v>
      </c>
      <c r="O231" s="15" t="n">
        <v>0</v>
      </c>
      <c r="P231" s="15" t="n">
        <v>13038.96</v>
      </c>
      <c r="Q231" s="15" t="n">
        <v>0</v>
      </c>
      <c r="R231" s="11" t="n">
        <v>0</v>
      </c>
      <c r="S231" s="15" t="n">
        <f aca="false">P231-Q231</f>
        <v>13038.96</v>
      </c>
      <c r="T231" s="11" t="n">
        <f aca="false">IF(OR(J231="Completed",J231="Returned"),1,0)</f>
        <v>1</v>
      </c>
    </row>
    <row r="232" customFormat="false" ht="15" hidden="false" customHeight="false" outlineLevel="0" collapsed="false">
      <c r="A232" s="11" t="s">
        <v>1094</v>
      </c>
      <c r="B232" s="11" t="s">
        <v>509</v>
      </c>
      <c r="C232" s="24" t="n">
        <v>45546</v>
      </c>
      <c r="D232" s="11" t="s">
        <v>40</v>
      </c>
      <c r="E232" s="11" t="s">
        <v>803</v>
      </c>
      <c r="F232" s="11" t="s">
        <v>25</v>
      </c>
      <c r="G232" s="11" t="s">
        <v>605</v>
      </c>
      <c r="H232" s="11" t="s">
        <v>24</v>
      </c>
      <c r="I232" s="11" t="s">
        <v>114</v>
      </c>
      <c r="J232" s="11" t="s">
        <v>242</v>
      </c>
      <c r="K232" s="11" t="n">
        <v>5</v>
      </c>
      <c r="L232" s="15" t="n">
        <v>5818.64</v>
      </c>
      <c r="M232" s="11" t="n">
        <v>15</v>
      </c>
      <c r="N232" s="15" t="n">
        <v>29093.2</v>
      </c>
      <c r="O232" s="15" t="n">
        <v>4363.98</v>
      </c>
      <c r="P232" s="15" t="n">
        <v>24729.22</v>
      </c>
      <c r="Q232" s="15" t="n">
        <v>0</v>
      </c>
      <c r="R232" s="11" t="n">
        <v>0</v>
      </c>
      <c r="S232" s="15" t="n">
        <f aca="false">P232-Q232</f>
        <v>24729.22</v>
      </c>
      <c r="T232" s="11" t="n">
        <f aca="false">IF(OR(J232="Completed",J232="Returned"),1,0)</f>
        <v>1</v>
      </c>
    </row>
    <row r="233" customFormat="false" ht="15" hidden="false" customHeight="false" outlineLevel="0" collapsed="false">
      <c r="A233" s="11" t="s">
        <v>1095</v>
      </c>
      <c r="B233" s="11" t="s">
        <v>467</v>
      </c>
      <c r="C233" s="24" t="n">
        <v>45803</v>
      </c>
      <c r="D233" s="11" t="s">
        <v>48</v>
      </c>
      <c r="E233" s="11" t="s">
        <v>1096</v>
      </c>
      <c r="F233" s="11" t="s">
        <v>78</v>
      </c>
      <c r="G233" s="11" t="s">
        <v>150</v>
      </c>
      <c r="H233" s="11" t="s">
        <v>22</v>
      </c>
      <c r="I233" s="11" t="s">
        <v>114</v>
      </c>
      <c r="J233" s="11" t="s">
        <v>242</v>
      </c>
      <c r="K233" s="11" t="n">
        <v>3</v>
      </c>
      <c r="L233" s="15" t="n">
        <v>21978.46</v>
      </c>
      <c r="M233" s="11" t="n">
        <v>0</v>
      </c>
      <c r="N233" s="15" t="n">
        <v>65935.38</v>
      </c>
      <c r="O233" s="15" t="n">
        <v>0</v>
      </c>
      <c r="P233" s="15" t="n">
        <v>65935.38</v>
      </c>
      <c r="Q233" s="15" t="n">
        <v>0</v>
      </c>
      <c r="R233" s="11" t="n">
        <v>0</v>
      </c>
      <c r="S233" s="15" t="n">
        <f aca="false">P233-Q233</f>
        <v>65935.38</v>
      </c>
      <c r="T233" s="11" t="n">
        <f aca="false">IF(OR(J233="Completed",J233="Returned"),1,0)</f>
        <v>1</v>
      </c>
    </row>
    <row r="234" customFormat="false" ht="15" hidden="false" customHeight="false" outlineLevel="0" collapsed="false">
      <c r="A234" s="11" t="s">
        <v>1097</v>
      </c>
      <c r="B234" s="11" t="s">
        <v>414</v>
      </c>
      <c r="C234" s="24" t="n">
        <v>45464</v>
      </c>
      <c r="D234" s="11" t="s">
        <v>37</v>
      </c>
      <c r="E234" s="11" t="s">
        <v>1098</v>
      </c>
      <c r="F234" s="11" t="s">
        <v>82</v>
      </c>
      <c r="G234" s="11" t="s">
        <v>129</v>
      </c>
      <c r="H234" s="11" t="s">
        <v>24</v>
      </c>
      <c r="I234" s="11" t="s">
        <v>115</v>
      </c>
      <c r="J234" s="11" t="s">
        <v>242</v>
      </c>
      <c r="K234" s="11" t="n">
        <v>1</v>
      </c>
      <c r="L234" s="15" t="n">
        <v>3184.81</v>
      </c>
      <c r="M234" s="11" t="n">
        <v>0</v>
      </c>
      <c r="N234" s="15" t="n">
        <v>3184.81</v>
      </c>
      <c r="O234" s="15" t="n">
        <v>0</v>
      </c>
      <c r="P234" s="15" t="n">
        <v>3184.81</v>
      </c>
      <c r="Q234" s="15" t="n">
        <v>0</v>
      </c>
      <c r="R234" s="11" t="n">
        <v>0</v>
      </c>
      <c r="S234" s="15" t="n">
        <f aca="false">P234-Q234</f>
        <v>3184.81</v>
      </c>
      <c r="T234" s="11" t="n">
        <f aca="false">IF(OR(J234="Completed",J234="Returned"),1,0)</f>
        <v>1</v>
      </c>
    </row>
    <row r="235" customFormat="false" ht="15" hidden="false" customHeight="false" outlineLevel="0" collapsed="false">
      <c r="A235" s="11" t="s">
        <v>1099</v>
      </c>
      <c r="B235" s="11" t="s">
        <v>532</v>
      </c>
      <c r="C235" s="24" t="n">
        <v>45832</v>
      </c>
      <c r="D235" s="11" t="s">
        <v>49</v>
      </c>
      <c r="E235" s="11" t="s">
        <v>1100</v>
      </c>
      <c r="F235" s="11" t="s">
        <v>74</v>
      </c>
      <c r="G235" s="11" t="s">
        <v>923</v>
      </c>
      <c r="H235" s="11" t="s">
        <v>22</v>
      </c>
      <c r="I235" s="11" t="s">
        <v>115</v>
      </c>
      <c r="J235" s="11" t="s">
        <v>242</v>
      </c>
      <c r="K235" s="11" t="n">
        <v>3</v>
      </c>
      <c r="L235" s="15" t="n">
        <v>5145.55</v>
      </c>
      <c r="M235" s="11" t="n">
        <v>0</v>
      </c>
      <c r="N235" s="15" t="n">
        <v>15436.65</v>
      </c>
      <c r="O235" s="15" t="n">
        <v>0</v>
      </c>
      <c r="P235" s="15" t="n">
        <v>15436.65</v>
      </c>
      <c r="Q235" s="15" t="n">
        <v>0</v>
      </c>
      <c r="R235" s="11" t="n">
        <v>0</v>
      </c>
      <c r="S235" s="15" t="n">
        <f aca="false">P235-Q235</f>
        <v>15436.65</v>
      </c>
      <c r="T235" s="11" t="n">
        <f aca="false">IF(OR(J235="Completed",J235="Returned"),1,0)</f>
        <v>1</v>
      </c>
    </row>
    <row r="236" customFormat="false" ht="15" hidden="false" customHeight="false" outlineLevel="0" collapsed="false">
      <c r="A236" s="11" t="s">
        <v>1101</v>
      </c>
      <c r="B236" s="11" t="s">
        <v>532</v>
      </c>
      <c r="C236" s="24" t="n">
        <v>45832</v>
      </c>
      <c r="D236" s="11" t="s">
        <v>49</v>
      </c>
      <c r="E236" s="11" t="s">
        <v>1100</v>
      </c>
      <c r="F236" s="11" t="s">
        <v>74</v>
      </c>
      <c r="G236" s="11" t="s">
        <v>630</v>
      </c>
      <c r="H236" s="11" t="s">
        <v>23</v>
      </c>
      <c r="I236" s="11" t="s">
        <v>115</v>
      </c>
      <c r="J236" s="11" t="s">
        <v>242</v>
      </c>
      <c r="K236" s="11" t="n">
        <v>3</v>
      </c>
      <c r="L236" s="15" t="n">
        <v>18828.5</v>
      </c>
      <c r="M236" s="11" t="n">
        <v>15</v>
      </c>
      <c r="N236" s="15" t="n">
        <v>56485.5</v>
      </c>
      <c r="O236" s="15" t="n">
        <v>8472.83</v>
      </c>
      <c r="P236" s="15" t="n">
        <v>48012.67</v>
      </c>
      <c r="Q236" s="15" t="n">
        <v>0</v>
      </c>
      <c r="R236" s="11" t="n">
        <v>0</v>
      </c>
      <c r="S236" s="15" t="n">
        <f aca="false">P236-Q236</f>
        <v>48012.67</v>
      </c>
      <c r="T236" s="11" t="n">
        <f aca="false">IF(OR(J236="Completed",J236="Returned"),1,0)</f>
        <v>1</v>
      </c>
    </row>
    <row r="237" customFormat="false" ht="15" hidden="false" customHeight="false" outlineLevel="0" collapsed="false">
      <c r="A237" s="11" t="s">
        <v>1102</v>
      </c>
      <c r="B237" s="11" t="s">
        <v>371</v>
      </c>
      <c r="C237" s="24" t="n">
        <v>45607</v>
      </c>
      <c r="D237" s="11" t="s">
        <v>42</v>
      </c>
      <c r="E237" s="11" t="s">
        <v>1103</v>
      </c>
      <c r="F237" s="11" t="s">
        <v>70</v>
      </c>
      <c r="G237" s="11" t="s">
        <v>965</v>
      </c>
      <c r="H237" s="11" t="s">
        <v>23</v>
      </c>
      <c r="I237" s="11" t="s">
        <v>114</v>
      </c>
      <c r="J237" s="11" t="s">
        <v>269</v>
      </c>
      <c r="K237" s="11" t="n">
        <v>5</v>
      </c>
      <c r="L237" s="15" t="n">
        <v>4511.74</v>
      </c>
      <c r="M237" s="11" t="n">
        <v>20</v>
      </c>
      <c r="N237" s="15" t="n">
        <v>22558.7</v>
      </c>
      <c r="O237" s="15" t="n">
        <v>4511.74</v>
      </c>
      <c r="P237" s="15" t="n">
        <v>18046.96</v>
      </c>
      <c r="Q237" s="15" t="n">
        <v>0</v>
      </c>
      <c r="R237" s="11" t="n">
        <v>0</v>
      </c>
      <c r="S237" s="15" t="n">
        <f aca="false">P237-Q237</f>
        <v>18046.96</v>
      </c>
      <c r="T237" s="11" t="n">
        <f aca="false">IF(OR(J237="Completed",J237="Returned"),1,0)</f>
        <v>1</v>
      </c>
    </row>
    <row r="238" customFormat="false" ht="15" hidden="false" customHeight="false" outlineLevel="0" collapsed="false">
      <c r="A238" s="11" t="s">
        <v>1104</v>
      </c>
      <c r="B238" s="11" t="s">
        <v>371</v>
      </c>
      <c r="C238" s="24" t="n">
        <v>45607</v>
      </c>
      <c r="D238" s="11" t="s">
        <v>42</v>
      </c>
      <c r="E238" s="11" t="s">
        <v>1103</v>
      </c>
      <c r="F238" s="11" t="s">
        <v>70</v>
      </c>
      <c r="G238" s="11" t="s">
        <v>907</v>
      </c>
      <c r="H238" s="11" t="s">
        <v>22</v>
      </c>
      <c r="I238" s="11" t="s">
        <v>114</v>
      </c>
      <c r="J238" s="11" t="s">
        <v>269</v>
      </c>
      <c r="K238" s="11" t="n">
        <v>1</v>
      </c>
      <c r="L238" s="15" t="n">
        <v>25643.17</v>
      </c>
      <c r="M238" s="11" t="n">
        <v>0</v>
      </c>
      <c r="N238" s="15" t="n">
        <v>25643.17</v>
      </c>
      <c r="O238" s="15" t="n">
        <v>0</v>
      </c>
      <c r="P238" s="15" t="n">
        <v>25643.17</v>
      </c>
      <c r="Q238" s="15" t="n">
        <v>0</v>
      </c>
      <c r="R238" s="11" t="n">
        <v>0</v>
      </c>
      <c r="S238" s="15" t="n">
        <f aca="false">P238-Q238</f>
        <v>25643.17</v>
      </c>
      <c r="T238" s="11" t="n">
        <f aca="false">IF(OR(J238="Completed",J238="Returned"),1,0)</f>
        <v>1</v>
      </c>
    </row>
    <row r="239" customFormat="false" ht="15" hidden="false" customHeight="false" outlineLevel="0" collapsed="false">
      <c r="A239" s="11" t="s">
        <v>1105</v>
      </c>
      <c r="B239" s="11" t="s">
        <v>371</v>
      </c>
      <c r="C239" s="24" t="n">
        <v>45607</v>
      </c>
      <c r="D239" s="11" t="s">
        <v>42</v>
      </c>
      <c r="E239" s="11" t="s">
        <v>1103</v>
      </c>
      <c r="F239" s="11" t="s">
        <v>70</v>
      </c>
      <c r="G239" s="11" t="s">
        <v>131</v>
      </c>
      <c r="H239" s="11" t="s">
        <v>22</v>
      </c>
      <c r="I239" s="11" t="s">
        <v>114</v>
      </c>
      <c r="J239" s="11" t="s">
        <v>269</v>
      </c>
      <c r="K239" s="11" t="n">
        <v>2</v>
      </c>
      <c r="L239" s="15" t="n">
        <v>11284.39</v>
      </c>
      <c r="M239" s="11" t="n">
        <v>5</v>
      </c>
      <c r="N239" s="15" t="n">
        <v>22568.78</v>
      </c>
      <c r="O239" s="15" t="n">
        <v>1128.44</v>
      </c>
      <c r="P239" s="15" t="n">
        <v>21440.34</v>
      </c>
      <c r="Q239" s="15" t="n">
        <v>0</v>
      </c>
      <c r="R239" s="11" t="n">
        <v>0</v>
      </c>
      <c r="S239" s="15" t="n">
        <f aca="false">P239-Q239</f>
        <v>21440.34</v>
      </c>
      <c r="T239" s="11" t="n">
        <f aca="false">IF(OR(J239="Completed",J239="Returned"),1,0)</f>
        <v>1</v>
      </c>
    </row>
    <row r="240" customFormat="false" ht="15" hidden="false" customHeight="false" outlineLevel="0" collapsed="false">
      <c r="A240" s="11" t="s">
        <v>1106</v>
      </c>
      <c r="B240" s="11" t="s">
        <v>452</v>
      </c>
      <c r="C240" s="24" t="n">
        <v>45361</v>
      </c>
      <c r="D240" s="11" t="s">
        <v>34</v>
      </c>
      <c r="E240" s="11" t="s">
        <v>1107</v>
      </c>
      <c r="F240" s="11" t="s">
        <v>70</v>
      </c>
      <c r="G240" s="11" t="s">
        <v>637</v>
      </c>
      <c r="H240" s="11" t="s">
        <v>21</v>
      </c>
      <c r="I240" s="11" t="s">
        <v>113</v>
      </c>
      <c r="J240" s="11" t="s">
        <v>246</v>
      </c>
      <c r="K240" s="11" t="n">
        <v>1</v>
      </c>
      <c r="L240" s="15" t="n">
        <v>3019.36</v>
      </c>
      <c r="M240" s="11" t="n">
        <v>0</v>
      </c>
      <c r="N240" s="15" t="n">
        <v>3019.36</v>
      </c>
      <c r="O240" s="15" t="n">
        <v>0</v>
      </c>
      <c r="P240" s="15" t="n">
        <v>3019.36</v>
      </c>
      <c r="Q240" s="15" t="n">
        <v>0</v>
      </c>
      <c r="R240" s="11" t="n">
        <v>0</v>
      </c>
      <c r="S240" s="15" t="n">
        <f aca="false">P240-Q240</f>
        <v>3019.36</v>
      </c>
      <c r="T240" s="11" t="n">
        <f aca="false">IF(OR(J240="Completed",J240="Returned"),1,0)</f>
        <v>0</v>
      </c>
    </row>
    <row r="241" customFormat="false" ht="15" hidden="false" customHeight="false" outlineLevel="0" collapsed="false">
      <c r="A241" s="11" t="s">
        <v>1108</v>
      </c>
      <c r="B241" s="11" t="s">
        <v>452</v>
      </c>
      <c r="C241" s="24" t="n">
        <v>45361</v>
      </c>
      <c r="D241" s="11" t="s">
        <v>34</v>
      </c>
      <c r="E241" s="11" t="s">
        <v>1107</v>
      </c>
      <c r="F241" s="11" t="s">
        <v>70</v>
      </c>
      <c r="G241" s="11" t="s">
        <v>822</v>
      </c>
      <c r="H241" s="11" t="s">
        <v>21</v>
      </c>
      <c r="I241" s="11" t="s">
        <v>113</v>
      </c>
      <c r="J241" s="11" t="s">
        <v>246</v>
      </c>
      <c r="K241" s="11" t="n">
        <v>4</v>
      </c>
      <c r="L241" s="15" t="n">
        <v>11089.19</v>
      </c>
      <c r="M241" s="11" t="n">
        <v>5</v>
      </c>
      <c r="N241" s="15" t="n">
        <v>44356.76</v>
      </c>
      <c r="O241" s="15" t="n">
        <v>2217.84</v>
      </c>
      <c r="P241" s="15" t="n">
        <v>42138.92</v>
      </c>
      <c r="Q241" s="15" t="n">
        <v>0</v>
      </c>
      <c r="R241" s="11" t="n">
        <v>0</v>
      </c>
      <c r="S241" s="15" t="n">
        <f aca="false">P241-Q241</f>
        <v>42138.92</v>
      </c>
      <c r="T241" s="11" t="n">
        <f aca="false">IF(OR(J241="Completed",J241="Returned"),1,0)</f>
        <v>0</v>
      </c>
    </row>
    <row r="242" customFormat="false" ht="15" hidden="false" customHeight="false" outlineLevel="0" collapsed="false">
      <c r="A242" s="11" t="s">
        <v>1109</v>
      </c>
      <c r="B242" s="11" t="s">
        <v>447</v>
      </c>
      <c r="C242" s="24" t="n">
        <v>45589</v>
      </c>
      <c r="D242" s="11" t="s">
        <v>41</v>
      </c>
      <c r="E242" s="11" t="s">
        <v>1110</v>
      </c>
      <c r="F242" s="11" t="s">
        <v>78</v>
      </c>
      <c r="G242" s="11" t="s">
        <v>803</v>
      </c>
      <c r="H242" s="11" t="s">
        <v>25</v>
      </c>
      <c r="I242" s="11" t="s">
        <v>113</v>
      </c>
      <c r="J242" s="11" t="s">
        <v>250</v>
      </c>
      <c r="K242" s="11" t="n">
        <v>1</v>
      </c>
      <c r="L242" s="15" t="n">
        <v>21122.18</v>
      </c>
      <c r="M242" s="11" t="n">
        <v>0</v>
      </c>
      <c r="N242" s="15" t="n">
        <v>21122.18</v>
      </c>
      <c r="O242" s="15" t="n">
        <v>0</v>
      </c>
      <c r="P242" s="15" t="n">
        <v>21122.18</v>
      </c>
      <c r="Q242" s="15" t="n">
        <v>0</v>
      </c>
      <c r="R242" s="11" t="n">
        <v>0</v>
      </c>
      <c r="S242" s="15" t="n">
        <f aca="false">P242-Q242</f>
        <v>21122.18</v>
      </c>
      <c r="T242" s="11" t="n">
        <f aca="false">IF(OR(J242="Completed",J242="Returned"),1,0)</f>
        <v>0</v>
      </c>
    </row>
    <row r="243" customFormat="false" ht="15" hidden="false" customHeight="false" outlineLevel="0" collapsed="false">
      <c r="A243" s="11" t="s">
        <v>1111</v>
      </c>
      <c r="B243" s="11" t="s">
        <v>447</v>
      </c>
      <c r="C243" s="24" t="n">
        <v>45589</v>
      </c>
      <c r="D243" s="11" t="s">
        <v>41</v>
      </c>
      <c r="E243" s="11" t="s">
        <v>1110</v>
      </c>
      <c r="F243" s="11" t="s">
        <v>78</v>
      </c>
      <c r="G243" s="11" t="s">
        <v>965</v>
      </c>
      <c r="H243" s="11" t="s">
        <v>23</v>
      </c>
      <c r="I243" s="11" t="s">
        <v>113</v>
      </c>
      <c r="J243" s="11" t="s">
        <v>250</v>
      </c>
      <c r="K243" s="11" t="n">
        <v>4</v>
      </c>
      <c r="L243" s="15" t="n">
        <v>4511.74</v>
      </c>
      <c r="M243" s="11" t="n">
        <v>0</v>
      </c>
      <c r="N243" s="15" t="n">
        <v>18046.96</v>
      </c>
      <c r="O243" s="15" t="n">
        <v>0</v>
      </c>
      <c r="P243" s="15" t="n">
        <v>18046.96</v>
      </c>
      <c r="Q243" s="15" t="n">
        <v>0</v>
      </c>
      <c r="R243" s="11" t="n">
        <v>0</v>
      </c>
      <c r="S243" s="15" t="n">
        <f aca="false">P243-Q243</f>
        <v>18046.96</v>
      </c>
      <c r="T243" s="11" t="n">
        <f aca="false">IF(OR(J243="Completed",J243="Returned"),1,0)</f>
        <v>0</v>
      </c>
    </row>
    <row r="244" customFormat="false" ht="15" hidden="false" customHeight="false" outlineLevel="0" collapsed="false">
      <c r="A244" s="11" t="s">
        <v>1112</v>
      </c>
      <c r="B244" s="11" t="s">
        <v>474</v>
      </c>
      <c r="C244" s="24" t="n">
        <v>45457</v>
      </c>
      <c r="D244" s="11" t="s">
        <v>37</v>
      </c>
      <c r="E244" s="11" t="s">
        <v>1091</v>
      </c>
      <c r="F244" s="11" t="s">
        <v>74</v>
      </c>
      <c r="G244" s="11" t="s">
        <v>957</v>
      </c>
      <c r="H244" s="11" t="s">
        <v>23</v>
      </c>
      <c r="I244" s="11" t="s">
        <v>115</v>
      </c>
      <c r="J244" s="11" t="s">
        <v>242</v>
      </c>
      <c r="K244" s="11" t="n">
        <v>3</v>
      </c>
      <c r="L244" s="15" t="n">
        <v>1741.05</v>
      </c>
      <c r="M244" s="11" t="n">
        <v>0</v>
      </c>
      <c r="N244" s="15" t="n">
        <v>5223.15</v>
      </c>
      <c r="O244" s="15" t="n">
        <v>0</v>
      </c>
      <c r="P244" s="15" t="n">
        <v>5223.15</v>
      </c>
      <c r="Q244" s="15" t="n">
        <v>0</v>
      </c>
      <c r="R244" s="11" t="n">
        <v>0</v>
      </c>
      <c r="S244" s="15" t="n">
        <f aca="false">P244-Q244</f>
        <v>5223.15</v>
      </c>
      <c r="T244" s="11" t="n">
        <f aca="false">IF(OR(J244="Completed",J244="Returned"),1,0)</f>
        <v>1</v>
      </c>
    </row>
    <row r="245" customFormat="false" ht="15" hidden="false" customHeight="false" outlineLevel="0" collapsed="false">
      <c r="A245" s="11" t="s">
        <v>1113</v>
      </c>
      <c r="B245" s="11" t="s">
        <v>474</v>
      </c>
      <c r="C245" s="24" t="n">
        <v>45457</v>
      </c>
      <c r="D245" s="11" t="s">
        <v>37</v>
      </c>
      <c r="E245" s="11" t="s">
        <v>1091</v>
      </c>
      <c r="F245" s="11" t="s">
        <v>74</v>
      </c>
      <c r="G245" s="11" t="s">
        <v>775</v>
      </c>
      <c r="H245" s="11" t="s">
        <v>23</v>
      </c>
      <c r="I245" s="11" t="s">
        <v>115</v>
      </c>
      <c r="J245" s="11" t="s">
        <v>242</v>
      </c>
      <c r="K245" s="11" t="n">
        <v>2</v>
      </c>
      <c r="L245" s="15" t="n">
        <v>26274.11</v>
      </c>
      <c r="M245" s="11" t="n">
        <v>10</v>
      </c>
      <c r="N245" s="15" t="n">
        <v>52548.22</v>
      </c>
      <c r="O245" s="15" t="n">
        <v>5254.82</v>
      </c>
      <c r="P245" s="15" t="n">
        <v>47293.4</v>
      </c>
      <c r="Q245" s="15" t="n">
        <v>0</v>
      </c>
      <c r="R245" s="11" t="n">
        <v>0</v>
      </c>
      <c r="S245" s="15" t="n">
        <f aca="false">P245-Q245</f>
        <v>47293.4</v>
      </c>
      <c r="T245" s="11" t="n">
        <f aca="false">IF(OR(J245="Completed",J245="Returned"),1,0)</f>
        <v>1</v>
      </c>
    </row>
    <row r="246" customFormat="false" ht="15" hidden="false" customHeight="false" outlineLevel="0" collapsed="false">
      <c r="A246" s="11" t="s">
        <v>1114</v>
      </c>
      <c r="B246" s="11" t="s">
        <v>311</v>
      </c>
      <c r="C246" s="24" t="n">
        <v>45742</v>
      </c>
      <c r="D246" s="11" t="s">
        <v>46</v>
      </c>
      <c r="E246" s="11" t="s">
        <v>1115</v>
      </c>
      <c r="F246" s="11" t="s">
        <v>74</v>
      </c>
      <c r="G246" s="11" t="s">
        <v>613</v>
      </c>
      <c r="H246" s="11" t="s">
        <v>23</v>
      </c>
      <c r="I246" s="11" t="s">
        <v>113</v>
      </c>
      <c r="J246" s="11" t="s">
        <v>250</v>
      </c>
      <c r="K246" s="11" t="n">
        <v>1</v>
      </c>
      <c r="L246" s="15" t="n">
        <v>7218.53</v>
      </c>
      <c r="M246" s="11" t="n">
        <v>0</v>
      </c>
      <c r="N246" s="15" t="n">
        <v>7218.53</v>
      </c>
      <c r="O246" s="15" t="n">
        <v>0</v>
      </c>
      <c r="P246" s="15" t="n">
        <v>7218.53</v>
      </c>
      <c r="Q246" s="15" t="n">
        <v>0</v>
      </c>
      <c r="R246" s="11" t="n">
        <v>0</v>
      </c>
      <c r="S246" s="15" t="n">
        <f aca="false">P246-Q246</f>
        <v>7218.53</v>
      </c>
      <c r="T246" s="11" t="n">
        <f aca="false">IF(OR(J246="Completed",J246="Returned"),1,0)</f>
        <v>0</v>
      </c>
    </row>
    <row r="247" customFormat="false" ht="15" hidden="false" customHeight="false" outlineLevel="0" collapsed="false">
      <c r="A247" s="11" t="s">
        <v>1116</v>
      </c>
      <c r="B247" s="11" t="s">
        <v>311</v>
      </c>
      <c r="C247" s="24" t="n">
        <v>45742</v>
      </c>
      <c r="D247" s="11" t="s">
        <v>46</v>
      </c>
      <c r="E247" s="11" t="s">
        <v>1115</v>
      </c>
      <c r="F247" s="11" t="s">
        <v>74</v>
      </c>
      <c r="G247" s="11" t="s">
        <v>631</v>
      </c>
      <c r="H247" s="11" t="s">
        <v>24</v>
      </c>
      <c r="I247" s="11" t="s">
        <v>113</v>
      </c>
      <c r="J247" s="11" t="s">
        <v>250</v>
      </c>
      <c r="K247" s="11" t="n">
        <v>4</v>
      </c>
      <c r="L247" s="15" t="n">
        <v>11518.86</v>
      </c>
      <c r="M247" s="11" t="n">
        <v>5</v>
      </c>
      <c r="N247" s="15" t="n">
        <v>46075.44</v>
      </c>
      <c r="O247" s="15" t="n">
        <v>2303.77</v>
      </c>
      <c r="P247" s="15" t="n">
        <v>43771.67</v>
      </c>
      <c r="Q247" s="15" t="n">
        <v>0</v>
      </c>
      <c r="R247" s="11" t="n">
        <v>0</v>
      </c>
      <c r="S247" s="15" t="n">
        <f aca="false">P247-Q247</f>
        <v>43771.67</v>
      </c>
      <c r="T247" s="11" t="n">
        <f aca="false">IF(OR(J247="Completed",J247="Returned"),1,0)</f>
        <v>0</v>
      </c>
    </row>
    <row r="248" customFormat="false" ht="15" hidden="false" customHeight="false" outlineLevel="0" collapsed="false">
      <c r="A248" s="11" t="s">
        <v>1117</v>
      </c>
      <c r="B248" s="11" t="s">
        <v>311</v>
      </c>
      <c r="C248" s="24" t="n">
        <v>45742</v>
      </c>
      <c r="D248" s="11" t="s">
        <v>46</v>
      </c>
      <c r="E248" s="11" t="s">
        <v>1115</v>
      </c>
      <c r="F248" s="11" t="s">
        <v>74</v>
      </c>
      <c r="G248" s="11" t="s">
        <v>158</v>
      </c>
      <c r="H248" s="11" t="s">
        <v>22</v>
      </c>
      <c r="I248" s="11" t="s">
        <v>113</v>
      </c>
      <c r="J248" s="11" t="s">
        <v>250</v>
      </c>
      <c r="K248" s="11" t="n">
        <v>3</v>
      </c>
      <c r="L248" s="15" t="n">
        <v>5471.28</v>
      </c>
      <c r="M248" s="11" t="n">
        <v>20</v>
      </c>
      <c r="N248" s="15" t="n">
        <v>16413.84</v>
      </c>
      <c r="O248" s="15" t="n">
        <v>3282.77</v>
      </c>
      <c r="P248" s="15" t="n">
        <v>13131.07</v>
      </c>
      <c r="Q248" s="15" t="n">
        <v>0</v>
      </c>
      <c r="R248" s="11" t="n">
        <v>0</v>
      </c>
      <c r="S248" s="15" t="n">
        <f aca="false">P248-Q248</f>
        <v>13131.07</v>
      </c>
      <c r="T248" s="11" t="n">
        <f aca="false">IF(OR(J248="Completed",J248="Returned"),1,0)</f>
        <v>0</v>
      </c>
    </row>
    <row r="249" customFormat="false" ht="15" hidden="false" customHeight="false" outlineLevel="0" collapsed="false">
      <c r="A249" s="11" t="s">
        <v>1118</v>
      </c>
      <c r="B249" s="11" t="s">
        <v>379</v>
      </c>
      <c r="C249" s="24" t="n">
        <v>45450</v>
      </c>
      <c r="D249" s="11" t="s">
        <v>37</v>
      </c>
      <c r="E249" s="11" t="s">
        <v>796</v>
      </c>
      <c r="F249" s="11" t="s">
        <v>82</v>
      </c>
      <c r="G249" s="11" t="s">
        <v>621</v>
      </c>
      <c r="H249" s="11" t="s">
        <v>20</v>
      </c>
      <c r="I249" s="11" t="s">
        <v>115</v>
      </c>
      <c r="J249" s="11" t="s">
        <v>242</v>
      </c>
      <c r="K249" s="11" t="n">
        <v>3</v>
      </c>
      <c r="L249" s="15" t="n">
        <v>1165.83</v>
      </c>
      <c r="M249" s="11" t="n">
        <v>10</v>
      </c>
      <c r="N249" s="15" t="n">
        <v>3497.49</v>
      </c>
      <c r="O249" s="15" t="n">
        <v>349.75</v>
      </c>
      <c r="P249" s="15" t="n">
        <v>3147.74</v>
      </c>
      <c r="Q249" s="15" t="n">
        <v>0</v>
      </c>
      <c r="R249" s="11" t="n">
        <v>0</v>
      </c>
      <c r="S249" s="15" t="n">
        <f aca="false">P249-Q249</f>
        <v>3147.74</v>
      </c>
      <c r="T249" s="11" t="n">
        <f aca="false">IF(OR(J249="Completed",J249="Returned"),1,0)</f>
        <v>1</v>
      </c>
    </row>
    <row r="250" customFormat="false" ht="15" hidden="false" customHeight="false" outlineLevel="0" collapsed="false">
      <c r="A250" s="11" t="s">
        <v>1119</v>
      </c>
      <c r="B250" s="11" t="s">
        <v>379</v>
      </c>
      <c r="C250" s="24" t="n">
        <v>45450</v>
      </c>
      <c r="D250" s="11" t="s">
        <v>37</v>
      </c>
      <c r="E250" s="11" t="s">
        <v>796</v>
      </c>
      <c r="F250" s="11" t="s">
        <v>82</v>
      </c>
      <c r="G250" s="11" t="s">
        <v>143</v>
      </c>
      <c r="H250" s="11" t="s">
        <v>23</v>
      </c>
      <c r="I250" s="11" t="s">
        <v>115</v>
      </c>
      <c r="J250" s="11" t="s">
        <v>242</v>
      </c>
      <c r="K250" s="11" t="n">
        <v>4</v>
      </c>
      <c r="L250" s="15" t="n">
        <v>8318.56</v>
      </c>
      <c r="M250" s="11" t="n">
        <v>20</v>
      </c>
      <c r="N250" s="15" t="n">
        <v>33274.24</v>
      </c>
      <c r="O250" s="15" t="n">
        <v>6654.85</v>
      </c>
      <c r="P250" s="15" t="n">
        <v>26619.39</v>
      </c>
      <c r="Q250" s="15" t="n">
        <v>0</v>
      </c>
      <c r="R250" s="11" t="n">
        <v>0</v>
      </c>
      <c r="S250" s="15" t="n">
        <f aca="false">P250-Q250</f>
        <v>26619.39</v>
      </c>
      <c r="T250" s="11" t="n">
        <f aca="false">IF(OR(J250="Completed",J250="Returned"),1,0)</f>
        <v>1</v>
      </c>
    </row>
    <row r="251" customFormat="false" ht="15" hidden="false" customHeight="false" outlineLevel="0" collapsed="false">
      <c r="A251" s="11" t="s">
        <v>1120</v>
      </c>
      <c r="B251" s="11" t="s">
        <v>379</v>
      </c>
      <c r="C251" s="24" t="n">
        <v>45450</v>
      </c>
      <c r="D251" s="11" t="s">
        <v>37</v>
      </c>
      <c r="E251" s="11" t="s">
        <v>796</v>
      </c>
      <c r="F251" s="11" t="s">
        <v>82</v>
      </c>
      <c r="G251" s="11" t="s">
        <v>626</v>
      </c>
      <c r="H251" s="11" t="s">
        <v>24</v>
      </c>
      <c r="I251" s="11" t="s">
        <v>115</v>
      </c>
      <c r="J251" s="11" t="s">
        <v>242</v>
      </c>
      <c r="K251" s="11" t="n">
        <v>4</v>
      </c>
      <c r="L251" s="15" t="n">
        <v>11932.31</v>
      </c>
      <c r="M251" s="11" t="n">
        <v>20</v>
      </c>
      <c r="N251" s="15" t="n">
        <v>47729.24</v>
      </c>
      <c r="O251" s="15" t="n">
        <v>9545.85</v>
      </c>
      <c r="P251" s="15" t="n">
        <v>38183.39</v>
      </c>
      <c r="Q251" s="15" t="n">
        <v>0</v>
      </c>
      <c r="R251" s="11" t="n">
        <v>0</v>
      </c>
      <c r="S251" s="15" t="n">
        <f aca="false">P251-Q251</f>
        <v>38183.39</v>
      </c>
      <c r="T251" s="11" t="n">
        <f aca="false">IF(OR(J251="Completed",J251="Returned"),1,0)</f>
        <v>1</v>
      </c>
    </row>
    <row r="252" customFormat="false" ht="15" hidden="false" customHeight="false" outlineLevel="0" collapsed="false">
      <c r="A252" s="11" t="s">
        <v>1121</v>
      </c>
      <c r="B252" s="11" t="s">
        <v>379</v>
      </c>
      <c r="C252" s="24" t="n">
        <v>45450</v>
      </c>
      <c r="D252" s="11" t="s">
        <v>37</v>
      </c>
      <c r="E252" s="11" t="s">
        <v>796</v>
      </c>
      <c r="F252" s="11" t="s">
        <v>82</v>
      </c>
      <c r="G252" s="11" t="s">
        <v>778</v>
      </c>
      <c r="H252" s="11" t="s">
        <v>24</v>
      </c>
      <c r="I252" s="11" t="s">
        <v>115</v>
      </c>
      <c r="J252" s="11" t="s">
        <v>242</v>
      </c>
      <c r="K252" s="11" t="n">
        <v>5</v>
      </c>
      <c r="L252" s="15" t="n">
        <v>4516.1</v>
      </c>
      <c r="M252" s="11" t="n">
        <v>20</v>
      </c>
      <c r="N252" s="15" t="n">
        <v>22580.5</v>
      </c>
      <c r="O252" s="15" t="n">
        <v>4516.1</v>
      </c>
      <c r="P252" s="15" t="n">
        <v>18064.4</v>
      </c>
      <c r="Q252" s="15" t="n">
        <v>0</v>
      </c>
      <c r="R252" s="11" t="n">
        <v>0</v>
      </c>
      <c r="S252" s="15" t="n">
        <f aca="false">P252-Q252</f>
        <v>18064.4</v>
      </c>
      <c r="T252" s="11" t="n">
        <f aca="false">IF(OR(J252="Completed",J252="Returned"),1,0)</f>
        <v>1</v>
      </c>
    </row>
    <row r="253" customFormat="false" ht="15" hidden="false" customHeight="false" outlineLevel="0" collapsed="false">
      <c r="A253" s="11" t="s">
        <v>1122</v>
      </c>
      <c r="B253" s="11" t="s">
        <v>431</v>
      </c>
      <c r="C253" s="24" t="n">
        <v>45714</v>
      </c>
      <c r="D253" s="11" t="s">
        <v>45</v>
      </c>
      <c r="E253" s="11" t="s">
        <v>1123</v>
      </c>
      <c r="F253" s="11" t="s">
        <v>78</v>
      </c>
      <c r="G253" s="11" t="s">
        <v>611</v>
      </c>
      <c r="H253" s="11" t="s">
        <v>22</v>
      </c>
      <c r="I253" s="11" t="s">
        <v>114</v>
      </c>
      <c r="J253" s="11" t="s">
        <v>242</v>
      </c>
      <c r="K253" s="11" t="n">
        <v>4</v>
      </c>
      <c r="L253" s="15" t="n">
        <v>3634.57</v>
      </c>
      <c r="M253" s="11" t="n">
        <v>20</v>
      </c>
      <c r="N253" s="15" t="n">
        <v>14538.28</v>
      </c>
      <c r="O253" s="15" t="n">
        <v>2907.66</v>
      </c>
      <c r="P253" s="15" t="n">
        <v>11630.62</v>
      </c>
      <c r="Q253" s="15" t="n">
        <v>0</v>
      </c>
      <c r="R253" s="11" t="n">
        <v>0</v>
      </c>
      <c r="S253" s="15" t="n">
        <f aca="false">P253-Q253</f>
        <v>11630.62</v>
      </c>
      <c r="T253" s="11" t="n">
        <f aca="false">IF(OR(J253="Completed",J253="Returned"),1,0)</f>
        <v>1</v>
      </c>
    </row>
    <row r="254" customFormat="false" ht="15" hidden="false" customHeight="false" outlineLevel="0" collapsed="false">
      <c r="A254" s="11" t="s">
        <v>1124</v>
      </c>
      <c r="B254" s="11" t="s">
        <v>245</v>
      </c>
      <c r="C254" s="24" t="n">
        <v>45556</v>
      </c>
      <c r="D254" s="11" t="s">
        <v>40</v>
      </c>
      <c r="E254" s="11" t="s">
        <v>879</v>
      </c>
      <c r="F254" s="11" t="s">
        <v>82</v>
      </c>
      <c r="G254" s="11" t="s">
        <v>148</v>
      </c>
      <c r="H254" s="11" t="s">
        <v>21</v>
      </c>
      <c r="I254" s="11" t="s">
        <v>115</v>
      </c>
      <c r="J254" s="11" t="s">
        <v>246</v>
      </c>
      <c r="K254" s="11" t="n">
        <v>2</v>
      </c>
      <c r="L254" s="15" t="n">
        <v>11434.02</v>
      </c>
      <c r="M254" s="11" t="n">
        <v>5</v>
      </c>
      <c r="N254" s="15" t="n">
        <v>22868.04</v>
      </c>
      <c r="O254" s="15" t="n">
        <v>1143.4</v>
      </c>
      <c r="P254" s="15" t="n">
        <v>21724.64</v>
      </c>
      <c r="Q254" s="15" t="n">
        <v>0</v>
      </c>
      <c r="R254" s="11" t="n">
        <v>0</v>
      </c>
      <c r="S254" s="15" t="n">
        <f aca="false">P254-Q254</f>
        <v>21724.64</v>
      </c>
      <c r="T254" s="11" t="n">
        <f aca="false">IF(OR(J254="Completed",J254="Returned"),1,0)</f>
        <v>0</v>
      </c>
    </row>
    <row r="255" customFormat="false" ht="15" hidden="false" customHeight="false" outlineLevel="0" collapsed="false">
      <c r="A255" s="11" t="s">
        <v>1125</v>
      </c>
      <c r="B255" s="11" t="s">
        <v>324</v>
      </c>
      <c r="C255" s="24" t="n">
        <v>45843</v>
      </c>
      <c r="D255" s="11" t="s">
        <v>50</v>
      </c>
      <c r="E255" s="11" t="s">
        <v>1126</v>
      </c>
      <c r="F255" s="11" t="s">
        <v>74</v>
      </c>
      <c r="G255" s="11" t="s">
        <v>152</v>
      </c>
      <c r="H255" s="11" t="s">
        <v>23</v>
      </c>
      <c r="I255" s="11" t="s">
        <v>115</v>
      </c>
      <c r="J255" s="11" t="s">
        <v>269</v>
      </c>
      <c r="K255" s="11" t="n">
        <v>4</v>
      </c>
      <c r="L255" s="15" t="n">
        <v>9953.59</v>
      </c>
      <c r="M255" s="11" t="n">
        <v>20</v>
      </c>
      <c r="N255" s="15" t="n">
        <v>39814.36</v>
      </c>
      <c r="O255" s="15" t="n">
        <v>7962.87</v>
      </c>
      <c r="P255" s="15" t="n">
        <v>31851.49</v>
      </c>
      <c r="Q255" s="15" t="n">
        <v>0</v>
      </c>
      <c r="R255" s="11" t="n">
        <v>0</v>
      </c>
      <c r="S255" s="15" t="n">
        <f aca="false">P255-Q255</f>
        <v>31851.49</v>
      </c>
      <c r="T255" s="11" t="n">
        <f aca="false">IF(OR(J255="Completed",J255="Returned"),1,0)</f>
        <v>1</v>
      </c>
    </row>
    <row r="256" customFormat="false" ht="15" hidden="false" customHeight="false" outlineLevel="0" collapsed="false">
      <c r="A256" s="11" t="s">
        <v>1127</v>
      </c>
      <c r="B256" s="11" t="s">
        <v>324</v>
      </c>
      <c r="C256" s="24" t="n">
        <v>45843</v>
      </c>
      <c r="D256" s="11" t="s">
        <v>50</v>
      </c>
      <c r="E256" s="11" t="s">
        <v>1126</v>
      </c>
      <c r="F256" s="11" t="s">
        <v>74</v>
      </c>
      <c r="G256" s="11" t="s">
        <v>139</v>
      </c>
      <c r="H256" s="11" t="s">
        <v>24</v>
      </c>
      <c r="I256" s="11" t="s">
        <v>115</v>
      </c>
      <c r="J256" s="11" t="s">
        <v>269</v>
      </c>
      <c r="K256" s="11" t="n">
        <v>5</v>
      </c>
      <c r="L256" s="15" t="n">
        <v>20278.89</v>
      </c>
      <c r="M256" s="11" t="n">
        <v>15</v>
      </c>
      <c r="N256" s="15" t="n">
        <v>101394.45</v>
      </c>
      <c r="O256" s="15" t="n">
        <v>15209.17</v>
      </c>
      <c r="P256" s="15" t="n">
        <v>86185.28</v>
      </c>
      <c r="Q256" s="15" t="n">
        <v>0</v>
      </c>
      <c r="R256" s="11" t="n">
        <v>0</v>
      </c>
      <c r="S256" s="15" t="n">
        <f aca="false">P256-Q256</f>
        <v>86185.28</v>
      </c>
      <c r="T256" s="11" t="n">
        <f aca="false">IF(OR(J256="Completed",J256="Returned"),1,0)</f>
        <v>1</v>
      </c>
    </row>
    <row r="257" customFormat="false" ht="15" hidden="false" customHeight="false" outlineLevel="0" collapsed="false">
      <c r="A257" s="11" t="s">
        <v>1128</v>
      </c>
      <c r="B257" s="11" t="s">
        <v>445</v>
      </c>
      <c r="C257" s="24" t="n">
        <v>45723</v>
      </c>
      <c r="D257" s="11" t="s">
        <v>46</v>
      </c>
      <c r="E257" s="11" t="s">
        <v>80</v>
      </c>
      <c r="F257" s="11" t="s">
        <v>82</v>
      </c>
      <c r="G257" s="11" t="s">
        <v>152</v>
      </c>
      <c r="H257" s="11" t="s">
        <v>23</v>
      </c>
      <c r="I257" s="11" t="s">
        <v>113</v>
      </c>
      <c r="J257" s="11" t="s">
        <v>242</v>
      </c>
      <c r="K257" s="11" t="n">
        <v>5</v>
      </c>
      <c r="L257" s="15" t="n">
        <v>9953.59</v>
      </c>
      <c r="M257" s="11" t="n">
        <v>10</v>
      </c>
      <c r="N257" s="15" t="n">
        <v>49767.95</v>
      </c>
      <c r="O257" s="15" t="n">
        <v>4976.8</v>
      </c>
      <c r="P257" s="15" t="n">
        <v>44791.15</v>
      </c>
      <c r="Q257" s="15" t="n">
        <v>0</v>
      </c>
      <c r="R257" s="11" t="n">
        <v>0</v>
      </c>
      <c r="S257" s="15" t="n">
        <f aca="false">P257-Q257</f>
        <v>44791.15</v>
      </c>
      <c r="T257" s="11" t="n">
        <f aca="false">IF(OR(J257="Completed",J257="Returned"),1,0)</f>
        <v>1</v>
      </c>
    </row>
    <row r="258" customFormat="false" ht="15" hidden="false" customHeight="false" outlineLevel="0" collapsed="false">
      <c r="A258" s="11" t="s">
        <v>1129</v>
      </c>
      <c r="B258" s="11" t="s">
        <v>445</v>
      </c>
      <c r="C258" s="24" t="n">
        <v>45723</v>
      </c>
      <c r="D258" s="11" t="s">
        <v>46</v>
      </c>
      <c r="E258" s="11" t="s">
        <v>80</v>
      </c>
      <c r="F258" s="11" t="s">
        <v>82</v>
      </c>
      <c r="G258" s="11" t="s">
        <v>1054</v>
      </c>
      <c r="H258" s="11" t="s">
        <v>21</v>
      </c>
      <c r="I258" s="11" t="s">
        <v>113</v>
      </c>
      <c r="J258" s="11" t="s">
        <v>242</v>
      </c>
      <c r="K258" s="11" t="n">
        <v>2</v>
      </c>
      <c r="L258" s="15" t="n">
        <v>19632.52</v>
      </c>
      <c r="M258" s="11" t="n">
        <v>10</v>
      </c>
      <c r="N258" s="15" t="n">
        <v>39265.04</v>
      </c>
      <c r="O258" s="15" t="n">
        <v>3926.5</v>
      </c>
      <c r="P258" s="15" t="n">
        <v>35338.54</v>
      </c>
      <c r="Q258" s="15" t="n">
        <v>0</v>
      </c>
      <c r="R258" s="11" t="n">
        <v>0</v>
      </c>
      <c r="S258" s="15" t="n">
        <f aca="false">P258-Q258</f>
        <v>35338.54</v>
      </c>
      <c r="T258" s="11" t="n">
        <f aca="false">IF(OR(J258="Completed",J258="Returned"),1,0)</f>
        <v>1</v>
      </c>
    </row>
    <row r="259" customFormat="false" ht="15" hidden="false" customHeight="false" outlineLevel="0" collapsed="false">
      <c r="A259" s="11" t="s">
        <v>1130</v>
      </c>
      <c r="B259" s="11" t="s">
        <v>445</v>
      </c>
      <c r="C259" s="24" t="n">
        <v>45723</v>
      </c>
      <c r="D259" s="11" t="s">
        <v>46</v>
      </c>
      <c r="E259" s="11" t="s">
        <v>80</v>
      </c>
      <c r="F259" s="11" t="s">
        <v>82</v>
      </c>
      <c r="G259" s="11" t="s">
        <v>778</v>
      </c>
      <c r="H259" s="11" t="s">
        <v>24</v>
      </c>
      <c r="I259" s="11" t="s">
        <v>113</v>
      </c>
      <c r="J259" s="11" t="s">
        <v>242</v>
      </c>
      <c r="K259" s="11" t="n">
        <v>4</v>
      </c>
      <c r="L259" s="15" t="n">
        <v>4516.1</v>
      </c>
      <c r="M259" s="11" t="n">
        <v>10</v>
      </c>
      <c r="N259" s="15" t="n">
        <v>18064.4</v>
      </c>
      <c r="O259" s="15" t="n">
        <v>1806.44</v>
      </c>
      <c r="P259" s="15" t="n">
        <v>16257.96</v>
      </c>
      <c r="Q259" s="15" t="n">
        <v>0</v>
      </c>
      <c r="R259" s="11" t="n">
        <v>0</v>
      </c>
      <c r="S259" s="15" t="n">
        <f aca="false">P259-Q259</f>
        <v>16257.96</v>
      </c>
      <c r="T259" s="11" t="n">
        <f aca="false">IF(OR(J259="Completed",J259="Returned"),1,0)</f>
        <v>1</v>
      </c>
    </row>
    <row r="260" customFormat="false" ht="15" hidden="false" customHeight="false" outlineLevel="0" collapsed="false">
      <c r="A260" s="11" t="s">
        <v>1131</v>
      </c>
      <c r="B260" s="11" t="s">
        <v>510</v>
      </c>
      <c r="C260" s="24" t="n">
        <v>45444</v>
      </c>
      <c r="D260" s="11" t="s">
        <v>37</v>
      </c>
      <c r="E260" s="11" t="s">
        <v>1084</v>
      </c>
      <c r="F260" s="11" t="s">
        <v>74</v>
      </c>
      <c r="G260" s="11" t="s">
        <v>141</v>
      </c>
      <c r="H260" s="11" t="s">
        <v>24</v>
      </c>
      <c r="I260" s="11" t="s">
        <v>113</v>
      </c>
      <c r="J260" s="11" t="s">
        <v>269</v>
      </c>
      <c r="K260" s="11" t="n">
        <v>1</v>
      </c>
      <c r="L260" s="15" t="n">
        <v>20481.04</v>
      </c>
      <c r="M260" s="11" t="n">
        <v>0</v>
      </c>
      <c r="N260" s="15" t="n">
        <v>20481.04</v>
      </c>
      <c r="O260" s="15" t="n">
        <v>0</v>
      </c>
      <c r="P260" s="15" t="n">
        <v>20481.04</v>
      </c>
      <c r="Q260" s="15" t="n">
        <v>18739.4</v>
      </c>
      <c r="R260" s="11" t="n">
        <v>1</v>
      </c>
      <c r="S260" s="15" t="n">
        <f aca="false">P260-Q260</f>
        <v>1741.64</v>
      </c>
      <c r="T260" s="11" t="n">
        <f aca="false">IF(OR(J260="Completed",J260="Returned"),1,0)</f>
        <v>1</v>
      </c>
    </row>
    <row r="261" customFormat="false" ht="15" hidden="false" customHeight="false" outlineLevel="0" collapsed="false">
      <c r="A261" s="11" t="s">
        <v>1132</v>
      </c>
      <c r="B261" s="11" t="s">
        <v>510</v>
      </c>
      <c r="C261" s="24" t="n">
        <v>45444</v>
      </c>
      <c r="D261" s="11" t="s">
        <v>37</v>
      </c>
      <c r="E261" s="11" t="s">
        <v>1084</v>
      </c>
      <c r="F261" s="11" t="s">
        <v>74</v>
      </c>
      <c r="G261" s="11" t="s">
        <v>139</v>
      </c>
      <c r="H261" s="11" t="s">
        <v>24</v>
      </c>
      <c r="I261" s="11" t="s">
        <v>113</v>
      </c>
      <c r="J261" s="11" t="s">
        <v>269</v>
      </c>
      <c r="K261" s="11" t="n">
        <v>2</v>
      </c>
      <c r="L261" s="15" t="n">
        <v>20278.89</v>
      </c>
      <c r="M261" s="11" t="n">
        <v>10</v>
      </c>
      <c r="N261" s="15" t="n">
        <v>40557.78</v>
      </c>
      <c r="O261" s="15" t="n">
        <v>4055.78</v>
      </c>
      <c r="P261" s="15" t="n">
        <v>36502</v>
      </c>
      <c r="Q261" s="15" t="n">
        <v>0</v>
      </c>
      <c r="R261" s="11" t="n">
        <v>0</v>
      </c>
      <c r="S261" s="15" t="n">
        <f aca="false">P261-Q261</f>
        <v>36502</v>
      </c>
      <c r="T261" s="11" t="n">
        <f aca="false">IF(OR(J261="Completed",J261="Returned"),1,0)</f>
        <v>1</v>
      </c>
    </row>
    <row r="262" customFormat="false" ht="15" hidden="false" customHeight="false" outlineLevel="0" collapsed="false">
      <c r="A262" s="11" t="s">
        <v>1133</v>
      </c>
      <c r="B262" s="11" t="s">
        <v>408</v>
      </c>
      <c r="C262" s="24" t="n">
        <v>45713</v>
      </c>
      <c r="D262" s="11" t="s">
        <v>45</v>
      </c>
      <c r="E262" s="11" t="s">
        <v>1134</v>
      </c>
      <c r="F262" s="11" t="s">
        <v>74</v>
      </c>
      <c r="G262" s="11" t="s">
        <v>1022</v>
      </c>
      <c r="H262" s="11" t="s">
        <v>20</v>
      </c>
      <c r="I262" s="11" t="s">
        <v>115</v>
      </c>
      <c r="J262" s="11" t="s">
        <v>242</v>
      </c>
      <c r="K262" s="11" t="n">
        <v>5</v>
      </c>
      <c r="L262" s="15" t="n">
        <v>13809.86</v>
      </c>
      <c r="M262" s="11" t="n">
        <v>0</v>
      </c>
      <c r="N262" s="15" t="n">
        <v>69049.3</v>
      </c>
      <c r="O262" s="15" t="n">
        <v>0</v>
      </c>
      <c r="P262" s="15" t="n">
        <v>69049.3</v>
      </c>
      <c r="Q262" s="15" t="n">
        <v>0</v>
      </c>
      <c r="R262" s="11" t="n">
        <v>0</v>
      </c>
      <c r="S262" s="15" t="n">
        <f aca="false">P262-Q262</f>
        <v>69049.3</v>
      </c>
      <c r="T262" s="11" t="n">
        <f aca="false">IF(OR(J262="Completed",J262="Returned"),1,0)</f>
        <v>1</v>
      </c>
    </row>
    <row r="263" customFormat="false" ht="15" hidden="false" customHeight="false" outlineLevel="0" collapsed="false">
      <c r="A263" s="11" t="s">
        <v>1135</v>
      </c>
      <c r="B263" s="11" t="s">
        <v>408</v>
      </c>
      <c r="C263" s="24" t="n">
        <v>45713</v>
      </c>
      <c r="D263" s="11" t="s">
        <v>45</v>
      </c>
      <c r="E263" s="11" t="s">
        <v>1134</v>
      </c>
      <c r="F263" s="11" t="s">
        <v>74</v>
      </c>
      <c r="G263" s="11" t="s">
        <v>786</v>
      </c>
      <c r="H263" s="11" t="s">
        <v>24</v>
      </c>
      <c r="I263" s="11" t="s">
        <v>115</v>
      </c>
      <c r="J263" s="11" t="s">
        <v>242</v>
      </c>
      <c r="K263" s="11" t="n">
        <v>5</v>
      </c>
      <c r="L263" s="15" t="n">
        <v>17477.91</v>
      </c>
      <c r="M263" s="11" t="n">
        <v>10</v>
      </c>
      <c r="N263" s="15" t="n">
        <v>87389.55</v>
      </c>
      <c r="O263" s="15" t="n">
        <v>8738.96</v>
      </c>
      <c r="P263" s="15" t="n">
        <v>78650.59</v>
      </c>
      <c r="Q263" s="15" t="n">
        <v>0</v>
      </c>
      <c r="R263" s="11" t="n">
        <v>0</v>
      </c>
      <c r="S263" s="15" t="n">
        <f aca="false">P263-Q263</f>
        <v>78650.59</v>
      </c>
      <c r="T263" s="11" t="n">
        <f aca="false">IF(OR(J263="Completed",J263="Returned"),1,0)</f>
        <v>1</v>
      </c>
    </row>
    <row r="264" customFormat="false" ht="15" hidden="false" customHeight="false" outlineLevel="0" collapsed="false">
      <c r="A264" s="11" t="s">
        <v>1136</v>
      </c>
      <c r="B264" s="11" t="s">
        <v>408</v>
      </c>
      <c r="C264" s="24" t="n">
        <v>45713</v>
      </c>
      <c r="D264" s="11" t="s">
        <v>45</v>
      </c>
      <c r="E264" s="11" t="s">
        <v>1134</v>
      </c>
      <c r="F264" s="11" t="s">
        <v>74</v>
      </c>
      <c r="G264" s="11" t="s">
        <v>775</v>
      </c>
      <c r="H264" s="11" t="s">
        <v>23</v>
      </c>
      <c r="I264" s="11" t="s">
        <v>115</v>
      </c>
      <c r="J264" s="11" t="s">
        <v>242</v>
      </c>
      <c r="K264" s="11" t="n">
        <v>4</v>
      </c>
      <c r="L264" s="15" t="n">
        <v>26274.11</v>
      </c>
      <c r="M264" s="11" t="n">
        <v>10</v>
      </c>
      <c r="N264" s="15" t="n">
        <v>105096.44</v>
      </c>
      <c r="O264" s="15" t="n">
        <v>10509.64</v>
      </c>
      <c r="P264" s="15" t="n">
        <v>94586.8</v>
      </c>
      <c r="Q264" s="15" t="n">
        <v>78750.76</v>
      </c>
      <c r="R264" s="11" t="n">
        <v>4</v>
      </c>
      <c r="S264" s="15" t="n">
        <f aca="false">P264-Q264</f>
        <v>15836.04</v>
      </c>
      <c r="T264" s="11" t="n">
        <f aca="false">IF(OR(J264="Completed",J264="Returned"),1,0)</f>
        <v>1</v>
      </c>
    </row>
    <row r="265" customFormat="false" ht="15" hidden="false" customHeight="false" outlineLevel="0" collapsed="false">
      <c r="A265" s="11" t="s">
        <v>1137</v>
      </c>
      <c r="B265" s="11" t="s">
        <v>403</v>
      </c>
      <c r="C265" s="24" t="n">
        <v>45558</v>
      </c>
      <c r="D265" s="11" t="s">
        <v>40</v>
      </c>
      <c r="E265" s="11" t="s">
        <v>1115</v>
      </c>
      <c r="F265" s="11" t="s">
        <v>74</v>
      </c>
      <c r="G265" s="11" t="s">
        <v>833</v>
      </c>
      <c r="H265" s="11" t="s">
        <v>23</v>
      </c>
      <c r="I265" s="11" t="s">
        <v>114</v>
      </c>
      <c r="J265" s="11" t="s">
        <v>242</v>
      </c>
      <c r="K265" s="11" t="n">
        <v>5</v>
      </c>
      <c r="L265" s="15" t="n">
        <v>14595.44</v>
      </c>
      <c r="M265" s="11" t="n">
        <v>15</v>
      </c>
      <c r="N265" s="15" t="n">
        <v>72977.2</v>
      </c>
      <c r="O265" s="15" t="n">
        <v>10946.58</v>
      </c>
      <c r="P265" s="15" t="n">
        <v>62030.62</v>
      </c>
      <c r="Q265" s="15" t="n">
        <v>0</v>
      </c>
      <c r="R265" s="11" t="n">
        <v>0</v>
      </c>
      <c r="S265" s="15" t="n">
        <f aca="false">P265-Q265</f>
        <v>62030.62</v>
      </c>
      <c r="T265" s="11" t="n">
        <f aca="false">IF(OR(J265="Completed",J265="Returned"),1,0)</f>
        <v>1</v>
      </c>
    </row>
    <row r="266" customFormat="false" ht="15" hidden="false" customHeight="false" outlineLevel="0" collapsed="false">
      <c r="A266" s="11" t="s">
        <v>1138</v>
      </c>
      <c r="B266" s="11" t="s">
        <v>403</v>
      </c>
      <c r="C266" s="24" t="n">
        <v>45558</v>
      </c>
      <c r="D266" s="11" t="s">
        <v>40</v>
      </c>
      <c r="E266" s="11" t="s">
        <v>1115</v>
      </c>
      <c r="F266" s="11" t="s">
        <v>74</v>
      </c>
      <c r="G266" s="11" t="s">
        <v>135</v>
      </c>
      <c r="H266" s="11" t="s">
        <v>22</v>
      </c>
      <c r="I266" s="11" t="s">
        <v>114</v>
      </c>
      <c r="J266" s="11" t="s">
        <v>242</v>
      </c>
      <c r="K266" s="11" t="n">
        <v>1</v>
      </c>
      <c r="L266" s="15" t="n">
        <v>22655.14</v>
      </c>
      <c r="M266" s="11" t="n">
        <v>10</v>
      </c>
      <c r="N266" s="15" t="n">
        <v>22655.14</v>
      </c>
      <c r="O266" s="15" t="n">
        <v>2265.51</v>
      </c>
      <c r="P266" s="15" t="n">
        <v>20389.63</v>
      </c>
      <c r="Q266" s="15" t="n">
        <v>0</v>
      </c>
      <c r="R266" s="11" t="n">
        <v>0</v>
      </c>
      <c r="S266" s="15" t="n">
        <f aca="false">P266-Q266</f>
        <v>20389.63</v>
      </c>
      <c r="T266" s="11" t="n">
        <f aca="false">IF(OR(J266="Completed",J266="Returned"),1,0)</f>
        <v>1</v>
      </c>
    </row>
    <row r="267" customFormat="false" ht="15" hidden="false" customHeight="false" outlineLevel="0" collapsed="false">
      <c r="A267" s="11" t="s">
        <v>1139</v>
      </c>
      <c r="B267" s="11" t="s">
        <v>403</v>
      </c>
      <c r="C267" s="24" t="n">
        <v>45558</v>
      </c>
      <c r="D267" s="11" t="s">
        <v>40</v>
      </c>
      <c r="E267" s="11" t="s">
        <v>1115</v>
      </c>
      <c r="F267" s="11" t="s">
        <v>74</v>
      </c>
      <c r="G267" s="11" t="s">
        <v>611</v>
      </c>
      <c r="H267" s="11" t="s">
        <v>22</v>
      </c>
      <c r="I267" s="11" t="s">
        <v>114</v>
      </c>
      <c r="J267" s="11" t="s">
        <v>242</v>
      </c>
      <c r="K267" s="11" t="n">
        <v>3</v>
      </c>
      <c r="L267" s="15" t="n">
        <v>3634.57</v>
      </c>
      <c r="M267" s="11" t="n">
        <v>10</v>
      </c>
      <c r="N267" s="15" t="n">
        <v>10903.71</v>
      </c>
      <c r="O267" s="15" t="n">
        <v>1090.37</v>
      </c>
      <c r="P267" s="15" t="n">
        <v>9813.34</v>
      </c>
      <c r="Q267" s="15" t="n">
        <v>0</v>
      </c>
      <c r="R267" s="11" t="n">
        <v>0</v>
      </c>
      <c r="S267" s="15" t="n">
        <f aca="false">P267-Q267</f>
        <v>9813.34</v>
      </c>
      <c r="T267" s="11" t="n">
        <f aca="false">IF(OR(J267="Completed",J267="Returned"),1,0)</f>
        <v>1</v>
      </c>
    </row>
    <row r="268" customFormat="false" ht="15" hidden="false" customHeight="false" outlineLevel="0" collapsed="false">
      <c r="A268" s="11" t="s">
        <v>1140</v>
      </c>
      <c r="B268" s="11" t="s">
        <v>552</v>
      </c>
      <c r="C268" s="24" t="n">
        <v>45770</v>
      </c>
      <c r="D268" s="11" t="s">
        <v>47</v>
      </c>
      <c r="E268" s="11" t="s">
        <v>803</v>
      </c>
      <c r="F268" s="11" t="s">
        <v>25</v>
      </c>
      <c r="G268" s="11" t="s">
        <v>158</v>
      </c>
      <c r="H268" s="11" t="s">
        <v>22</v>
      </c>
      <c r="I268" s="11" t="s">
        <v>115</v>
      </c>
      <c r="J268" s="11" t="s">
        <v>269</v>
      </c>
      <c r="K268" s="11" t="n">
        <v>2</v>
      </c>
      <c r="L268" s="15" t="n">
        <v>5471.28</v>
      </c>
      <c r="M268" s="11" t="n">
        <v>15</v>
      </c>
      <c r="N268" s="15" t="n">
        <v>10942.56</v>
      </c>
      <c r="O268" s="15" t="n">
        <v>1641.38</v>
      </c>
      <c r="P268" s="15" t="n">
        <v>9301.18</v>
      </c>
      <c r="Q268" s="15" t="n">
        <v>0</v>
      </c>
      <c r="R268" s="11" t="n">
        <v>0</v>
      </c>
      <c r="S268" s="15" t="n">
        <f aca="false">P268-Q268</f>
        <v>9301.18</v>
      </c>
      <c r="T268" s="11" t="n">
        <f aca="false">IF(OR(J268="Completed",J268="Returned"),1,0)</f>
        <v>1</v>
      </c>
    </row>
    <row r="269" customFormat="false" ht="15" hidden="false" customHeight="false" outlineLevel="0" collapsed="false">
      <c r="A269" s="11" t="s">
        <v>1141</v>
      </c>
      <c r="B269" s="11" t="s">
        <v>552</v>
      </c>
      <c r="C269" s="24" t="n">
        <v>45770</v>
      </c>
      <c r="D269" s="11" t="s">
        <v>47</v>
      </c>
      <c r="E269" s="11" t="s">
        <v>803</v>
      </c>
      <c r="F269" s="11" t="s">
        <v>25</v>
      </c>
      <c r="G269" s="11" t="s">
        <v>129</v>
      </c>
      <c r="H269" s="11" t="s">
        <v>24</v>
      </c>
      <c r="I269" s="11" t="s">
        <v>115</v>
      </c>
      <c r="J269" s="11" t="s">
        <v>269</v>
      </c>
      <c r="K269" s="11" t="n">
        <v>2</v>
      </c>
      <c r="L269" s="15" t="n">
        <v>3184.81</v>
      </c>
      <c r="M269" s="11" t="n">
        <v>10</v>
      </c>
      <c r="N269" s="15" t="n">
        <v>6369.62</v>
      </c>
      <c r="O269" s="15" t="n">
        <v>636.96</v>
      </c>
      <c r="P269" s="15" t="n">
        <v>5732.66</v>
      </c>
      <c r="Q269" s="15" t="n">
        <v>0</v>
      </c>
      <c r="R269" s="11" t="n">
        <v>0</v>
      </c>
      <c r="S269" s="15" t="n">
        <f aca="false">P269-Q269</f>
        <v>5732.66</v>
      </c>
      <c r="T269" s="11" t="n">
        <f aca="false">IF(OR(J269="Completed",J269="Returned"),1,0)</f>
        <v>1</v>
      </c>
    </row>
    <row r="270" customFormat="false" ht="15" hidden="false" customHeight="false" outlineLevel="0" collapsed="false">
      <c r="A270" s="11" t="s">
        <v>1142</v>
      </c>
      <c r="B270" s="11" t="s">
        <v>552</v>
      </c>
      <c r="C270" s="24" t="n">
        <v>45770</v>
      </c>
      <c r="D270" s="11" t="s">
        <v>47</v>
      </c>
      <c r="E270" s="11" t="s">
        <v>803</v>
      </c>
      <c r="F270" s="11" t="s">
        <v>25</v>
      </c>
      <c r="G270" s="11" t="s">
        <v>805</v>
      </c>
      <c r="H270" s="11" t="s">
        <v>21</v>
      </c>
      <c r="I270" s="11" t="s">
        <v>115</v>
      </c>
      <c r="J270" s="11" t="s">
        <v>269</v>
      </c>
      <c r="K270" s="11" t="n">
        <v>4</v>
      </c>
      <c r="L270" s="15" t="n">
        <v>23243.35</v>
      </c>
      <c r="M270" s="11" t="n">
        <v>10</v>
      </c>
      <c r="N270" s="15" t="n">
        <v>92973.4</v>
      </c>
      <c r="O270" s="15" t="n">
        <v>9297.34</v>
      </c>
      <c r="P270" s="15" t="n">
        <v>83676.06</v>
      </c>
      <c r="Q270" s="15" t="n">
        <v>0</v>
      </c>
      <c r="R270" s="11" t="n">
        <v>0</v>
      </c>
      <c r="S270" s="15" t="n">
        <f aca="false">P270-Q270</f>
        <v>83676.06</v>
      </c>
      <c r="T270" s="11" t="n">
        <f aca="false">IF(OR(J270="Completed",J270="Returned"),1,0)</f>
        <v>1</v>
      </c>
    </row>
    <row r="271" customFormat="false" ht="15" hidden="false" customHeight="false" outlineLevel="0" collapsed="false">
      <c r="A271" s="11" t="s">
        <v>1143</v>
      </c>
      <c r="B271" s="11" t="s">
        <v>552</v>
      </c>
      <c r="C271" s="24" t="n">
        <v>45770</v>
      </c>
      <c r="D271" s="11" t="s">
        <v>47</v>
      </c>
      <c r="E271" s="11" t="s">
        <v>803</v>
      </c>
      <c r="F271" s="11" t="s">
        <v>25</v>
      </c>
      <c r="G271" s="11" t="s">
        <v>639</v>
      </c>
      <c r="H271" s="11" t="s">
        <v>23</v>
      </c>
      <c r="I271" s="11" t="s">
        <v>115</v>
      </c>
      <c r="J271" s="11" t="s">
        <v>269</v>
      </c>
      <c r="K271" s="11" t="n">
        <v>4</v>
      </c>
      <c r="L271" s="15" t="n">
        <v>8493.72</v>
      </c>
      <c r="M271" s="11" t="n">
        <v>20</v>
      </c>
      <c r="N271" s="15" t="n">
        <v>33974.88</v>
      </c>
      <c r="O271" s="15" t="n">
        <v>6794.98</v>
      </c>
      <c r="P271" s="15" t="n">
        <v>27179.9</v>
      </c>
      <c r="Q271" s="15" t="n">
        <v>0</v>
      </c>
      <c r="R271" s="11" t="n">
        <v>0</v>
      </c>
      <c r="S271" s="15" t="n">
        <f aca="false">P271-Q271</f>
        <v>27179.9</v>
      </c>
      <c r="T271" s="11" t="n">
        <f aca="false">IF(OR(J271="Completed",J271="Returned"),1,0)</f>
        <v>1</v>
      </c>
    </row>
    <row r="272" customFormat="false" ht="15" hidden="false" customHeight="false" outlineLevel="0" collapsed="false">
      <c r="A272" s="11" t="s">
        <v>1144</v>
      </c>
      <c r="B272" s="11" t="s">
        <v>499</v>
      </c>
      <c r="C272" s="24" t="n">
        <v>45653</v>
      </c>
      <c r="D272" s="11" t="s">
        <v>43</v>
      </c>
      <c r="E272" s="11" t="s">
        <v>76</v>
      </c>
      <c r="F272" s="11" t="s">
        <v>78</v>
      </c>
      <c r="G272" s="11" t="s">
        <v>150</v>
      </c>
      <c r="H272" s="11" t="s">
        <v>22</v>
      </c>
      <c r="I272" s="11" t="s">
        <v>113</v>
      </c>
      <c r="J272" s="11" t="s">
        <v>242</v>
      </c>
      <c r="K272" s="11" t="n">
        <v>2</v>
      </c>
      <c r="L272" s="15" t="n">
        <v>21978.46</v>
      </c>
      <c r="M272" s="11" t="n">
        <v>15</v>
      </c>
      <c r="N272" s="15" t="n">
        <v>43956.92</v>
      </c>
      <c r="O272" s="15" t="n">
        <v>6593.54</v>
      </c>
      <c r="P272" s="15" t="n">
        <v>37363.38</v>
      </c>
      <c r="Q272" s="15" t="n">
        <v>0</v>
      </c>
      <c r="R272" s="11" t="n">
        <v>0</v>
      </c>
      <c r="S272" s="15" t="n">
        <f aca="false">P272-Q272</f>
        <v>37363.38</v>
      </c>
      <c r="T272" s="11" t="n">
        <f aca="false">IF(OR(J272="Completed",J272="Returned"),1,0)</f>
        <v>1</v>
      </c>
    </row>
    <row r="273" customFormat="false" ht="15" hidden="false" customHeight="false" outlineLevel="0" collapsed="false">
      <c r="A273" s="11" t="s">
        <v>1145</v>
      </c>
      <c r="B273" s="11" t="s">
        <v>499</v>
      </c>
      <c r="C273" s="24" t="n">
        <v>45653</v>
      </c>
      <c r="D273" s="11" t="s">
        <v>43</v>
      </c>
      <c r="E273" s="11" t="s">
        <v>76</v>
      </c>
      <c r="F273" s="11" t="s">
        <v>78</v>
      </c>
      <c r="G273" s="11" t="s">
        <v>995</v>
      </c>
      <c r="H273" s="11" t="s">
        <v>24</v>
      </c>
      <c r="I273" s="11" t="s">
        <v>113</v>
      </c>
      <c r="J273" s="11" t="s">
        <v>242</v>
      </c>
      <c r="K273" s="11" t="n">
        <v>4</v>
      </c>
      <c r="L273" s="15" t="n">
        <v>11865.75</v>
      </c>
      <c r="M273" s="11" t="n">
        <v>15</v>
      </c>
      <c r="N273" s="15" t="n">
        <v>47463</v>
      </c>
      <c r="O273" s="15" t="n">
        <v>7119.45</v>
      </c>
      <c r="P273" s="15" t="n">
        <v>40343.55</v>
      </c>
      <c r="Q273" s="15" t="n">
        <v>0</v>
      </c>
      <c r="R273" s="11" t="n">
        <v>0</v>
      </c>
      <c r="S273" s="15" t="n">
        <f aca="false">P273-Q273</f>
        <v>40343.55</v>
      </c>
      <c r="T273" s="11" t="n">
        <f aca="false">IF(OR(J273="Completed",J273="Returned"),1,0)</f>
        <v>1</v>
      </c>
    </row>
    <row r="274" customFormat="false" ht="15" hidden="false" customHeight="false" outlineLevel="0" collapsed="false">
      <c r="A274" s="11" t="s">
        <v>1146</v>
      </c>
      <c r="B274" s="11" t="s">
        <v>499</v>
      </c>
      <c r="C274" s="24" t="n">
        <v>45653</v>
      </c>
      <c r="D274" s="11" t="s">
        <v>43</v>
      </c>
      <c r="E274" s="11" t="s">
        <v>76</v>
      </c>
      <c r="F274" s="11" t="s">
        <v>78</v>
      </c>
      <c r="G274" s="11" t="s">
        <v>886</v>
      </c>
      <c r="H274" s="11" t="s">
        <v>21</v>
      </c>
      <c r="I274" s="11" t="s">
        <v>113</v>
      </c>
      <c r="J274" s="11" t="s">
        <v>242</v>
      </c>
      <c r="K274" s="11" t="n">
        <v>3</v>
      </c>
      <c r="L274" s="15" t="n">
        <v>25201.06</v>
      </c>
      <c r="M274" s="11" t="n">
        <v>5</v>
      </c>
      <c r="N274" s="15" t="n">
        <v>75603.18</v>
      </c>
      <c r="O274" s="15" t="n">
        <v>3780.16</v>
      </c>
      <c r="P274" s="15" t="n">
        <v>71823.02</v>
      </c>
      <c r="Q274" s="15" t="n">
        <v>0</v>
      </c>
      <c r="R274" s="11" t="n">
        <v>0</v>
      </c>
      <c r="S274" s="15" t="n">
        <f aca="false">P274-Q274</f>
        <v>71823.02</v>
      </c>
      <c r="T274" s="11" t="n">
        <f aca="false">IF(OR(J274="Completed",J274="Returned"),1,0)</f>
        <v>1</v>
      </c>
    </row>
    <row r="275" customFormat="false" ht="15" hidden="false" customHeight="false" outlineLevel="0" collapsed="false">
      <c r="A275" s="11" t="s">
        <v>1147</v>
      </c>
      <c r="B275" s="11" t="s">
        <v>499</v>
      </c>
      <c r="C275" s="24" t="n">
        <v>45653</v>
      </c>
      <c r="D275" s="11" t="s">
        <v>43</v>
      </c>
      <c r="E275" s="11" t="s">
        <v>76</v>
      </c>
      <c r="F275" s="11" t="s">
        <v>78</v>
      </c>
      <c r="G275" s="11" t="s">
        <v>631</v>
      </c>
      <c r="H275" s="11" t="s">
        <v>24</v>
      </c>
      <c r="I275" s="11" t="s">
        <v>113</v>
      </c>
      <c r="J275" s="11" t="s">
        <v>242</v>
      </c>
      <c r="K275" s="11" t="n">
        <v>5</v>
      </c>
      <c r="L275" s="15" t="n">
        <v>11518.86</v>
      </c>
      <c r="M275" s="11" t="n">
        <v>0</v>
      </c>
      <c r="N275" s="15" t="n">
        <v>57594.3</v>
      </c>
      <c r="O275" s="15" t="n">
        <v>0</v>
      </c>
      <c r="P275" s="15" t="n">
        <v>57594.3</v>
      </c>
      <c r="Q275" s="15" t="n">
        <v>0</v>
      </c>
      <c r="R275" s="11" t="n">
        <v>0</v>
      </c>
      <c r="S275" s="15" t="n">
        <f aca="false">P275-Q275</f>
        <v>57594.3</v>
      </c>
      <c r="T275" s="11" t="n">
        <f aca="false">IF(OR(J275="Completed",J275="Returned"),1,0)</f>
        <v>1</v>
      </c>
    </row>
    <row r="276" customFormat="false" ht="15" hidden="false" customHeight="false" outlineLevel="0" collapsed="false">
      <c r="A276" s="11" t="s">
        <v>1148</v>
      </c>
      <c r="B276" s="11" t="s">
        <v>300</v>
      </c>
      <c r="C276" s="24" t="n">
        <v>45744</v>
      </c>
      <c r="D276" s="11" t="s">
        <v>46</v>
      </c>
      <c r="E276" s="11" t="s">
        <v>1068</v>
      </c>
      <c r="F276" s="11" t="s">
        <v>78</v>
      </c>
      <c r="G276" s="11" t="s">
        <v>145</v>
      </c>
      <c r="H276" s="11" t="s">
        <v>20</v>
      </c>
      <c r="I276" s="11" t="s">
        <v>113</v>
      </c>
      <c r="J276" s="11" t="s">
        <v>246</v>
      </c>
      <c r="K276" s="11" t="n">
        <v>5</v>
      </c>
      <c r="L276" s="15" t="n">
        <v>20098.63</v>
      </c>
      <c r="M276" s="11" t="n">
        <v>0</v>
      </c>
      <c r="N276" s="15" t="n">
        <v>100493.15</v>
      </c>
      <c r="O276" s="15" t="n">
        <v>0</v>
      </c>
      <c r="P276" s="15" t="n">
        <v>100493.15</v>
      </c>
      <c r="Q276" s="15" t="n">
        <v>0</v>
      </c>
      <c r="R276" s="11" t="n">
        <v>0</v>
      </c>
      <c r="S276" s="15" t="n">
        <f aca="false">P276-Q276</f>
        <v>100493.15</v>
      </c>
      <c r="T276" s="11" t="n">
        <f aca="false">IF(OR(J276="Completed",J276="Returned"),1,0)</f>
        <v>0</v>
      </c>
    </row>
    <row r="277" customFormat="false" ht="15" hidden="false" customHeight="false" outlineLevel="0" collapsed="false">
      <c r="A277" s="11" t="s">
        <v>1149</v>
      </c>
      <c r="B277" s="11" t="s">
        <v>381</v>
      </c>
      <c r="C277" s="24" t="n">
        <v>45379</v>
      </c>
      <c r="D277" s="11" t="s">
        <v>34</v>
      </c>
      <c r="E277" s="11" t="s">
        <v>87</v>
      </c>
      <c r="F277" s="11" t="s">
        <v>82</v>
      </c>
      <c r="G277" s="11" t="s">
        <v>957</v>
      </c>
      <c r="H277" s="11" t="s">
        <v>23</v>
      </c>
      <c r="I277" s="11" t="s">
        <v>113</v>
      </c>
      <c r="J277" s="11" t="s">
        <v>242</v>
      </c>
      <c r="K277" s="11" t="n">
        <v>2</v>
      </c>
      <c r="L277" s="15" t="n">
        <v>1741.05</v>
      </c>
      <c r="M277" s="11" t="n">
        <v>0</v>
      </c>
      <c r="N277" s="15" t="n">
        <v>3482.1</v>
      </c>
      <c r="O277" s="15" t="n">
        <v>0</v>
      </c>
      <c r="P277" s="15" t="n">
        <v>3482.1</v>
      </c>
      <c r="Q277" s="15" t="n">
        <v>0</v>
      </c>
      <c r="R277" s="11" t="n">
        <v>0</v>
      </c>
      <c r="S277" s="15" t="n">
        <f aca="false">P277-Q277</f>
        <v>3482.1</v>
      </c>
      <c r="T277" s="11" t="n">
        <f aca="false">IF(OR(J277="Completed",J277="Returned"),1,0)</f>
        <v>1</v>
      </c>
    </row>
    <row r="278" customFormat="false" ht="15" hidden="false" customHeight="false" outlineLevel="0" collapsed="false">
      <c r="A278" s="11" t="s">
        <v>1150</v>
      </c>
      <c r="B278" s="11" t="s">
        <v>381</v>
      </c>
      <c r="C278" s="24" t="n">
        <v>45379</v>
      </c>
      <c r="D278" s="11" t="s">
        <v>34</v>
      </c>
      <c r="E278" s="11" t="s">
        <v>87</v>
      </c>
      <c r="F278" s="11" t="s">
        <v>82</v>
      </c>
      <c r="G278" s="11" t="s">
        <v>907</v>
      </c>
      <c r="H278" s="11" t="s">
        <v>22</v>
      </c>
      <c r="I278" s="11" t="s">
        <v>113</v>
      </c>
      <c r="J278" s="11" t="s">
        <v>242</v>
      </c>
      <c r="K278" s="11" t="n">
        <v>5</v>
      </c>
      <c r="L278" s="15" t="n">
        <v>25643.17</v>
      </c>
      <c r="M278" s="11" t="n">
        <v>0</v>
      </c>
      <c r="N278" s="15" t="n">
        <v>128215.85</v>
      </c>
      <c r="O278" s="15" t="n">
        <v>0</v>
      </c>
      <c r="P278" s="15" t="n">
        <v>128215.85</v>
      </c>
      <c r="Q278" s="15" t="n">
        <v>0</v>
      </c>
      <c r="R278" s="11" t="n">
        <v>0</v>
      </c>
      <c r="S278" s="15" t="n">
        <f aca="false">P278-Q278</f>
        <v>128215.85</v>
      </c>
      <c r="T278" s="11" t="n">
        <f aca="false">IF(OR(J278="Completed",J278="Returned"),1,0)</f>
        <v>1</v>
      </c>
    </row>
    <row r="279" customFormat="false" ht="15" hidden="false" customHeight="false" outlineLevel="0" collapsed="false">
      <c r="A279" s="11" t="s">
        <v>1151</v>
      </c>
      <c r="B279" s="11" t="s">
        <v>381</v>
      </c>
      <c r="C279" s="24" t="n">
        <v>45379</v>
      </c>
      <c r="D279" s="11" t="s">
        <v>34</v>
      </c>
      <c r="E279" s="11" t="s">
        <v>87</v>
      </c>
      <c r="F279" s="11" t="s">
        <v>82</v>
      </c>
      <c r="G279" s="11" t="s">
        <v>137</v>
      </c>
      <c r="H279" s="11" t="s">
        <v>22</v>
      </c>
      <c r="I279" s="11" t="s">
        <v>113</v>
      </c>
      <c r="J279" s="11" t="s">
        <v>242</v>
      </c>
      <c r="K279" s="11" t="n">
        <v>1</v>
      </c>
      <c r="L279" s="15" t="n">
        <v>12393.99</v>
      </c>
      <c r="M279" s="11" t="n">
        <v>5</v>
      </c>
      <c r="N279" s="15" t="n">
        <v>12393.99</v>
      </c>
      <c r="O279" s="15" t="n">
        <v>619.7</v>
      </c>
      <c r="P279" s="15" t="n">
        <v>11774.29</v>
      </c>
      <c r="Q279" s="15" t="n">
        <v>0</v>
      </c>
      <c r="R279" s="11" t="n">
        <v>0</v>
      </c>
      <c r="S279" s="15" t="n">
        <f aca="false">P279-Q279</f>
        <v>11774.29</v>
      </c>
      <c r="T279" s="11" t="n">
        <f aca="false">IF(OR(J279="Completed",J279="Returned"),1,0)</f>
        <v>1</v>
      </c>
    </row>
    <row r="280" customFormat="false" ht="15" hidden="false" customHeight="false" outlineLevel="0" collapsed="false">
      <c r="A280" s="11" t="s">
        <v>1152</v>
      </c>
      <c r="B280" s="11" t="s">
        <v>511</v>
      </c>
      <c r="C280" s="24" t="n">
        <v>45878</v>
      </c>
      <c r="D280" s="11" t="s">
        <v>51</v>
      </c>
      <c r="E280" s="11" t="s">
        <v>997</v>
      </c>
      <c r="F280" s="11" t="s">
        <v>70</v>
      </c>
      <c r="G280" s="11" t="s">
        <v>135</v>
      </c>
      <c r="H280" s="11" t="s">
        <v>22</v>
      </c>
      <c r="I280" s="11" t="s">
        <v>114</v>
      </c>
      <c r="J280" s="11" t="s">
        <v>269</v>
      </c>
      <c r="K280" s="11" t="n">
        <v>1</v>
      </c>
      <c r="L280" s="15" t="n">
        <v>22655.14</v>
      </c>
      <c r="M280" s="11" t="n">
        <v>10</v>
      </c>
      <c r="N280" s="15" t="n">
        <v>22655.14</v>
      </c>
      <c r="O280" s="15" t="n">
        <v>2265.51</v>
      </c>
      <c r="P280" s="15" t="n">
        <v>20389.63</v>
      </c>
      <c r="Q280" s="15" t="n">
        <v>0</v>
      </c>
      <c r="R280" s="11" t="n">
        <v>0</v>
      </c>
      <c r="S280" s="15" t="n">
        <f aca="false">P280-Q280</f>
        <v>20389.63</v>
      </c>
      <c r="T280" s="11" t="n">
        <f aca="false">IF(OR(J280="Completed",J280="Returned"),1,0)</f>
        <v>1</v>
      </c>
    </row>
    <row r="281" customFormat="false" ht="15" hidden="false" customHeight="false" outlineLevel="0" collapsed="false">
      <c r="A281" s="11" t="s">
        <v>1153</v>
      </c>
      <c r="B281" s="11" t="s">
        <v>511</v>
      </c>
      <c r="C281" s="24" t="n">
        <v>45878</v>
      </c>
      <c r="D281" s="11" t="s">
        <v>51</v>
      </c>
      <c r="E281" s="11" t="s">
        <v>997</v>
      </c>
      <c r="F281" s="11" t="s">
        <v>70</v>
      </c>
      <c r="G281" s="11" t="s">
        <v>162</v>
      </c>
      <c r="H281" s="11" t="s">
        <v>20</v>
      </c>
      <c r="I281" s="11" t="s">
        <v>114</v>
      </c>
      <c r="J281" s="11" t="s">
        <v>269</v>
      </c>
      <c r="K281" s="11" t="n">
        <v>4</v>
      </c>
      <c r="L281" s="15" t="n">
        <v>16084.14</v>
      </c>
      <c r="M281" s="11" t="n">
        <v>5</v>
      </c>
      <c r="N281" s="15" t="n">
        <v>64336.56</v>
      </c>
      <c r="O281" s="15" t="n">
        <v>3216.83</v>
      </c>
      <c r="P281" s="15" t="n">
        <v>61119.73</v>
      </c>
      <c r="Q281" s="15" t="n">
        <v>0</v>
      </c>
      <c r="R281" s="11" t="n">
        <v>0</v>
      </c>
      <c r="S281" s="15" t="n">
        <f aca="false">P281-Q281</f>
        <v>61119.73</v>
      </c>
      <c r="T281" s="11" t="n">
        <f aca="false">IF(OR(J281="Completed",J281="Returned"),1,0)</f>
        <v>1</v>
      </c>
    </row>
    <row r="282" customFormat="false" ht="15" hidden="false" customHeight="false" outlineLevel="0" collapsed="false">
      <c r="A282" s="11" t="s">
        <v>1154</v>
      </c>
      <c r="B282" s="11" t="s">
        <v>415</v>
      </c>
      <c r="C282" s="24" t="n">
        <v>45305</v>
      </c>
      <c r="D282" s="11" t="s">
        <v>32</v>
      </c>
      <c r="E282" s="11" t="s">
        <v>975</v>
      </c>
      <c r="F282" s="11" t="s">
        <v>78</v>
      </c>
      <c r="G282" s="11" t="s">
        <v>150</v>
      </c>
      <c r="H282" s="11" t="s">
        <v>22</v>
      </c>
      <c r="I282" s="11" t="s">
        <v>113</v>
      </c>
      <c r="J282" s="11" t="s">
        <v>250</v>
      </c>
      <c r="K282" s="11" t="n">
        <v>3</v>
      </c>
      <c r="L282" s="15" t="n">
        <v>21978.46</v>
      </c>
      <c r="M282" s="11" t="n">
        <v>10</v>
      </c>
      <c r="N282" s="15" t="n">
        <v>65935.38</v>
      </c>
      <c r="O282" s="15" t="n">
        <v>6593.54</v>
      </c>
      <c r="P282" s="15" t="n">
        <v>59341.84</v>
      </c>
      <c r="Q282" s="15" t="n">
        <v>0</v>
      </c>
      <c r="R282" s="11" t="n">
        <v>0</v>
      </c>
      <c r="S282" s="15" t="n">
        <f aca="false">P282-Q282</f>
        <v>59341.84</v>
      </c>
      <c r="T282" s="11" t="n">
        <f aca="false">IF(OR(J282="Completed",J282="Returned"),1,0)</f>
        <v>0</v>
      </c>
    </row>
    <row r="283" customFormat="false" ht="15" hidden="false" customHeight="false" outlineLevel="0" collapsed="false">
      <c r="A283" s="11" t="s">
        <v>1155</v>
      </c>
      <c r="B283" s="11" t="s">
        <v>343</v>
      </c>
      <c r="C283" s="24" t="n">
        <v>45892</v>
      </c>
      <c r="D283" s="11" t="s">
        <v>51</v>
      </c>
      <c r="E283" s="11" t="s">
        <v>917</v>
      </c>
      <c r="F283" s="11" t="s">
        <v>78</v>
      </c>
      <c r="G283" s="11" t="s">
        <v>631</v>
      </c>
      <c r="H283" s="11" t="s">
        <v>24</v>
      </c>
      <c r="I283" s="11" t="s">
        <v>113</v>
      </c>
      <c r="J283" s="11" t="s">
        <v>242</v>
      </c>
      <c r="K283" s="11" t="n">
        <v>4</v>
      </c>
      <c r="L283" s="15" t="n">
        <v>11518.86</v>
      </c>
      <c r="M283" s="11" t="n">
        <v>0</v>
      </c>
      <c r="N283" s="15" t="n">
        <v>46075.44</v>
      </c>
      <c r="O283" s="15" t="n">
        <v>0</v>
      </c>
      <c r="P283" s="15" t="n">
        <v>46075.44</v>
      </c>
      <c r="Q283" s="15" t="n">
        <v>0</v>
      </c>
      <c r="R283" s="11" t="n">
        <v>0</v>
      </c>
      <c r="S283" s="15" t="n">
        <f aca="false">P283-Q283</f>
        <v>46075.44</v>
      </c>
      <c r="T283" s="11" t="n">
        <f aca="false">IF(OR(J283="Completed",J283="Returned"),1,0)</f>
        <v>1</v>
      </c>
    </row>
    <row r="284" customFormat="false" ht="15" hidden="false" customHeight="false" outlineLevel="0" collapsed="false">
      <c r="A284" s="11" t="s">
        <v>1156</v>
      </c>
      <c r="B284" s="11" t="s">
        <v>343</v>
      </c>
      <c r="C284" s="24" t="n">
        <v>45892</v>
      </c>
      <c r="D284" s="11" t="s">
        <v>51</v>
      </c>
      <c r="E284" s="11" t="s">
        <v>917</v>
      </c>
      <c r="F284" s="11" t="s">
        <v>78</v>
      </c>
      <c r="G284" s="11" t="s">
        <v>619</v>
      </c>
      <c r="H284" s="11" t="s">
        <v>23</v>
      </c>
      <c r="I284" s="11" t="s">
        <v>113</v>
      </c>
      <c r="J284" s="11" t="s">
        <v>242</v>
      </c>
      <c r="K284" s="11" t="n">
        <v>3</v>
      </c>
      <c r="L284" s="15" t="n">
        <v>20550.39</v>
      </c>
      <c r="M284" s="11" t="n">
        <v>5</v>
      </c>
      <c r="N284" s="15" t="n">
        <v>61651.17</v>
      </c>
      <c r="O284" s="15" t="n">
        <v>3082.56</v>
      </c>
      <c r="P284" s="15" t="n">
        <v>58568.61</v>
      </c>
      <c r="Q284" s="15" t="n">
        <v>0</v>
      </c>
      <c r="R284" s="11" t="n">
        <v>0</v>
      </c>
      <c r="S284" s="15" t="n">
        <f aca="false">P284-Q284</f>
        <v>58568.61</v>
      </c>
      <c r="T284" s="11" t="n">
        <f aca="false">IF(OR(J284="Completed",J284="Returned"),1,0)</f>
        <v>1</v>
      </c>
    </row>
    <row r="285" customFormat="false" ht="15" hidden="false" customHeight="false" outlineLevel="0" collapsed="false">
      <c r="A285" s="11" t="s">
        <v>1157</v>
      </c>
      <c r="B285" s="11" t="s">
        <v>343</v>
      </c>
      <c r="C285" s="24" t="n">
        <v>45892</v>
      </c>
      <c r="D285" s="11" t="s">
        <v>51</v>
      </c>
      <c r="E285" s="11" t="s">
        <v>917</v>
      </c>
      <c r="F285" s="11" t="s">
        <v>78</v>
      </c>
      <c r="G285" s="11" t="s">
        <v>805</v>
      </c>
      <c r="H285" s="11" t="s">
        <v>21</v>
      </c>
      <c r="I285" s="11" t="s">
        <v>113</v>
      </c>
      <c r="J285" s="11" t="s">
        <v>242</v>
      </c>
      <c r="K285" s="11" t="n">
        <v>1</v>
      </c>
      <c r="L285" s="15" t="n">
        <v>23243.35</v>
      </c>
      <c r="M285" s="11" t="n">
        <v>15</v>
      </c>
      <c r="N285" s="15" t="n">
        <v>23243.35</v>
      </c>
      <c r="O285" s="15" t="n">
        <v>3486.5</v>
      </c>
      <c r="P285" s="15" t="n">
        <v>19756.85</v>
      </c>
      <c r="Q285" s="15" t="n">
        <v>0</v>
      </c>
      <c r="R285" s="11" t="n">
        <v>0</v>
      </c>
      <c r="S285" s="15" t="n">
        <f aca="false">P285-Q285</f>
        <v>19756.85</v>
      </c>
      <c r="T285" s="11" t="n">
        <f aca="false">IF(OR(J285="Completed",J285="Returned"),1,0)</f>
        <v>1</v>
      </c>
    </row>
    <row r="286" customFormat="false" ht="15" hidden="false" customHeight="false" outlineLevel="0" collapsed="false">
      <c r="A286" s="11" t="s">
        <v>1158</v>
      </c>
      <c r="B286" s="11" t="s">
        <v>335</v>
      </c>
      <c r="C286" s="24" t="n">
        <v>45702</v>
      </c>
      <c r="D286" s="11" t="s">
        <v>45</v>
      </c>
      <c r="E286" s="11" t="s">
        <v>997</v>
      </c>
      <c r="F286" s="11" t="s">
        <v>70</v>
      </c>
      <c r="G286" s="11" t="s">
        <v>613</v>
      </c>
      <c r="H286" s="11" t="s">
        <v>23</v>
      </c>
      <c r="I286" s="11" t="s">
        <v>115</v>
      </c>
      <c r="J286" s="11" t="s">
        <v>242</v>
      </c>
      <c r="K286" s="11" t="n">
        <v>3</v>
      </c>
      <c r="L286" s="15" t="n">
        <v>7218.53</v>
      </c>
      <c r="M286" s="11" t="n">
        <v>15</v>
      </c>
      <c r="N286" s="15" t="n">
        <v>21655.59</v>
      </c>
      <c r="O286" s="15" t="n">
        <v>3248.34</v>
      </c>
      <c r="P286" s="15" t="n">
        <v>18407.25</v>
      </c>
      <c r="Q286" s="15" t="n">
        <v>0</v>
      </c>
      <c r="R286" s="11" t="n">
        <v>0</v>
      </c>
      <c r="S286" s="15" t="n">
        <f aca="false">P286-Q286</f>
        <v>18407.25</v>
      </c>
      <c r="T286" s="11" t="n">
        <f aca="false">IF(OR(J286="Completed",J286="Returned"),1,0)</f>
        <v>1</v>
      </c>
    </row>
    <row r="287" customFormat="false" ht="15" hidden="false" customHeight="false" outlineLevel="0" collapsed="false">
      <c r="A287" s="11" t="s">
        <v>1159</v>
      </c>
      <c r="B287" s="11" t="s">
        <v>335</v>
      </c>
      <c r="C287" s="24" t="n">
        <v>45702</v>
      </c>
      <c r="D287" s="11" t="s">
        <v>45</v>
      </c>
      <c r="E287" s="11" t="s">
        <v>997</v>
      </c>
      <c r="F287" s="11" t="s">
        <v>70</v>
      </c>
      <c r="G287" s="11" t="s">
        <v>152</v>
      </c>
      <c r="H287" s="11" t="s">
        <v>23</v>
      </c>
      <c r="I287" s="11" t="s">
        <v>115</v>
      </c>
      <c r="J287" s="11" t="s">
        <v>242</v>
      </c>
      <c r="K287" s="11" t="n">
        <v>5</v>
      </c>
      <c r="L287" s="15" t="n">
        <v>9953.59</v>
      </c>
      <c r="M287" s="11" t="n">
        <v>20</v>
      </c>
      <c r="N287" s="15" t="n">
        <v>49767.95</v>
      </c>
      <c r="O287" s="15" t="n">
        <v>9953.59</v>
      </c>
      <c r="P287" s="15" t="n">
        <v>39814.36</v>
      </c>
      <c r="Q287" s="15" t="n">
        <v>0</v>
      </c>
      <c r="R287" s="11" t="n">
        <v>0</v>
      </c>
      <c r="S287" s="15" t="n">
        <f aca="false">P287-Q287</f>
        <v>39814.36</v>
      </c>
      <c r="T287" s="11" t="n">
        <f aca="false">IF(OR(J287="Completed",J287="Returned"),1,0)</f>
        <v>1</v>
      </c>
    </row>
    <row r="288" customFormat="false" ht="15" hidden="false" customHeight="false" outlineLevel="0" collapsed="false">
      <c r="A288" s="11" t="s">
        <v>1160</v>
      </c>
      <c r="B288" s="11" t="s">
        <v>357</v>
      </c>
      <c r="C288" s="24" t="n">
        <v>45751</v>
      </c>
      <c r="D288" s="11" t="s">
        <v>47</v>
      </c>
      <c r="E288" s="11" t="s">
        <v>1161</v>
      </c>
      <c r="F288" s="11" t="s">
        <v>78</v>
      </c>
      <c r="G288" s="11" t="s">
        <v>628</v>
      </c>
      <c r="H288" s="11" t="s">
        <v>22</v>
      </c>
      <c r="I288" s="11" t="s">
        <v>115</v>
      </c>
      <c r="J288" s="11" t="s">
        <v>250</v>
      </c>
      <c r="K288" s="11" t="n">
        <v>3</v>
      </c>
      <c r="L288" s="15" t="n">
        <v>9269.43</v>
      </c>
      <c r="M288" s="11" t="n">
        <v>0</v>
      </c>
      <c r="N288" s="15" t="n">
        <v>27808.29</v>
      </c>
      <c r="O288" s="15" t="n">
        <v>0</v>
      </c>
      <c r="P288" s="15" t="n">
        <v>27808.29</v>
      </c>
      <c r="Q288" s="15" t="n">
        <v>0</v>
      </c>
      <c r="R288" s="11" t="n">
        <v>0</v>
      </c>
      <c r="S288" s="15" t="n">
        <f aca="false">P288-Q288</f>
        <v>27808.29</v>
      </c>
      <c r="T288" s="11" t="n">
        <f aca="false">IF(OR(J288="Completed",J288="Returned"),1,0)</f>
        <v>0</v>
      </c>
    </row>
    <row r="289" customFormat="false" ht="15" hidden="false" customHeight="false" outlineLevel="0" collapsed="false">
      <c r="A289" s="11" t="s">
        <v>1162</v>
      </c>
      <c r="B289" s="11" t="s">
        <v>505</v>
      </c>
      <c r="C289" s="24" t="n">
        <v>45292</v>
      </c>
      <c r="D289" s="11" t="s">
        <v>32</v>
      </c>
      <c r="E289" s="11" t="s">
        <v>87</v>
      </c>
      <c r="F289" s="11" t="s">
        <v>82</v>
      </c>
      <c r="G289" s="11" t="s">
        <v>162</v>
      </c>
      <c r="H289" s="11" t="s">
        <v>20</v>
      </c>
      <c r="I289" s="11" t="s">
        <v>113</v>
      </c>
      <c r="J289" s="11" t="s">
        <v>242</v>
      </c>
      <c r="K289" s="11" t="n">
        <v>1</v>
      </c>
      <c r="L289" s="15" t="n">
        <v>16084.14</v>
      </c>
      <c r="M289" s="11" t="n">
        <v>20</v>
      </c>
      <c r="N289" s="15" t="n">
        <v>16084.14</v>
      </c>
      <c r="O289" s="15" t="n">
        <v>3216.83</v>
      </c>
      <c r="P289" s="15" t="n">
        <v>12867.31</v>
      </c>
      <c r="Q289" s="15" t="n">
        <v>0</v>
      </c>
      <c r="R289" s="11" t="n">
        <v>0</v>
      </c>
      <c r="S289" s="15" t="n">
        <f aca="false">P289-Q289</f>
        <v>12867.31</v>
      </c>
      <c r="T289" s="11" t="n">
        <f aca="false">IF(OR(J289="Completed",J289="Returned"),1,0)</f>
        <v>1</v>
      </c>
    </row>
    <row r="290" customFormat="false" ht="15" hidden="false" customHeight="false" outlineLevel="0" collapsed="false">
      <c r="A290" s="11" t="s">
        <v>1163</v>
      </c>
      <c r="B290" s="11" t="s">
        <v>505</v>
      </c>
      <c r="C290" s="24" t="n">
        <v>45292</v>
      </c>
      <c r="D290" s="11" t="s">
        <v>32</v>
      </c>
      <c r="E290" s="11" t="s">
        <v>87</v>
      </c>
      <c r="F290" s="11" t="s">
        <v>82</v>
      </c>
      <c r="G290" s="11" t="s">
        <v>129</v>
      </c>
      <c r="H290" s="11" t="s">
        <v>24</v>
      </c>
      <c r="I290" s="11" t="s">
        <v>113</v>
      </c>
      <c r="J290" s="11" t="s">
        <v>242</v>
      </c>
      <c r="K290" s="11" t="n">
        <v>3</v>
      </c>
      <c r="L290" s="15" t="n">
        <v>3184.81</v>
      </c>
      <c r="M290" s="11" t="n">
        <v>10</v>
      </c>
      <c r="N290" s="15" t="n">
        <v>9554.43</v>
      </c>
      <c r="O290" s="15" t="n">
        <v>955.44</v>
      </c>
      <c r="P290" s="15" t="n">
        <v>8598.99</v>
      </c>
      <c r="Q290" s="15" t="n">
        <v>0</v>
      </c>
      <c r="R290" s="11" t="n">
        <v>0</v>
      </c>
      <c r="S290" s="15" t="n">
        <f aca="false">P290-Q290</f>
        <v>8598.99</v>
      </c>
      <c r="T290" s="11" t="n">
        <f aca="false">IF(OR(J290="Completed",J290="Returned"),1,0)</f>
        <v>1</v>
      </c>
    </row>
    <row r="291" customFormat="false" ht="15" hidden="false" customHeight="false" outlineLevel="0" collapsed="false">
      <c r="A291" s="11" t="s">
        <v>1164</v>
      </c>
      <c r="B291" s="11" t="s">
        <v>505</v>
      </c>
      <c r="C291" s="24" t="n">
        <v>45292</v>
      </c>
      <c r="D291" s="11" t="s">
        <v>32</v>
      </c>
      <c r="E291" s="11" t="s">
        <v>87</v>
      </c>
      <c r="F291" s="11" t="s">
        <v>82</v>
      </c>
      <c r="G291" s="11" t="s">
        <v>833</v>
      </c>
      <c r="H291" s="11" t="s">
        <v>23</v>
      </c>
      <c r="I291" s="11" t="s">
        <v>113</v>
      </c>
      <c r="J291" s="11" t="s">
        <v>242</v>
      </c>
      <c r="K291" s="11" t="n">
        <v>4</v>
      </c>
      <c r="L291" s="15" t="n">
        <v>14595.44</v>
      </c>
      <c r="M291" s="11" t="n">
        <v>10</v>
      </c>
      <c r="N291" s="15" t="n">
        <v>58381.76</v>
      </c>
      <c r="O291" s="15" t="n">
        <v>5838.18</v>
      </c>
      <c r="P291" s="15" t="n">
        <v>52543.58</v>
      </c>
      <c r="Q291" s="15" t="n">
        <v>0</v>
      </c>
      <c r="R291" s="11" t="n">
        <v>0</v>
      </c>
      <c r="S291" s="15" t="n">
        <f aca="false">P291-Q291</f>
        <v>52543.58</v>
      </c>
      <c r="T291" s="11" t="n">
        <f aca="false">IF(OR(J291="Completed",J291="Returned"),1,0)</f>
        <v>1</v>
      </c>
    </row>
    <row r="292" customFormat="false" ht="15" hidden="false" customHeight="false" outlineLevel="0" collapsed="false">
      <c r="A292" s="11" t="s">
        <v>1165</v>
      </c>
      <c r="B292" s="11" t="s">
        <v>505</v>
      </c>
      <c r="C292" s="24" t="n">
        <v>45292</v>
      </c>
      <c r="D292" s="11" t="s">
        <v>32</v>
      </c>
      <c r="E292" s="11" t="s">
        <v>87</v>
      </c>
      <c r="F292" s="11" t="s">
        <v>82</v>
      </c>
      <c r="G292" s="11" t="s">
        <v>1166</v>
      </c>
      <c r="H292" s="11" t="s">
        <v>21</v>
      </c>
      <c r="I292" s="11" t="s">
        <v>113</v>
      </c>
      <c r="J292" s="11" t="s">
        <v>242</v>
      </c>
      <c r="K292" s="11" t="n">
        <v>4</v>
      </c>
      <c r="L292" s="15" t="n">
        <v>27280.24</v>
      </c>
      <c r="M292" s="11" t="n">
        <v>20</v>
      </c>
      <c r="N292" s="15" t="n">
        <v>109120.96</v>
      </c>
      <c r="O292" s="15" t="n">
        <v>21824.19</v>
      </c>
      <c r="P292" s="15" t="n">
        <v>87296.77</v>
      </c>
      <c r="Q292" s="15" t="n">
        <v>75816.05</v>
      </c>
      <c r="R292" s="11" t="n">
        <v>4</v>
      </c>
      <c r="S292" s="15" t="n">
        <f aca="false">P292-Q292</f>
        <v>11480.72</v>
      </c>
      <c r="T292" s="11" t="n">
        <f aca="false">IF(OR(J292="Completed",J292="Returned"),1,0)</f>
        <v>1</v>
      </c>
    </row>
    <row r="293" customFormat="false" ht="15" hidden="false" customHeight="false" outlineLevel="0" collapsed="false">
      <c r="A293" s="11" t="s">
        <v>1167</v>
      </c>
      <c r="B293" s="11" t="s">
        <v>347</v>
      </c>
      <c r="C293" s="24" t="n">
        <v>45904</v>
      </c>
      <c r="D293" s="11" t="s">
        <v>52</v>
      </c>
      <c r="E293" s="11" t="s">
        <v>1024</v>
      </c>
      <c r="F293" s="11" t="s">
        <v>74</v>
      </c>
      <c r="G293" s="11" t="s">
        <v>135</v>
      </c>
      <c r="H293" s="11" t="s">
        <v>22</v>
      </c>
      <c r="I293" s="11" t="s">
        <v>114</v>
      </c>
      <c r="J293" s="11" t="s">
        <v>269</v>
      </c>
      <c r="K293" s="11" t="n">
        <v>5</v>
      </c>
      <c r="L293" s="15" t="n">
        <v>22655.14</v>
      </c>
      <c r="M293" s="11" t="n">
        <v>0</v>
      </c>
      <c r="N293" s="15" t="n">
        <v>113275.7</v>
      </c>
      <c r="O293" s="15" t="n">
        <v>0</v>
      </c>
      <c r="P293" s="15" t="n">
        <v>113275.7</v>
      </c>
      <c r="Q293" s="15" t="n">
        <v>0</v>
      </c>
      <c r="R293" s="11" t="n">
        <v>0</v>
      </c>
      <c r="S293" s="15" t="n">
        <f aca="false">P293-Q293</f>
        <v>113275.7</v>
      </c>
      <c r="T293" s="11" t="n">
        <f aca="false">IF(OR(J293="Completed",J293="Returned"),1,0)</f>
        <v>1</v>
      </c>
    </row>
    <row r="294" customFormat="false" ht="15" hidden="false" customHeight="false" outlineLevel="0" collapsed="false">
      <c r="A294" s="11" t="s">
        <v>1168</v>
      </c>
      <c r="B294" s="11" t="s">
        <v>347</v>
      </c>
      <c r="C294" s="24" t="n">
        <v>45904</v>
      </c>
      <c r="D294" s="11" t="s">
        <v>52</v>
      </c>
      <c r="E294" s="11" t="s">
        <v>1024</v>
      </c>
      <c r="F294" s="11" t="s">
        <v>74</v>
      </c>
      <c r="G294" s="11" t="s">
        <v>139</v>
      </c>
      <c r="H294" s="11" t="s">
        <v>24</v>
      </c>
      <c r="I294" s="11" t="s">
        <v>114</v>
      </c>
      <c r="J294" s="11" t="s">
        <v>269</v>
      </c>
      <c r="K294" s="11" t="n">
        <v>4</v>
      </c>
      <c r="L294" s="15" t="n">
        <v>20278.89</v>
      </c>
      <c r="M294" s="11" t="n">
        <v>5</v>
      </c>
      <c r="N294" s="15" t="n">
        <v>81115.56</v>
      </c>
      <c r="O294" s="15" t="n">
        <v>4055.78</v>
      </c>
      <c r="P294" s="15" t="n">
        <v>77059.78</v>
      </c>
      <c r="Q294" s="15" t="n">
        <v>0</v>
      </c>
      <c r="R294" s="11" t="n">
        <v>0</v>
      </c>
      <c r="S294" s="15" t="n">
        <f aca="false">P294-Q294</f>
        <v>77059.78</v>
      </c>
      <c r="T294" s="11" t="n">
        <f aca="false">IF(OR(J294="Completed",J294="Returned"),1,0)</f>
        <v>1</v>
      </c>
    </row>
    <row r="295" customFormat="false" ht="15" hidden="false" customHeight="false" outlineLevel="0" collapsed="false">
      <c r="A295" s="11" t="s">
        <v>1169</v>
      </c>
      <c r="B295" s="11" t="s">
        <v>288</v>
      </c>
      <c r="C295" s="24" t="n">
        <v>45668</v>
      </c>
      <c r="D295" s="11" t="s">
        <v>44</v>
      </c>
      <c r="E295" s="11" t="s">
        <v>1030</v>
      </c>
      <c r="F295" s="11" t="s">
        <v>78</v>
      </c>
      <c r="G295" s="11" t="s">
        <v>995</v>
      </c>
      <c r="H295" s="11" t="s">
        <v>24</v>
      </c>
      <c r="I295" s="11" t="s">
        <v>113</v>
      </c>
      <c r="J295" s="11" t="s">
        <v>269</v>
      </c>
      <c r="K295" s="11" t="n">
        <v>3</v>
      </c>
      <c r="L295" s="15" t="n">
        <v>11865.75</v>
      </c>
      <c r="M295" s="11" t="n">
        <v>10</v>
      </c>
      <c r="N295" s="15" t="n">
        <v>35597.25</v>
      </c>
      <c r="O295" s="15" t="n">
        <v>3559.72</v>
      </c>
      <c r="P295" s="15" t="n">
        <v>32037.53</v>
      </c>
      <c r="Q295" s="15" t="n">
        <v>0</v>
      </c>
      <c r="R295" s="11" t="n">
        <v>0</v>
      </c>
      <c r="S295" s="15" t="n">
        <f aca="false">P295-Q295</f>
        <v>32037.53</v>
      </c>
      <c r="T295" s="11" t="n">
        <f aca="false">IF(OR(J295="Completed",J295="Returned"),1,0)</f>
        <v>1</v>
      </c>
    </row>
    <row r="296" customFormat="false" ht="15" hidden="false" customHeight="false" outlineLevel="0" collapsed="false">
      <c r="A296" s="11" t="s">
        <v>1170</v>
      </c>
      <c r="B296" s="11" t="s">
        <v>288</v>
      </c>
      <c r="C296" s="24" t="n">
        <v>45668</v>
      </c>
      <c r="D296" s="11" t="s">
        <v>44</v>
      </c>
      <c r="E296" s="11" t="s">
        <v>1030</v>
      </c>
      <c r="F296" s="11" t="s">
        <v>78</v>
      </c>
      <c r="G296" s="11" t="s">
        <v>854</v>
      </c>
      <c r="H296" s="11" t="s">
        <v>20</v>
      </c>
      <c r="I296" s="11" t="s">
        <v>113</v>
      </c>
      <c r="J296" s="11" t="s">
        <v>269</v>
      </c>
      <c r="K296" s="11" t="n">
        <v>3</v>
      </c>
      <c r="L296" s="15" t="n">
        <v>25742.49</v>
      </c>
      <c r="M296" s="11" t="n">
        <v>10</v>
      </c>
      <c r="N296" s="15" t="n">
        <v>77227.47</v>
      </c>
      <c r="O296" s="15" t="n">
        <v>7722.75</v>
      </c>
      <c r="P296" s="15" t="n">
        <v>69504.72</v>
      </c>
      <c r="Q296" s="15" t="n">
        <v>60115.27</v>
      </c>
      <c r="R296" s="11" t="n">
        <v>3</v>
      </c>
      <c r="S296" s="15" t="n">
        <f aca="false">P296-Q296</f>
        <v>9389.45</v>
      </c>
      <c r="T296" s="11" t="n">
        <f aca="false">IF(OR(J296="Completed",J296="Returned"),1,0)</f>
        <v>1</v>
      </c>
    </row>
    <row r="297" customFormat="false" ht="15" hidden="false" customHeight="false" outlineLevel="0" collapsed="false">
      <c r="A297" s="11" t="s">
        <v>1171</v>
      </c>
      <c r="B297" s="11" t="s">
        <v>288</v>
      </c>
      <c r="C297" s="24" t="n">
        <v>45668</v>
      </c>
      <c r="D297" s="11" t="s">
        <v>44</v>
      </c>
      <c r="E297" s="11" t="s">
        <v>1030</v>
      </c>
      <c r="F297" s="11" t="s">
        <v>78</v>
      </c>
      <c r="G297" s="11" t="s">
        <v>957</v>
      </c>
      <c r="H297" s="11" t="s">
        <v>23</v>
      </c>
      <c r="I297" s="11" t="s">
        <v>113</v>
      </c>
      <c r="J297" s="11" t="s">
        <v>269</v>
      </c>
      <c r="K297" s="11" t="n">
        <v>1</v>
      </c>
      <c r="L297" s="15" t="n">
        <v>1741.05</v>
      </c>
      <c r="M297" s="11" t="n">
        <v>20</v>
      </c>
      <c r="N297" s="15" t="n">
        <v>1741.05</v>
      </c>
      <c r="O297" s="15" t="n">
        <v>348.21</v>
      </c>
      <c r="P297" s="15" t="n">
        <v>1392.84</v>
      </c>
      <c r="Q297" s="15" t="n">
        <v>0</v>
      </c>
      <c r="R297" s="11" t="n">
        <v>0</v>
      </c>
      <c r="S297" s="15" t="n">
        <f aca="false">P297-Q297</f>
        <v>1392.84</v>
      </c>
      <c r="T297" s="11" t="n">
        <f aca="false">IF(OR(J297="Completed",J297="Returned"),1,0)</f>
        <v>1</v>
      </c>
    </row>
    <row r="298" customFormat="false" ht="15" hidden="false" customHeight="false" outlineLevel="0" collapsed="false">
      <c r="A298" s="11" t="s">
        <v>1172</v>
      </c>
      <c r="B298" s="11" t="s">
        <v>432</v>
      </c>
      <c r="C298" s="24" t="n">
        <v>45447</v>
      </c>
      <c r="D298" s="11" t="s">
        <v>37</v>
      </c>
      <c r="E298" s="11" t="s">
        <v>1173</v>
      </c>
      <c r="F298" s="11" t="s">
        <v>78</v>
      </c>
      <c r="G298" s="11" t="s">
        <v>1166</v>
      </c>
      <c r="H298" s="11" t="s">
        <v>21</v>
      </c>
      <c r="I298" s="11" t="s">
        <v>113</v>
      </c>
      <c r="J298" s="11" t="s">
        <v>242</v>
      </c>
      <c r="K298" s="11" t="n">
        <v>2</v>
      </c>
      <c r="L298" s="15" t="n">
        <v>27280.24</v>
      </c>
      <c r="M298" s="11" t="n">
        <v>10</v>
      </c>
      <c r="N298" s="15" t="n">
        <v>54560.48</v>
      </c>
      <c r="O298" s="15" t="n">
        <v>5456.05</v>
      </c>
      <c r="P298" s="15" t="n">
        <v>49104.43</v>
      </c>
      <c r="Q298" s="15" t="n">
        <v>0</v>
      </c>
      <c r="R298" s="11" t="n">
        <v>0</v>
      </c>
      <c r="S298" s="15" t="n">
        <f aca="false">P298-Q298</f>
        <v>49104.43</v>
      </c>
      <c r="T298" s="11" t="n">
        <f aca="false">IF(OR(J298="Completed",J298="Returned"),1,0)</f>
        <v>1</v>
      </c>
    </row>
    <row r="299" customFormat="false" ht="15" hidden="false" customHeight="false" outlineLevel="0" collapsed="false">
      <c r="A299" s="11" t="s">
        <v>1174</v>
      </c>
      <c r="B299" s="11" t="s">
        <v>432</v>
      </c>
      <c r="C299" s="24" t="n">
        <v>45447</v>
      </c>
      <c r="D299" s="11" t="s">
        <v>37</v>
      </c>
      <c r="E299" s="11" t="s">
        <v>1173</v>
      </c>
      <c r="F299" s="11" t="s">
        <v>78</v>
      </c>
      <c r="G299" s="11" t="s">
        <v>907</v>
      </c>
      <c r="H299" s="11" t="s">
        <v>22</v>
      </c>
      <c r="I299" s="11" t="s">
        <v>113</v>
      </c>
      <c r="J299" s="11" t="s">
        <v>242</v>
      </c>
      <c r="K299" s="11" t="n">
        <v>2</v>
      </c>
      <c r="L299" s="15" t="n">
        <v>25643.17</v>
      </c>
      <c r="M299" s="11" t="n">
        <v>0</v>
      </c>
      <c r="N299" s="15" t="n">
        <v>51286.34</v>
      </c>
      <c r="O299" s="15" t="n">
        <v>0</v>
      </c>
      <c r="P299" s="15" t="n">
        <v>51286.34</v>
      </c>
      <c r="Q299" s="15" t="n">
        <v>0</v>
      </c>
      <c r="R299" s="11" t="n">
        <v>0</v>
      </c>
      <c r="S299" s="15" t="n">
        <f aca="false">P299-Q299</f>
        <v>51286.34</v>
      </c>
      <c r="T299" s="11" t="n">
        <f aca="false">IF(OR(J299="Completed",J299="Returned"),1,0)</f>
        <v>1</v>
      </c>
    </row>
    <row r="300" customFormat="false" ht="15" hidden="false" customHeight="false" outlineLevel="0" collapsed="false">
      <c r="A300" s="11" t="s">
        <v>1175</v>
      </c>
      <c r="B300" s="11" t="s">
        <v>307</v>
      </c>
      <c r="C300" s="24" t="n">
        <v>44328</v>
      </c>
      <c r="D300" s="11" t="s">
        <v>29</v>
      </c>
      <c r="E300" s="11" t="s">
        <v>1176</v>
      </c>
      <c r="F300" s="11" t="s">
        <v>70</v>
      </c>
      <c r="G300" s="11" t="s">
        <v>986</v>
      </c>
      <c r="H300" s="11" t="s">
        <v>22</v>
      </c>
      <c r="I300" s="11" t="s">
        <v>114</v>
      </c>
      <c r="J300" s="11" t="s">
        <v>242</v>
      </c>
      <c r="K300" s="11" t="n">
        <v>5</v>
      </c>
      <c r="L300" s="15" t="n">
        <v>19639.31</v>
      </c>
      <c r="M300" s="11" t="n">
        <v>10</v>
      </c>
      <c r="N300" s="15" t="n">
        <v>98196.55</v>
      </c>
      <c r="O300" s="15" t="n">
        <v>9819.66</v>
      </c>
      <c r="P300" s="15" t="n">
        <v>88376.89</v>
      </c>
      <c r="Q300" s="15" t="n">
        <v>0</v>
      </c>
      <c r="R300" s="11" t="n">
        <v>0</v>
      </c>
      <c r="S300" s="15" t="n">
        <f aca="false">P300-Q300</f>
        <v>88376.89</v>
      </c>
      <c r="T300" s="11" t="n">
        <f aca="false">IF(OR(J300="Completed",J300="Returned"),1,0)</f>
        <v>1</v>
      </c>
    </row>
    <row r="301" customFormat="false" ht="15" hidden="false" customHeight="false" outlineLevel="0" collapsed="false">
      <c r="A301" s="11" t="s">
        <v>1177</v>
      </c>
      <c r="B301" s="11" t="s">
        <v>307</v>
      </c>
      <c r="C301" s="24" t="n">
        <v>44328</v>
      </c>
      <c r="D301" s="11" t="s">
        <v>29</v>
      </c>
      <c r="E301" s="11" t="s">
        <v>1176</v>
      </c>
      <c r="F301" s="11" t="s">
        <v>70</v>
      </c>
      <c r="G301" s="11" t="s">
        <v>162</v>
      </c>
      <c r="H301" s="11" t="s">
        <v>20</v>
      </c>
      <c r="I301" s="11" t="s">
        <v>114</v>
      </c>
      <c r="J301" s="11" t="s">
        <v>242</v>
      </c>
      <c r="K301" s="11" t="n">
        <v>1</v>
      </c>
      <c r="L301" s="15" t="n">
        <v>16084.14</v>
      </c>
      <c r="M301" s="11" t="n">
        <v>0</v>
      </c>
      <c r="N301" s="15" t="n">
        <v>16084.14</v>
      </c>
      <c r="O301" s="15" t="n">
        <v>0</v>
      </c>
      <c r="P301" s="15" t="n">
        <v>16084.14</v>
      </c>
      <c r="Q301" s="15" t="n">
        <v>0</v>
      </c>
      <c r="R301" s="11" t="n">
        <v>0</v>
      </c>
      <c r="S301" s="15" t="n">
        <f aca="false">P301-Q301</f>
        <v>16084.14</v>
      </c>
      <c r="T301" s="11" t="n">
        <f aca="false">IF(OR(J301="Completed",J301="Returned"),1,0)</f>
        <v>1</v>
      </c>
    </row>
    <row r="302" customFormat="false" ht="15" hidden="false" customHeight="false" outlineLevel="0" collapsed="false">
      <c r="A302" s="11" t="s">
        <v>1178</v>
      </c>
      <c r="B302" s="11" t="s">
        <v>463</v>
      </c>
      <c r="C302" s="24" t="n">
        <v>45938</v>
      </c>
      <c r="D302" s="11" t="s">
        <v>53</v>
      </c>
      <c r="E302" s="11" t="s">
        <v>1179</v>
      </c>
      <c r="F302" s="11" t="s">
        <v>78</v>
      </c>
      <c r="G302" s="11" t="s">
        <v>803</v>
      </c>
      <c r="H302" s="11" t="s">
        <v>25</v>
      </c>
      <c r="I302" s="11" t="s">
        <v>115</v>
      </c>
      <c r="J302" s="11" t="s">
        <v>246</v>
      </c>
      <c r="K302" s="11" t="n">
        <v>3</v>
      </c>
      <c r="L302" s="15" t="n">
        <v>15176.98</v>
      </c>
      <c r="M302" s="11" t="n">
        <v>5</v>
      </c>
      <c r="N302" s="15" t="n">
        <v>45530.94</v>
      </c>
      <c r="O302" s="15" t="n">
        <v>2276.55</v>
      </c>
      <c r="P302" s="15" t="n">
        <v>43254.39</v>
      </c>
      <c r="Q302" s="15" t="n">
        <v>0</v>
      </c>
      <c r="R302" s="11" t="n">
        <v>0</v>
      </c>
      <c r="S302" s="15" t="n">
        <f aca="false">P302-Q302</f>
        <v>43254.39</v>
      </c>
      <c r="T302" s="11" t="n">
        <f aca="false">IF(OR(J302="Completed",J302="Returned"),1,0)</f>
        <v>0</v>
      </c>
    </row>
    <row r="303" customFormat="false" ht="15" hidden="false" customHeight="false" outlineLevel="0" collapsed="false">
      <c r="A303" s="11" t="s">
        <v>1180</v>
      </c>
      <c r="B303" s="11" t="s">
        <v>463</v>
      </c>
      <c r="C303" s="24" t="n">
        <v>45938</v>
      </c>
      <c r="D303" s="11" t="s">
        <v>53</v>
      </c>
      <c r="E303" s="11" t="s">
        <v>1179</v>
      </c>
      <c r="F303" s="11" t="s">
        <v>78</v>
      </c>
      <c r="G303" s="11" t="s">
        <v>809</v>
      </c>
      <c r="H303" s="11" t="s">
        <v>22</v>
      </c>
      <c r="I303" s="11" t="s">
        <v>115</v>
      </c>
      <c r="J303" s="11" t="s">
        <v>246</v>
      </c>
      <c r="K303" s="11" t="n">
        <v>1</v>
      </c>
      <c r="L303" s="15" t="n">
        <v>22582.54</v>
      </c>
      <c r="M303" s="11" t="n">
        <v>20</v>
      </c>
      <c r="N303" s="15" t="n">
        <v>22582.54</v>
      </c>
      <c r="O303" s="15" t="n">
        <v>4516.51</v>
      </c>
      <c r="P303" s="15" t="n">
        <v>18066.03</v>
      </c>
      <c r="Q303" s="15" t="n">
        <v>0</v>
      </c>
      <c r="R303" s="11" t="n">
        <v>0</v>
      </c>
      <c r="S303" s="15" t="n">
        <f aca="false">P303-Q303</f>
        <v>18066.03</v>
      </c>
      <c r="T303" s="11" t="n">
        <f aca="false">IF(OR(J303="Completed",J303="Returned"),1,0)</f>
        <v>0</v>
      </c>
    </row>
    <row r="304" customFormat="false" ht="15" hidden="false" customHeight="false" outlineLevel="0" collapsed="false">
      <c r="A304" s="11" t="s">
        <v>1181</v>
      </c>
      <c r="B304" s="11" t="s">
        <v>345</v>
      </c>
      <c r="C304" s="24" t="n">
        <v>45620</v>
      </c>
      <c r="D304" s="11" t="s">
        <v>42</v>
      </c>
      <c r="E304" s="11" t="s">
        <v>95</v>
      </c>
      <c r="F304" s="11" t="s">
        <v>78</v>
      </c>
      <c r="G304" s="11" t="s">
        <v>135</v>
      </c>
      <c r="H304" s="11" t="s">
        <v>22</v>
      </c>
      <c r="I304" s="11" t="s">
        <v>113</v>
      </c>
      <c r="J304" s="11" t="s">
        <v>242</v>
      </c>
      <c r="K304" s="11" t="n">
        <v>1</v>
      </c>
      <c r="L304" s="15" t="n">
        <v>22655.14</v>
      </c>
      <c r="M304" s="11" t="n">
        <v>5</v>
      </c>
      <c r="N304" s="15" t="n">
        <v>22655.14</v>
      </c>
      <c r="O304" s="15" t="n">
        <v>1132.76</v>
      </c>
      <c r="P304" s="15" t="n">
        <v>21522.38</v>
      </c>
      <c r="Q304" s="15" t="n">
        <v>19128.89</v>
      </c>
      <c r="R304" s="11" t="n">
        <v>1</v>
      </c>
      <c r="S304" s="15" t="n">
        <f aca="false">P304-Q304</f>
        <v>2393.49</v>
      </c>
      <c r="T304" s="11" t="n">
        <f aca="false">IF(OR(J304="Completed",J304="Returned"),1,0)</f>
        <v>1</v>
      </c>
    </row>
    <row r="305" customFormat="false" ht="15" hidden="false" customHeight="false" outlineLevel="0" collapsed="false">
      <c r="A305" s="11" t="s">
        <v>1182</v>
      </c>
      <c r="B305" s="11" t="s">
        <v>345</v>
      </c>
      <c r="C305" s="24" t="n">
        <v>45620</v>
      </c>
      <c r="D305" s="11" t="s">
        <v>42</v>
      </c>
      <c r="E305" s="11" t="s">
        <v>95</v>
      </c>
      <c r="F305" s="11" t="s">
        <v>78</v>
      </c>
      <c r="G305" s="11" t="s">
        <v>129</v>
      </c>
      <c r="H305" s="11" t="s">
        <v>24</v>
      </c>
      <c r="I305" s="11" t="s">
        <v>113</v>
      </c>
      <c r="J305" s="11" t="s">
        <v>242</v>
      </c>
      <c r="K305" s="11" t="n">
        <v>4</v>
      </c>
      <c r="L305" s="15" t="n">
        <v>3184.81</v>
      </c>
      <c r="M305" s="11" t="n">
        <v>5</v>
      </c>
      <c r="N305" s="15" t="n">
        <v>12739.24</v>
      </c>
      <c r="O305" s="15" t="n">
        <v>636.96</v>
      </c>
      <c r="P305" s="15" t="n">
        <v>12102.28</v>
      </c>
      <c r="Q305" s="15" t="n">
        <v>0</v>
      </c>
      <c r="R305" s="11" t="n">
        <v>0</v>
      </c>
      <c r="S305" s="15" t="n">
        <f aca="false">P305-Q305</f>
        <v>12102.28</v>
      </c>
      <c r="T305" s="11" t="n">
        <f aca="false">IF(OR(J305="Completed",J305="Returned"),1,0)</f>
        <v>1</v>
      </c>
    </row>
    <row r="306" customFormat="false" ht="15" hidden="false" customHeight="false" outlineLevel="0" collapsed="false">
      <c r="A306" s="11" t="s">
        <v>1183</v>
      </c>
      <c r="B306" s="11" t="s">
        <v>345</v>
      </c>
      <c r="C306" s="24" t="n">
        <v>45620</v>
      </c>
      <c r="D306" s="11" t="s">
        <v>42</v>
      </c>
      <c r="E306" s="11" t="s">
        <v>95</v>
      </c>
      <c r="F306" s="11" t="s">
        <v>78</v>
      </c>
      <c r="G306" s="11" t="s">
        <v>630</v>
      </c>
      <c r="H306" s="11" t="s">
        <v>23</v>
      </c>
      <c r="I306" s="11" t="s">
        <v>113</v>
      </c>
      <c r="J306" s="11" t="s">
        <v>242</v>
      </c>
      <c r="K306" s="11" t="n">
        <v>2</v>
      </c>
      <c r="L306" s="15" t="n">
        <v>18828.5</v>
      </c>
      <c r="M306" s="11" t="n">
        <v>0</v>
      </c>
      <c r="N306" s="15" t="n">
        <v>37657</v>
      </c>
      <c r="O306" s="15" t="n">
        <v>0</v>
      </c>
      <c r="P306" s="15" t="n">
        <v>37657</v>
      </c>
      <c r="Q306" s="15" t="n">
        <v>0</v>
      </c>
      <c r="R306" s="11" t="n">
        <v>0</v>
      </c>
      <c r="S306" s="15" t="n">
        <f aca="false">P306-Q306</f>
        <v>37657</v>
      </c>
      <c r="T306" s="11" t="n">
        <f aca="false">IF(OR(J306="Completed",J306="Returned"),1,0)</f>
        <v>1</v>
      </c>
    </row>
    <row r="307" customFormat="false" ht="15" hidden="false" customHeight="false" outlineLevel="0" collapsed="false">
      <c r="A307" s="11" t="s">
        <v>1184</v>
      </c>
      <c r="B307" s="11" t="s">
        <v>345</v>
      </c>
      <c r="C307" s="24" t="n">
        <v>45620</v>
      </c>
      <c r="D307" s="11" t="s">
        <v>42</v>
      </c>
      <c r="E307" s="11" t="s">
        <v>95</v>
      </c>
      <c r="F307" s="11" t="s">
        <v>78</v>
      </c>
      <c r="G307" s="11" t="s">
        <v>639</v>
      </c>
      <c r="H307" s="11" t="s">
        <v>23</v>
      </c>
      <c r="I307" s="11" t="s">
        <v>113</v>
      </c>
      <c r="J307" s="11" t="s">
        <v>242</v>
      </c>
      <c r="K307" s="11" t="n">
        <v>5</v>
      </c>
      <c r="L307" s="15" t="n">
        <v>8493.72</v>
      </c>
      <c r="M307" s="11" t="n">
        <v>0</v>
      </c>
      <c r="N307" s="15" t="n">
        <v>42468.6</v>
      </c>
      <c r="O307" s="15" t="n">
        <v>0</v>
      </c>
      <c r="P307" s="15" t="n">
        <v>42468.6</v>
      </c>
      <c r="Q307" s="15" t="n">
        <v>0</v>
      </c>
      <c r="R307" s="11" t="n">
        <v>0</v>
      </c>
      <c r="S307" s="15" t="n">
        <f aca="false">P307-Q307</f>
        <v>42468.6</v>
      </c>
      <c r="T307" s="11" t="n">
        <f aca="false">IF(OR(J307="Completed",J307="Returned"),1,0)</f>
        <v>1</v>
      </c>
    </row>
    <row r="308" customFormat="false" ht="15" hidden="false" customHeight="false" outlineLevel="0" collapsed="false">
      <c r="A308" s="11" t="s">
        <v>1185</v>
      </c>
      <c r="B308" s="11" t="s">
        <v>460</v>
      </c>
      <c r="C308" s="24" t="n">
        <v>45403</v>
      </c>
      <c r="D308" s="11" t="s">
        <v>35</v>
      </c>
      <c r="E308" s="11" t="s">
        <v>844</v>
      </c>
      <c r="F308" s="11" t="s">
        <v>82</v>
      </c>
      <c r="G308" s="11" t="s">
        <v>139</v>
      </c>
      <c r="H308" s="11" t="s">
        <v>24</v>
      </c>
      <c r="I308" s="11" t="s">
        <v>113</v>
      </c>
      <c r="J308" s="11" t="s">
        <v>250</v>
      </c>
      <c r="K308" s="11" t="n">
        <v>2</v>
      </c>
      <c r="L308" s="15" t="n">
        <v>20278.89</v>
      </c>
      <c r="M308" s="11" t="n">
        <v>15</v>
      </c>
      <c r="N308" s="15" t="n">
        <v>40557.78</v>
      </c>
      <c r="O308" s="15" t="n">
        <v>6083.67</v>
      </c>
      <c r="P308" s="15" t="n">
        <v>34474.11</v>
      </c>
      <c r="Q308" s="15" t="n">
        <v>0</v>
      </c>
      <c r="R308" s="11" t="n">
        <v>0</v>
      </c>
      <c r="S308" s="15" t="n">
        <f aca="false">P308-Q308</f>
        <v>34474.11</v>
      </c>
      <c r="T308" s="11" t="n">
        <f aca="false">IF(OR(J308="Completed",J308="Returned"),1,0)</f>
        <v>0</v>
      </c>
    </row>
    <row r="309" customFormat="false" ht="15" hidden="false" customHeight="false" outlineLevel="0" collapsed="false">
      <c r="A309" s="11" t="s">
        <v>1186</v>
      </c>
      <c r="B309" s="11" t="s">
        <v>460</v>
      </c>
      <c r="C309" s="24" t="n">
        <v>45403</v>
      </c>
      <c r="D309" s="11" t="s">
        <v>35</v>
      </c>
      <c r="E309" s="11" t="s">
        <v>844</v>
      </c>
      <c r="F309" s="11" t="s">
        <v>82</v>
      </c>
      <c r="G309" s="11" t="s">
        <v>611</v>
      </c>
      <c r="H309" s="11" t="s">
        <v>22</v>
      </c>
      <c r="I309" s="11" t="s">
        <v>113</v>
      </c>
      <c r="J309" s="11" t="s">
        <v>250</v>
      </c>
      <c r="K309" s="11" t="n">
        <v>3</v>
      </c>
      <c r="L309" s="15" t="n">
        <v>3634.57</v>
      </c>
      <c r="M309" s="11" t="n">
        <v>5</v>
      </c>
      <c r="N309" s="15" t="n">
        <v>10903.71</v>
      </c>
      <c r="O309" s="15" t="n">
        <v>545.19</v>
      </c>
      <c r="P309" s="15" t="n">
        <v>10358.52</v>
      </c>
      <c r="Q309" s="15" t="n">
        <v>0</v>
      </c>
      <c r="R309" s="11" t="n">
        <v>0</v>
      </c>
      <c r="S309" s="15" t="n">
        <f aca="false">P309-Q309</f>
        <v>10358.52</v>
      </c>
      <c r="T309" s="11" t="n">
        <f aca="false">IF(OR(J309="Completed",J309="Returned"),1,0)</f>
        <v>0</v>
      </c>
    </row>
    <row r="310" customFormat="false" ht="15" hidden="false" customHeight="false" outlineLevel="0" collapsed="false">
      <c r="A310" s="11" t="s">
        <v>1187</v>
      </c>
      <c r="B310" s="11" t="s">
        <v>460</v>
      </c>
      <c r="C310" s="24" t="n">
        <v>45403</v>
      </c>
      <c r="D310" s="11" t="s">
        <v>35</v>
      </c>
      <c r="E310" s="11" t="s">
        <v>844</v>
      </c>
      <c r="F310" s="11" t="s">
        <v>82</v>
      </c>
      <c r="G310" s="11" t="s">
        <v>156</v>
      </c>
      <c r="H310" s="11" t="s">
        <v>23</v>
      </c>
      <c r="I310" s="11" t="s">
        <v>113</v>
      </c>
      <c r="J310" s="11" t="s">
        <v>250</v>
      </c>
      <c r="K310" s="11" t="n">
        <v>2</v>
      </c>
      <c r="L310" s="15" t="n">
        <v>11992.92</v>
      </c>
      <c r="M310" s="11" t="n">
        <v>10</v>
      </c>
      <c r="N310" s="15" t="n">
        <v>23985.84</v>
      </c>
      <c r="O310" s="15" t="n">
        <v>2398.58</v>
      </c>
      <c r="P310" s="15" t="n">
        <v>21587.26</v>
      </c>
      <c r="Q310" s="15" t="n">
        <v>0</v>
      </c>
      <c r="R310" s="11" t="n">
        <v>0</v>
      </c>
      <c r="S310" s="15" t="n">
        <f aca="false">P310-Q310</f>
        <v>21587.26</v>
      </c>
      <c r="T310" s="11" t="n">
        <f aca="false">IF(OR(J310="Completed",J310="Returned"),1,0)</f>
        <v>0</v>
      </c>
    </row>
    <row r="311" customFormat="false" ht="15" hidden="false" customHeight="false" outlineLevel="0" collapsed="false">
      <c r="A311" s="11" t="s">
        <v>1188</v>
      </c>
      <c r="B311" s="11" t="s">
        <v>313</v>
      </c>
      <c r="C311" s="24" t="n">
        <v>45342</v>
      </c>
      <c r="D311" s="11" t="s">
        <v>33</v>
      </c>
      <c r="E311" s="11" t="s">
        <v>894</v>
      </c>
      <c r="F311" s="11" t="s">
        <v>70</v>
      </c>
      <c r="G311" s="11" t="s">
        <v>854</v>
      </c>
      <c r="H311" s="11" t="s">
        <v>20</v>
      </c>
      <c r="I311" s="11" t="s">
        <v>114</v>
      </c>
      <c r="J311" s="11" t="s">
        <v>250</v>
      </c>
      <c r="K311" s="11" t="n">
        <v>2</v>
      </c>
      <c r="L311" s="15" t="n">
        <v>25742.49</v>
      </c>
      <c r="M311" s="11" t="n">
        <v>5</v>
      </c>
      <c r="N311" s="15" t="n">
        <v>51484.98</v>
      </c>
      <c r="O311" s="15" t="n">
        <v>2574.25</v>
      </c>
      <c r="P311" s="15" t="n">
        <v>48910.73</v>
      </c>
      <c r="Q311" s="15" t="n">
        <v>0</v>
      </c>
      <c r="R311" s="11" t="n">
        <v>0</v>
      </c>
      <c r="S311" s="15" t="n">
        <f aca="false">P311-Q311</f>
        <v>48910.73</v>
      </c>
      <c r="T311" s="11" t="n">
        <f aca="false">IF(OR(J311="Completed",J311="Returned"),1,0)</f>
        <v>0</v>
      </c>
    </row>
    <row r="312" customFormat="false" ht="15" hidden="false" customHeight="false" outlineLevel="0" collapsed="false">
      <c r="A312" s="11" t="s">
        <v>1189</v>
      </c>
      <c r="B312" s="11" t="s">
        <v>313</v>
      </c>
      <c r="C312" s="24" t="n">
        <v>45342</v>
      </c>
      <c r="D312" s="11" t="s">
        <v>33</v>
      </c>
      <c r="E312" s="11" t="s">
        <v>894</v>
      </c>
      <c r="F312" s="11" t="s">
        <v>70</v>
      </c>
      <c r="G312" s="11" t="s">
        <v>160</v>
      </c>
      <c r="H312" s="11" t="s">
        <v>23</v>
      </c>
      <c r="I312" s="11" t="s">
        <v>114</v>
      </c>
      <c r="J312" s="11" t="s">
        <v>250</v>
      </c>
      <c r="K312" s="11" t="n">
        <v>5</v>
      </c>
      <c r="L312" s="15" t="n">
        <v>21122.18</v>
      </c>
      <c r="M312" s="11" t="n">
        <v>0</v>
      </c>
      <c r="N312" s="15" t="n">
        <v>105610.9</v>
      </c>
      <c r="O312" s="15" t="n">
        <v>0</v>
      </c>
      <c r="P312" s="15" t="n">
        <v>105610.9</v>
      </c>
      <c r="Q312" s="15" t="n">
        <v>0</v>
      </c>
      <c r="R312" s="11" t="n">
        <v>0</v>
      </c>
      <c r="S312" s="15" t="n">
        <f aca="false">P312-Q312</f>
        <v>105610.9</v>
      </c>
      <c r="T312" s="11" t="n">
        <f aca="false">IF(OR(J312="Completed",J312="Returned"),1,0)</f>
        <v>0</v>
      </c>
    </row>
    <row r="313" customFormat="false" ht="15" hidden="false" customHeight="false" outlineLevel="0" collapsed="false">
      <c r="A313" s="11" t="s">
        <v>1190</v>
      </c>
      <c r="B313" s="11" t="s">
        <v>454</v>
      </c>
      <c r="C313" s="24" t="n">
        <v>45307</v>
      </c>
      <c r="D313" s="11" t="s">
        <v>32</v>
      </c>
      <c r="E313" s="11" t="s">
        <v>72</v>
      </c>
      <c r="F313" s="11" t="s">
        <v>74</v>
      </c>
      <c r="G313" s="11" t="s">
        <v>637</v>
      </c>
      <c r="H313" s="11" t="s">
        <v>21</v>
      </c>
      <c r="I313" s="11" t="s">
        <v>113</v>
      </c>
      <c r="J313" s="11" t="s">
        <v>242</v>
      </c>
      <c r="K313" s="11" t="n">
        <v>1</v>
      </c>
      <c r="L313" s="15" t="n">
        <v>3019.36</v>
      </c>
      <c r="M313" s="11" t="n">
        <v>5</v>
      </c>
      <c r="N313" s="15" t="n">
        <v>3019.36</v>
      </c>
      <c r="O313" s="15" t="n">
        <v>150.97</v>
      </c>
      <c r="P313" s="15" t="n">
        <v>2868.39</v>
      </c>
      <c r="Q313" s="15" t="n">
        <v>0</v>
      </c>
      <c r="R313" s="11" t="n">
        <v>0</v>
      </c>
      <c r="S313" s="15" t="n">
        <f aca="false">P313-Q313</f>
        <v>2868.39</v>
      </c>
      <c r="T313" s="11" t="n">
        <f aca="false">IF(OR(J313="Completed",J313="Returned"),1,0)</f>
        <v>1</v>
      </c>
    </row>
    <row r="314" customFormat="false" ht="15" hidden="false" customHeight="false" outlineLevel="0" collapsed="false">
      <c r="A314" s="11" t="s">
        <v>1191</v>
      </c>
      <c r="B314" s="11" t="s">
        <v>454</v>
      </c>
      <c r="C314" s="24" t="n">
        <v>45307</v>
      </c>
      <c r="D314" s="11" t="s">
        <v>32</v>
      </c>
      <c r="E314" s="11" t="s">
        <v>72</v>
      </c>
      <c r="F314" s="11" t="s">
        <v>74</v>
      </c>
      <c r="G314" s="11" t="s">
        <v>833</v>
      </c>
      <c r="H314" s="11" t="s">
        <v>23</v>
      </c>
      <c r="I314" s="11" t="s">
        <v>113</v>
      </c>
      <c r="J314" s="11" t="s">
        <v>242</v>
      </c>
      <c r="K314" s="11" t="n">
        <v>2</v>
      </c>
      <c r="L314" s="15" t="n">
        <v>14595.44</v>
      </c>
      <c r="M314" s="11" t="n">
        <v>5</v>
      </c>
      <c r="N314" s="15" t="n">
        <v>29190.88</v>
      </c>
      <c r="O314" s="15" t="n">
        <v>1459.54</v>
      </c>
      <c r="P314" s="15" t="n">
        <v>27731.34</v>
      </c>
      <c r="Q314" s="15" t="n">
        <v>0</v>
      </c>
      <c r="R314" s="11" t="n">
        <v>0</v>
      </c>
      <c r="S314" s="15" t="n">
        <f aca="false">P314-Q314</f>
        <v>27731.34</v>
      </c>
      <c r="T314" s="11" t="n">
        <f aca="false">IF(OR(J314="Completed",J314="Returned"),1,0)</f>
        <v>1</v>
      </c>
    </row>
    <row r="315" customFormat="false" ht="15" hidden="false" customHeight="false" outlineLevel="0" collapsed="false">
      <c r="A315" s="11" t="s">
        <v>1192</v>
      </c>
      <c r="B315" s="11" t="s">
        <v>454</v>
      </c>
      <c r="C315" s="24" t="n">
        <v>45307</v>
      </c>
      <c r="D315" s="11" t="s">
        <v>32</v>
      </c>
      <c r="E315" s="11" t="s">
        <v>72</v>
      </c>
      <c r="F315" s="11" t="s">
        <v>74</v>
      </c>
      <c r="G315" s="11" t="s">
        <v>854</v>
      </c>
      <c r="H315" s="11" t="s">
        <v>20</v>
      </c>
      <c r="I315" s="11" t="s">
        <v>113</v>
      </c>
      <c r="J315" s="11" t="s">
        <v>242</v>
      </c>
      <c r="K315" s="11" t="n">
        <v>3</v>
      </c>
      <c r="L315" s="15" t="n">
        <v>25742.49</v>
      </c>
      <c r="M315" s="11" t="n">
        <v>5</v>
      </c>
      <c r="N315" s="15" t="n">
        <v>77227.47</v>
      </c>
      <c r="O315" s="15" t="n">
        <v>3861.37</v>
      </c>
      <c r="P315" s="15" t="n">
        <v>73366.1</v>
      </c>
      <c r="Q315" s="15" t="n">
        <v>0</v>
      </c>
      <c r="R315" s="11" t="n">
        <v>0</v>
      </c>
      <c r="S315" s="15" t="n">
        <f aca="false">P315-Q315</f>
        <v>73366.1</v>
      </c>
      <c r="T315" s="11" t="n">
        <f aca="false">IF(OR(J315="Completed",J315="Returned"),1,0)</f>
        <v>1</v>
      </c>
    </row>
    <row r="316" customFormat="false" ht="15" hidden="false" customHeight="false" outlineLevel="0" collapsed="false">
      <c r="A316" s="11" t="s">
        <v>1193</v>
      </c>
      <c r="B316" s="11" t="s">
        <v>454</v>
      </c>
      <c r="C316" s="24" t="n">
        <v>45307</v>
      </c>
      <c r="D316" s="11" t="s">
        <v>32</v>
      </c>
      <c r="E316" s="11" t="s">
        <v>72</v>
      </c>
      <c r="F316" s="11" t="s">
        <v>74</v>
      </c>
      <c r="G316" s="11" t="s">
        <v>135</v>
      </c>
      <c r="H316" s="11" t="s">
        <v>22</v>
      </c>
      <c r="I316" s="11" t="s">
        <v>113</v>
      </c>
      <c r="J316" s="11" t="s">
        <v>242</v>
      </c>
      <c r="K316" s="11" t="n">
        <v>5</v>
      </c>
      <c r="L316" s="15" t="n">
        <v>22655.14</v>
      </c>
      <c r="M316" s="11" t="n">
        <v>0</v>
      </c>
      <c r="N316" s="15" t="n">
        <v>113275.7</v>
      </c>
      <c r="O316" s="15" t="n">
        <v>0</v>
      </c>
      <c r="P316" s="15" t="n">
        <v>113275.7</v>
      </c>
      <c r="Q316" s="15" t="n">
        <v>0</v>
      </c>
      <c r="R316" s="11" t="n">
        <v>0</v>
      </c>
      <c r="S316" s="15" t="n">
        <f aca="false">P316-Q316</f>
        <v>113275.7</v>
      </c>
      <c r="T316" s="11" t="n">
        <f aca="false">IF(OR(J316="Completed",J316="Returned"),1,0)</f>
        <v>1</v>
      </c>
    </row>
    <row r="317" customFormat="false" ht="15" hidden="false" customHeight="false" outlineLevel="0" collapsed="false">
      <c r="A317" s="11" t="s">
        <v>1194</v>
      </c>
      <c r="B317" s="11" t="s">
        <v>536</v>
      </c>
      <c r="C317" s="24" t="n">
        <v>45833</v>
      </c>
      <c r="D317" s="11" t="s">
        <v>49</v>
      </c>
      <c r="E317" s="11" t="s">
        <v>1195</v>
      </c>
      <c r="F317" s="11" t="s">
        <v>82</v>
      </c>
      <c r="G317" s="11" t="s">
        <v>907</v>
      </c>
      <c r="H317" s="11" t="s">
        <v>22</v>
      </c>
      <c r="I317" s="11" t="s">
        <v>115</v>
      </c>
      <c r="J317" s="11" t="s">
        <v>242</v>
      </c>
      <c r="K317" s="11" t="n">
        <v>4</v>
      </c>
      <c r="L317" s="15" t="n">
        <v>25643.17</v>
      </c>
      <c r="M317" s="11" t="n">
        <v>5</v>
      </c>
      <c r="N317" s="15" t="n">
        <v>102572.68</v>
      </c>
      <c r="O317" s="15" t="n">
        <v>5128.63</v>
      </c>
      <c r="P317" s="15" t="n">
        <v>97444.05</v>
      </c>
      <c r="Q317" s="15" t="n">
        <v>0</v>
      </c>
      <c r="R317" s="11" t="n">
        <v>0</v>
      </c>
      <c r="S317" s="15" t="n">
        <f aca="false">P317-Q317</f>
        <v>97444.05</v>
      </c>
      <c r="T317" s="11" t="n">
        <f aca="false">IF(OR(J317="Completed",J317="Returned"),1,0)</f>
        <v>1</v>
      </c>
    </row>
    <row r="318" customFormat="false" ht="15" hidden="false" customHeight="false" outlineLevel="0" collapsed="false">
      <c r="A318" s="11" t="s">
        <v>1196</v>
      </c>
      <c r="B318" s="11" t="s">
        <v>283</v>
      </c>
      <c r="C318" s="24" t="n">
        <v>45835</v>
      </c>
      <c r="D318" s="11" t="s">
        <v>49</v>
      </c>
      <c r="E318" s="11" t="s">
        <v>1123</v>
      </c>
      <c r="F318" s="11" t="s">
        <v>78</v>
      </c>
      <c r="G318" s="11" t="s">
        <v>611</v>
      </c>
      <c r="H318" s="11" t="s">
        <v>22</v>
      </c>
      <c r="I318" s="11" t="s">
        <v>115</v>
      </c>
      <c r="J318" s="11" t="s">
        <v>246</v>
      </c>
      <c r="K318" s="11" t="n">
        <v>2</v>
      </c>
      <c r="L318" s="15" t="n">
        <v>3634.57</v>
      </c>
      <c r="M318" s="11" t="n">
        <v>10</v>
      </c>
      <c r="N318" s="15" t="n">
        <v>7269.14</v>
      </c>
      <c r="O318" s="15" t="n">
        <v>726.91</v>
      </c>
      <c r="P318" s="15" t="n">
        <v>6542.23</v>
      </c>
      <c r="Q318" s="15" t="n">
        <v>0</v>
      </c>
      <c r="R318" s="11" t="n">
        <v>0</v>
      </c>
      <c r="S318" s="15" t="n">
        <f aca="false">P318-Q318</f>
        <v>6542.23</v>
      </c>
      <c r="T318" s="11" t="n">
        <f aca="false">IF(OR(J318="Completed",J318="Returned"),1,0)</f>
        <v>0</v>
      </c>
    </row>
    <row r="319" customFormat="false" ht="15" hidden="false" customHeight="false" outlineLevel="0" collapsed="false">
      <c r="A319" s="11" t="s">
        <v>1197</v>
      </c>
      <c r="B319" s="11" t="s">
        <v>283</v>
      </c>
      <c r="C319" s="24" t="n">
        <v>45835</v>
      </c>
      <c r="D319" s="11" t="s">
        <v>49</v>
      </c>
      <c r="E319" s="11" t="s">
        <v>1123</v>
      </c>
      <c r="F319" s="11" t="s">
        <v>78</v>
      </c>
      <c r="G319" s="11" t="s">
        <v>156</v>
      </c>
      <c r="H319" s="11" t="s">
        <v>23</v>
      </c>
      <c r="I319" s="11" t="s">
        <v>115</v>
      </c>
      <c r="J319" s="11" t="s">
        <v>246</v>
      </c>
      <c r="K319" s="11" t="n">
        <v>4</v>
      </c>
      <c r="L319" s="15" t="n">
        <v>11992.92</v>
      </c>
      <c r="M319" s="11" t="n">
        <v>5</v>
      </c>
      <c r="N319" s="15" t="n">
        <v>47971.68</v>
      </c>
      <c r="O319" s="15" t="n">
        <v>2398.58</v>
      </c>
      <c r="P319" s="15" t="n">
        <v>45573.1</v>
      </c>
      <c r="Q319" s="15" t="n">
        <v>0</v>
      </c>
      <c r="R319" s="11" t="n">
        <v>0</v>
      </c>
      <c r="S319" s="15" t="n">
        <f aca="false">P319-Q319</f>
        <v>45573.1</v>
      </c>
      <c r="T319" s="11" t="n">
        <f aca="false">IF(OR(J319="Completed",J319="Returned"),1,0)</f>
        <v>0</v>
      </c>
    </row>
    <row r="320" customFormat="false" ht="15" hidden="false" customHeight="false" outlineLevel="0" collapsed="false">
      <c r="A320" s="11" t="s">
        <v>1198</v>
      </c>
      <c r="B320" s="11" t="s">
        <v>283</v>
      </c>
      <c r="C320" s="24" t="n">
        <v>45835</v>
      </c>
      <c r="D320" s="11" t="s">
        <v>49</v>
      </c>
      <c r="E320" s="11" t="s">
        <v>1123</v>
      </c>
      <c r="F320" s="11" t="s">
        <v>78</v>
      </c>
      <c r="G320" s="11" t="s">
        <v>129</v>
      </c>
      <c r="H320" s="11" t="s">
        <v>24</v>
      </c>
      <c r="I320" s="11" t="s">
        <v>115</v>
      </c>
      <c r="J320" s="11" t="s">
        <v>246</v>
      </c>
      <c r="K320" s="11" t="n">
        <v>2</v>
      </c>
      <c r="L320" s="15" t="n">
        <v>3184.81</v>
      </c>
      <c r="M320" s="11" t="n">
        <v>5</v>
      </c>
      <c r="N320" s="15" t="n">
        <v>6369.62</v>
      </c>
      <c r="O320" s="15" t="n">
        <v>318.48</v>
      </c>
      <c r="P320" s="15" t="n">
        <v>6051.14</v>
      </c>
      <c r="Q320" s="15" t="n">
        <v>0</v>
      </c>
      <c r="R320" s="11" t="n">
        <v>0</v>
      </c>
      <c r="S320" s="15" t="n">
        <f aca="false">P320-Q320</f>
        <v>6051.14</v>
      </c>
      <c r="T320" s="11" t="n">
        <f aca="false">IF(OR(J320="Completed",J320="Returned"),1,0)</f>
        <v>0</v>
      </c>
    </row>
    <row r="321" customFormat="false" ht="15" hidden="false" customHeight="false" outlineLevel="0" collapsed="false">
      <c r="A321" s="11" t="s">
        <v>1199</v>
      </c>
      <c r="B321" s="11" t="s">
        <v>352</v>
      </c>
      <c r="C321" s="24" t="n">
        <v>45826</v>
      </c>
      <c r="D321" s="11" t="s">
        <v>49</v>
      </c>
      <c r="E321" s="11" t="s">
        <v>1200</v>
      </c>
      <c r="F321" s="11" t="s">
        <v>74</v>
      </c>
      <c r="G321" s="11" t="s">
        <v>633</v>
      </c>
      <c r="H321" s="11" t="s">
        <v>22</v>
      </c>
      <c r="I321" s="11" t="s">
        <v>113</v>
      </c>
      <c r="J321" s="11" t="s">
        <v>242</v>
      </c>
      <c r="K321" s="11" t="n">
        <v>3</v>
      </c>
      <c r="L321" s="15" t="n">
        <v>4574.41</v>
      </c>
      <c r="M321" s="11" t="n">
        <v>20</v>
      </c>
      <c r="N321" s="15" t="n">
        <v>13723.23</v>
      </c>
      <c r="O321" s="15" t="n">
        <v>2744.65</v>
      </c>
      <c r="P321" s="15" t="n">
        <v>10978.58</v>
      </c>
      <c r="Q321" s="15" t="n">
        <v>0</v>
      </c>
      <c r="R321" s="11" t="n">
        <v>0</v>
      </c>
      <c r="S321" s="15" t="n">
        <f aca="false">P321-Q321</f>
        <v>10978.58</v>
      </c>
      <c r="T321" s="11" t="n">
        <f aca="false">IF(OR(J321="Completed",J321="Returned"),1,0)</f>
        <v>1</v>
      </c>
    </row>
    <row r="322" customFormat="false" ht="15" hidden="false" customHeight="false" outlineLevel="0" collapsed="false">
      <c r="A322" s="11" t="s">
        <v>1201</v>
      </c>
      <c r="B322" s="11" t="s">
        <v>352</v>
      </c>
      <c r="C322" s="24" t="n">
        <v>45826</v>
      </c>
      <c r="D322" s="11" t="s">
        <v>49</v>
      </c>
      <c r="E322" s="11" t="s">
        <v>1200</v>
      </c>
      <c r="F322" s="11" t="s">
        <v>74</v>
      </c>
      <c r="G322" s="11" t="s">
        <v>957</v>
      </c>
      <c r="H322" s="11" t="s">
        <v>23</v>
      </c>
      <c r="I322" s="11" t="s">
        <v>113</v>
      </c>
      <c r="J322" s="11" t="s">
        <v>242</v>
      </c>
      <c r="K322" s="11" t="n">
        <v>3</v>
      </c>
      <c r="L322" s="15" t="n">
        <v>1741.05</v>
      </c>
      <c r="M322" s="11" t="n">
        <v>0</v>
      </c>
      <c r="N322" s="15" t="n">
        <v>5223.15</v>
      </c>
      <c r="O322" s="15" t="n">
        <v>0</v>
      </c>
      <c r="P322" s="15" t="n">
        <v>5223.15</v>
      </c>
      <c r="Q322" s="15" t="n">
        <v>0</v>
      </c>
      <c r="R322" s="11" t="n">
        <v>0</v>
      </c>
      <c r="S322" s="15" t="n">
        <f aca="false">P322-Q322</f>
        <v>5223.15</v>
      </c>
      <c r="T322" s="11" t="n">
        <f aca="false">IF(OR(J322="Completed",J322="Returned"),1,0)</f>
        <v>1</v>
      </c>
    </row>
    <row r="323" customFormat="false" ht="15" hidden="false" customHeight="false" outlineLevel="0" collapsed="false">
      <c r="A323" s="11" t="s">
        <v>1202</v>
      </c>
      <c r="B323" s="11" t="s">
        <v>349</v>
      </c>
      <c r="C323" s="24" t="n">
        <v>45440</v>
      </c>
      <c r="D323" s="11" t="s">
        <v>36</v>
      </c>
      <c r="E323" s="11" t="s">
        <v>1110</v>
      </c>
      <c r="F323" s="11" t="s">
        <v>78</v>
      </c>
      <c r="G323" s="11" t="s">
        <v>150</v>
      </c>
      <c r="H323" s="11" t="s">
        <v>22</v>
      </c>
      <c r="I323" s="11" t="s">
        <v>113</v>
      </c>
      <c r="J323" s="11" t="s">
        <v>269</v>
      </c>
      <c r="K323" s="11" t="n">
        <v>3</v>
      </c>
      <c r="L323" s="15" t="n">
        <v>21978.46</v>
      </c>
      <c r="M323" s="11" t="n">
        <v>20</v>
      </c>
      <c r="N323" s="15" t="n">
        <v>65935.38</v>
      </c>
      <c r="O323" s="15" t="n">
        <v>13187.08</v>
      </c>
      <c r="P323" s="15" t="n">
        <v>52748.3</v>
      </c>
      <c r="Q323" s="15" t="n">
        <v>0</v>
      </c>
      <c r="R323" s="11" t="n">
        <v>0</v>
      </c>
      <c r="S323" s="15" t="n">
        <f aca="false">P323-Q323</f>
        <v>52748.3</v>
      </c>
      <c r="T323" s="11" t="n">
        <f aca="false">IF(OR(J323="Completed",J323="Returned"),1,0)</f>
        <v>1</v>
      </c>
    </row>
    <row r="324" customFormat="false" ht="15" hidden="false" customHeight="false" outlineLevel="0" collapsed="false">
      <c r="A324" s="11" t="s">
        <v>1203</v>
      </c>
      <c r="B324" s="11" t="s">
        <v>349</v>
      </c>
      <c r="C324" s="24" t="n">
        <v>45440</v>
      </c>
      <c r="D324" s="11" t="s">
        <v>36</v>
      </c>
      <c r="E324" s="11" t="s">
        <v>1110</v>
      </c>
      <c r="F324" s="11" t="s">
        <v>78</v>
      </c>
      <c r="G324" s="11" t="s">
        <v>162</v>
      </c>
      <c r="H324" s="11" t="s">
        <v>20</v>
      </c>
      <c r="I324" s="11" t="s">
        <v>113</v>
      </c>
      <c r="J324" s="11" t="s">
        <v>269</v>
      </c>
      <c r="K324" s="11" t="n">
        <v>1</v>
      </c>
      <c r="L324" s="15" t="n">
        <v>16084.14</v>
      </c>
      <c r="M324" s="11" t="n">
        <v>0</v>
      </c>
      <c r="N324" s="15" t="n">
        <v>16084.14</v>
      </c>
      <c r="O324" s="15" t="n">
        <v>0</v>
      </c>
      <c r="P324" s="15" t="n">
        <v>16084.14</v>
      </c>
      <c r="Q324" s="15" t="n">
        <v>0</v>
      </c>
      <c r="R324" s="11" t="n">
        <v>0</v>
      </c>
      <c r="S324" s="15" t="n">
        <f aca="false">P324-Q324</f>
        <v>16084.14</v>
      </c>
      <c r="T324" s="11" t="n">
        <f aca="false">IF(OR(J324="Completed",J324="Returned"),1,0)</f>
        <v>1</v>
      </c>
    </row>
    <row r="325" customFormat="false" ht="15" hidden="false" customHeight="false" outlineLevel="0" collapsed="false">
      <c r="A325" s="11" t="s">
        <v>1204</v>
      </c>
      <c r="B325" s="11" t="s">
        <v>349</v>
      </c>
      <c r="C325" s="24" t="n">
        <v>45440</v>
      </c>
      <c r="D325" s="11" t="s">
        <v>36</v>
      </c>
      <c r="E325" s="11" t="s">
        <v>1110</v>
      </c>
      <c r="F325" s="11" t="s">
        <v>78</v>
      </c>
      <c r="G325" s="11" t="s">
        <v>859</v>
      </c>
      <c r="H325" s="11" t="s">
        <v>23</v>
      </c>
      <c r="I325" s="11" t="s">
        <v>113</v>
      </c>
      <c r="J325" s="11" t="s">
        <v>269</v>
      </c>
      <c r="K325" s="11" t="n">
        <v>3</v>
      </c>
      <c r="L325" s="15" t="n">
        <v>17485.19</v>
      </c>
      <c r="M325" s="11" t="n">
        <v>10</v>
      </c>
      <c r="N325" s="15" t="n">
        <v>52455.57</v>
      </c>
      <c r="O325" s="15" t="n">
        <v>5245.56</v>
      </c>
      <c r="P325" s="15" t="n">
        <v>47210.01</v>
      </c>
      <c r="Q325" s="15" t="n">
        <v>0</v>
      </c>
      <c r="R325" s="11" t="n">
        <v>0</v>
      </c>
      <c r="S325" s="15" t="n">
        <f aca="false">P325-Q325</f>
        <v>47210.01</v>
      </c>
      <c r="T325" s="11" t="n">
        <f aca="false">IF(OR(J325="Completed",J325="Returned"),1,0)</f>
        <v>1</v>
      </c>
    </row>
    <row r="326" customFormat="false" ht="15" hidden="false" customHeight="false" outlineLevel="0" collapsed="false">
      <c r="A326" s="11" t="s">
        <v>1205</v>
      </c>
      <c r="B326" s="11" t="s">
        <v>349</v>
      </c>
      <c r="C326" s="24" t="n">
        <v>45440</v>
      </c>
      <c r="D326" s="11" t="s">
        <v>36</v>
      </c>
      <c r="E326" s="11" t="s">
        <v>1110</v>
      </c>
      <c r="F326" s="11" t="s">
        <v>78</v>
      </c>
      <c r="G326" s="11" t="s">
        <v>631</v>
      </c>
      <c r="H326" s="11" t="s">
        <v>24</v>
      </c>
      <c r="I326" s="11" t="s">
        <v>113</v>
      </c>
      <c r="J326" s="11" t="s">
        <v>269</v>
      </c>
      <c r="K326" s="11" t="n">
        <v>1</v>
      </c>
      <c r="L326" s="15" t="n">
        <v>11518.86</v>
      </c>
      <c r="M326" s="11" t="n">
        <v>0</v>
      </c>
      <c r="N326" s="15" t="n">
        <v>11518.86</v>
      </c>
      <c r="O326" s="15" t="n">
        <v>0</v>
      </c>
      <c r="P326" s="15" t="n">
        <v>11518.86</v>
      </c>
      <c r="Q326" s="15" t="n">
        <v>0</v>
      </c>
      <c r="R326" s="11" t="n">
        <v>0</v>
      </c>
      <c r="S326" s="15" t="n">
        <f aca="false">P326-Q326</f>
        <v>11518.86</v>
      </c>
      <c r="T326" s="11" t="n">
        <f aca="false">IF(OR(J326="Completed",J326="Returned"),1,0)</f>
        <v>1</v>
      </c>
    </row>
    <row r="327" customFormat="false" ht="15" hidden="false" customHeight="false" outlineLevel="0" collapsed="false">
      <c r="A327" s="11" t="s">
        <v>1206</v>
      </c>
      <c r="B327" s="11" t="s">
        <v>392</v>
      </c>
      <c r="C327" s="24" t="n">
        <v>45830</v>
      </c>
      <c r="D327" s="11" t="s">
        <v>49</v>
      </c>
      <c r="E327" s="11" t="s">
        <v>1207</v>
      </c>
      <c r="F327" s="11" t="s">
        <v>78</v>
      </c>
      <c r="G327" s="11" t="s">
        <v>160</v>
      </c>
      <c r="H327" s="11" t="s">
        <v>23</v>
      </c>
      <c r="I327" s="11" t="s">
        <v>114</v>
      </c>
      <c r="J327" s="11" t="s">
        <v>269</v>
      </c>
      <c r="K327" s="11" t="n">
        <v>2</v>
      </c>
      <c r="L327" s="15" t="n">
        <v>21122.18</v>
      </c>
      <c r="M327" s="11" t="n">
        <v>0</v>
      </c>
      <c r="N327" s="15" t="n">
        <v>42244.36</v>
      </c>
      <c r="O327" s="15" t="n">
        <v>0</v>
      </c>
      <c r="P327" s="15" t="n">
        <v>42244.36</v>
      </c>
      <c r="Q327" s="15" t="n">
        <v>0</v>
      </c>
      <c r="R327" s="11" t="n">
        <v>0</v>
      </c>
      <c r="S327" s="15" t="n">
        <f aca="false">P327-Q327</f>
        <v>42244.36</v>
      </c>
      <c r="T327" s="11" t="n">
        <f aca="false">IF(OR(J327="Completed",J327="Returned"),1,0)</f>
        <v>1</v>
      </c>
    </row>
    <row r="328" customFormat="false" ht="15" hidden="false" customHeight="false" outlineLevel="0" collapsed="false">
      <c r="A328" s="11" t="s">
        <v>1208</v>
      </c>
      <c r="B328" s="11" t="s">
        <v>392</v>
      </c>
      <c r="C328" s="24" t="n">
        <v>45830</v>
      </c>
      <c r="D328" s="11" t="s">
        <v>49</v>
      </c>
      <c r="E328" s="11" t="s">
        <v>1207</v>
      </c>
      <c r="F328" s="11" t="s">
        <v>78</v>
      </c>
      <c r="G328" s="11" t="s">
        <v>152</v>
      </c>
      <c r="H328" s="11" t="s">
        <v>23</v>
      </c>
      <c r="I328" s="11" t="s">
        <v>114</v>
      </c>
      <c r="J328" s="11" t="s">
        <v>269</v>
      </c>
      <c r="K328" s="11" t="n">
        <v>3</v>
      </c>
      <c r="L328" s="15" t="n">
        <v>9953.59</v>
      </c>
      <c r="M328" s="11" t="n">
        <v>5</v>
      </c>
      <c r="N328" s="15" t="n">
        <v>29860.77</v>
      </c>
      <c r="O328" s="15" t="n">
        <v>1493.04</v>
      </c>
      <c r="P328" s="15" t="n">
        <v>28367.73</v>
      </c>
      <c r="Q328" s="15" t="n">
        <v>0</v>
      </c>
      <c r="R328" s="11" t="n">
        <v>0</v>
      </c>
      <c r="S328" s="15" t="n">
        <f aca="false">P328-Q328</f>
        <v>28367.73</v>
      </c>
      <c r="T328" s="11" t="n">
        <f aca="false">IF(OR(J328="Completed",J328="Returned"),1,0)</f>
        <v>1</v>
      </c>
    </row>
    <row r="329" customFormat="false" ht="15" hidden="false" customHeight="false" outlineLevel="0" collapsed="false">
      <c r="A329" s="11" t="s">
        <v>1209</v>
      </c>
      <c r="B329" s="11" t="s">
        <v>249</v>
      </c>
      <c r="C329" s="24" t="n">
        <v>45684</v>
      </c>
      <c r="D329" s="11" t="s">
        <v>44</v>
      </c>
      <c r="E329" s="11" t="s">
        <v>1210</v>
      </c>
      <c r="F329" s="11" t="s">
        <v>74</v>
      </c>
      <c r="G329" s="11" t="s">
        <v>639</v>
      </c>
      <c r="H329" s="11" t="s">
        <v>23</v>
      </c>
      <c r="I329" s="11" t="s">
        <v>115</v>
      </c>
      <c r="J329" s="11" t="s">
        <v>242</v>
      </c>
      <c r="K329" s="11" t="n">
        <v>5</v>
      </c>
      <c r="L329" s="15" t="n">
        <v>8493.72</v>
      </c>
      <c r="M329" s="11" t="n">
        <v>20</v>
      </c>
      <c r="N329" s="15" t="n">
        <v>42468.6</v>
      </c>
      <c r="O329" s="15" t="n">
        <v>8493.72</v>
      </c>
      <c r="P329" s="15" t="n">
        <v>33974.88</v>
      </c>
      <c r="Q329" s="15" t="n">
        <v>0</v>
      </c>
      <c r="R329" s="11" t="n">
        <v>0</v>
      </c>
      <c r="S329" s="15" t="n">
        <f aca="false">P329-Q329</f>
        <v>33974.88</v>
      </c>
      <c r="T329" s="11" t="n">
        <f aca="false">IF(OR(J329="Completed",J329="Returned"),1,0)</f>
        <v>1</v>
      </c>
    </row>
    <row r="330" customFormat="false" ht="15" hidden="false" customHeight="false" outlineLevel="0" collapsed="false">
      <c r="A330" s="11" t="s">
        <v>1211</v>
      </c>
      <c r="B330" s="11" t="s">
        <v>520</v>
      </c>
      <c r="C330" s="24" t="n">
        <v>45567</v>
      </c>
      <c r="D330" s="11" t="s">
        <v>41</v>
      </c>
      <c r="E330" s="11" t="s">
        <v>1212</v>
      </c>
      <c r="F330" s="11" t="s">
        <v>74</v>
      </c>
      <c r="G330" s="11" t="s">
        <v>957</v>
      </c>
      <c r="H330" s="11" t="s">
        <v>23</v>
      </c>
      <c r="I330" s="11" t="s">
        <v>113</v>
      </c>
      <c r="J330" s="11" t="s">
        <v>242</v>
      </c>
      <c r="K330" s="11" t="n">
        <v>3</v>
      </c>
      <c r="L330" s="15" t="n">
        <v>1741.05</v>
      </c>
      <c r="M330" s="11" t="n">
        <v>10</v>
      </c>
      <c r="N330" s="15" t="n">
        <v>5223.15</v>
      </c>
      <c r="O330" s="15" t="n">
        <v>522.32</v>
      </c>
      <c r="P330" s="15" t="n">
        <v>4700.83</v>
      </c>
      <c r="Q330" s="15" t="n">
        <v>0</v>
      </c>
      <c r="R330" s="11" t="n">
        <v>0</v>
      </c>
      <c r="S330" s="15" t="n">
        <f aca="false">P330-Q330</f>
        <v>4700.83</v>
      </c>
      <c r="T330" s="11" t="n">
        <f aca="false">IF(OR(J330="Completed",J330="Returned"),1,0)</f>
        <v>1</v>
      </c>
    </row>
    <row r="331" customFormat="false" ht="15" hidden="false" customHeight="false" outlineLevel="0" collapsed="false">
      <c r="A331" s="11" t="s">
        <v>1213</v>
      </c>
      <c r="B331" s="11" t="s">
        <v>520</v>
      </c>
      <c r="C331" s="24" t="n">
        <v>45567</v>
      </c>
      <c r="D331" s="11" t="s">
        <v>41</v>
      </c>
      <c r="E331" s="11" t="s">
        <v>1212</v>
      </c>
      <c r="F331" s="11" t="s">
        <v>74</v>
      </c>
      <c r="G331" s="11" t="s">
        <v>1093</v>
      </c>
      <c r="H331" s="11" t="s">
        <v>21</v>
      </c>
      <c r="I331" s="11" t="s">
        <v>113</v>
      </c>
      <c r="J331" s="11" t="s">
        <v>242</v>
      </c>
      <c r="K331" s="11" t="n">
        <v>2</v>
      </c>
      <c r="L331" s="15" t="n">
        <v>13038.96</v>
      </c>
      <c r="M331" s="11" t="n">
        <v>5</v>
      </c>
      <c r="N331" s="15" t="n">
        <v>26077.92</v>
      </c>
      <c r="O331" s="15" t="n">
        <v>1303.9</v>
      </c>
      <c r="P331" s="15" t="n">
        <v>24774.02</v>
      </c>
      <c r="Q331" s="15" t="n">
        <v>0</v>
      </c>
      <c r="R331" s="11" t="n">
        <v>0</v>
      </c>
      <c r="S331" s="15" t="n">
        <f aca="false">P331-Q331</f>
        <v>24774.02</v>
      </c>
      <c r="T331" s="11" t="n">
        <f aca="false">IF(OR(J331="Completed",J331="Returned"),1,0)</f>
        <v>1</v>
      </c>
    </row>
    <row r="332" customFormat="false" ht="15" hidden="false" customHeight="false" outlineLevel="0" collapsed="false">
      <c r="A332" s="11" t="s">
        <v>1214</v>
      </c>
      <c r="B332" s="11" t="s">
        <v>496</v>
      </c>
      <c r="C332" s="24" t="n">
        <v>45719</v>
      </c>
      <c r="D332" s="11" t="s">
        <v>46</v>
      </c>
      <c r="E332" s="11" t="s">
        <v>1215</v>
      </c>
      <c r="F332" s="11" t="s">
        <v>74</v>
      </c>
      <c r="G332" s="11" t="s">
        <v>631</v>
      </c>
      <c r="H332" s="11" t="s">
        <v>24</v>
      </c>
      <c r="I332" s="11" t="s">
        <v>114</v>
      </c>
      <c r="J332" s="11" t="s">
        <v>242</v>
      </c>
      <c r="K332" s="11" t="n">
        <v>2</v>
      </c>
      <c r="L332" s="15" t="n">
        <v>11518.86</v>
      </c>
      <c r="M332" s="11" t="n">
        <v>0</v>
      </c>
      <c r="N332" s="15" t="n">
        <v>23037.72</v>
      </c>
      <c r="O332" s="15" t="n">
        <v>0</v>
      </c>
      <c r="P332" s="15" t="n">
        <v>23037.72</v>
      </c>
      <c r="Q332" s="15" t="n">
        <v>0</v>
      </c>
      <c r="R332" s="11" t="n">
        <v>0</v>
      </c>
      <c r="S332" s="15" t="n">
        <f aca="false">P332-Q332</f>
        <v>23037.72</v>
      </c>
      <c r="T332" s="11" t="n">
        <f aca="false">IF(OR(J332="Completed",J332="Returned"),1,0)</f>
        <v>1</v>
      </c>
    </row>
    <row r="333" customFormat="false" ht="15" hidden="false" customHeight="false" outlineLevel="0" collapsed="false">
      <c r="A333" s="11" t="s">
        <v>1216</v>
      </c>
      <c r="B333" s="11" t="s">
        <v>496</v>
      </c>
      <c r="C333" s="24" t="n">
        <v>45719</v>
      </c>
      <c r="D333" s="11" t="s">
        <v>46</v>
      </c>
      <c r="E333" s="11" t="s">
        <v>1215</v>
      </c>
      <c r="F333" s="11" t="s">
        <v>74</v>
      </c>
      <c r="G333" s="11" t="s">
        <v>641</v>
      </c>
      <c r="H333" s="11" t="s">
        <v>24</v>
      </c>
      <c r="I333" s="11" t="s">
        <v>114</v>
      </c>
      <c r="J333" s="11" t="s">
        <v>242</v>
      </c>
      <c r="K333" s="11" t="n">
        <v>4</v>
      </c>
      <c r="L333" s="15" t="n">
        <v>7313.65</v>
      </c>
      <c r="M333" s="11" t="n">
        <v>10</v>
      </c>
      <c r="N333" s="15" t="n">
        <v>29254.6</v>
      </c>
      <c r="O333" s="15" t="n">
        <v>2925.46</v>
      </c>
      <c r="P333" s="15" t="n">
        <v>26329.14</v>
      </c>
      <c r="Q333" s="15" t="n">
        <v>0</v>
      </c>
      <c r="R333" s="11" t="n">
        <v>0</v>
      </c>
      <c r="S333" s="15" t="n">
        <f aca="false">P333-Q333</f>
        <v>26329.14</v>
      </c>
      <c r="T333" s="11" t="n">
        <f aca="false">IF(OR(J333="Completed",J333="Returned"),1,0)</f>
        <v>1</v>
      </c>
    </row>
    <row r="334" customFormat="false" ht="15" hidden="false" customHeight="false" outlineLevel="0" collapsed="false">
      <c r="A334" s="11" t="s">
        <v>1217</v>
      </c>
      <c r="B334" s="11" t="s">
        <v>483</v>
      </c>
      <c r="C334" s="24" t="n">
        <v>45610</v>
      </c>
      <c r="D334" s="11" t="s">
        <v>42</v>
      </c>
      <c r="E334" s="11" t="s">
        <v>1218</v>
      </c>
      <c r="F334" s="11" t="s">
        <v>78</v>
      </c>
      <c r="G334" s="11" t="s">
        <v>135</v>
      </c>
      <c r="H334" s="11" t="s">
        <v>22</v>
      </c>
      <c r="I334" s="11" t="s">
        <v>113</v>
      </c>
      <c r="J334" s="11" t="s">
        <v>242</v>
      </c>
      <c r="K334" s="11" t="n">
        <v>5</v>
      </c>
      <c r="L334" s="15" t="n">
        <v>22655.14</v>
      </c>
      <c r="M334" s="11" t="n">
        <v>20</v>
      </c>
      <c r="N334" s="15" t="n">
        <v>113275.7</v>
      </c>
      <c r="O334" s="15" t="n">
        <v>22655.14</v>
      </c>
      <c r="P334" s="15" t="n">
        <v>90620.56</v>
      </c>
      <c r="Q334" s="15" t="n">
        <v>0</v>
      </c>
      <c r="R334" s="11" t="n">
        <v>0</v>
      </c>
      <c r="S334" s="15" t="n">
        <f aca="false">P334-Q334</f>
        <v>90620.56</v>
      </c>
      <c r="T334" s="11" t="n">
        <f aca="false">IF(OR(J334="Completed",J334="Returned"),1,0)</f>
        <v>1</v>
      </c>
    </row>
    <row r="335" customFormat="false" ht="15" hidden="false" customHeight="false" outlineLevel="0" collapsed="false">
      <c r="A335" s="11" t="s">
        <v>1219</v>
      </c>
      <c r="B335" s="11" t="s">
        <v>483</v>
      </c>
      <c r="C335" s="24" t="n">
        <v>45610</v>
      </c>
      <c r="D335" s="11" t="s">
        <v>42</v>
      </c>
      <c r="E335" s="11" t="s">
        <v>1218</v>
      </c>
      <c r="F335" s="11" t="s">
        <v>78</v>
      </c>
      <c r="G335" s="11" t="s">
        <v>607</v>
      </c>
      <c r="H335" s="11" t="s">
        <v>22</v>
      </c>
      <c r="I335" s="11" t="s">
        <v>113</v>
      </c>
      <c r="J335" s="11" t="s">
        <v>242</v>
      </c>
      <c r="K335" s="11" t="n">
        <v>4</v>
      </c>
      <c r="L335" s="15" t="n">
        <v>11569.57</v>
      </c>
      <c r="M335" s="11" t="n">
        <v>0</v>
      </c>
      <c r="N335" s="15" t="n">
        <v>46278.28</v>
      </c>
      <c r="O335" s="15" t="n">
        <v>0</v>
      </c>
      <c r="P335" s="15" t="n">
        <v>46278.28</v>
      </c>
      <c r="Q335" s="15" t="n">
        <v>0</v>
      </c>
      <c r="R335" s="11" t="n">
        <v>0</v>
      </c>
      <c r="S335" s="15" t="n">
        <f aca="false">P335-Q335</f>
        <v>46278.28</v>
      </c>
      <c r="T335" s="11" t="n">
        <f aca="false">IF(OR(J335="Completed",J335="Returned"),1,0)</f>
        <v>1</v>
      </c>
    </row>
    <row r="336" customFormat="false" ht="15" hidden="false" customHeight="false" outlineLevel="0" collapsed="false">
      <c r="A336" s="11" t="s">
        <v>1220</v>
      </c>
      <c r="B336" s="11" t="s">
        <v>547</v>
      </c>
      <c r="C336" s="24" t="n">
        <v>45325</v>
      </c>
      <c r="D336" s="11" t="s">
        <v>33</v>
      </c>
      <c r="E336" s="11" t="s">
        <v>803</v>
      </c>
      <c r="F336" s="11" t="s">
        <v>25</v>
      </c>
      <c r="G336" s="11" t="s">
        <v>148</v>
      </c>
      <c r="H336" s="11" t="s">
        <v>21</v>
      </c>
      <c r="I336" s="11" t="s">
        <v>113</v>
      </c>
      <c r="J336" s="11" t="s">
        <v>242</v>
      </c>
      <c r="K336" s="11" t="n">
        <v>5</v>
      </c>
      <c r="L336" s="15" t="n">
        <v>11434.02</v>
      </c>
      <c r="M336" s="11" t="n">
        <v>10</v>
      </c>
      <c r="N336" s="15" t="n">
        <v>57170.1</v>
      </c>
      <c r="O336" s="15" t="n">
        <v>5717.01</v>
      </c>
      <c r="P336" s="15" t="n">
        <v>51453.09</v>
      </c>
      <c r="Q336" s="15" t="n">
        <v>0</v>
      </c>
      <c r="R336" s="11" t="n">
        <v>0</v>
      </c>
      <c r="S336" s="15" t="n">
        <f aca="false">P336-Q336</f>
        <v>51453.09</v>
      </c>
      <c r="T336" s="11" t="n">
        <f aca="false">IF(OR(J336="Completed",J336="Returned"),1,0)</f>
        <v>1</v>
      </c>
    </row>
    <row r="337" customFormat="false" ht="15" hidden="false" customHeight="false" outlineLevel="0" collapsed="false">
      <c r="A337" s="11" t="s">
        <v>1221</v>
      </c>
      <c r="B337" s="11" t="s">
        <v>547</v>
      </c>
      <c r="C337" s="24" t="n">
        <v>45325</v>
      </c>
      <c r="D337" s="11" t="s">
        <v>33</v>
      </c>
      <c r="E337" s="11" t="s">
        <v>803</v>
      </c>
      <c r="F337" s="11" t="s">
        <v>25</v>
      </c>
      <c r="G337" s="11" t="s">
        <v>859</v>
      </c>
      <c r="H337" s="11" t="s">
        <v>23</v>
      </c>
      <c r="I337" s="11" t="s">
        <v>113</v>
      </c>
      <c r="J337" s="11" t="s">
        <v>242</v>
      </c>
      <c r="K337" s="11" t="n">
        <v>3</v>
      </c>
      <c r="L337" s="15" t="n">
        <v>17485.19</v>
      </c>
      <c r="M337" s="11" t="n">
        <v>0</v>
      </c>
      <c r="N337" s="15" t="n">
        <v>52455.57</v>
      </c>
      <c r="O337" s="15" t="n">
        <v>0</v>
      </c>
      <c r="P337" s="15" t="n">
        <v>52455.57</v>
      </c>
      <c r="Q337" s="15" t="n">
        <v>0</v>
      </c>
      <c r="R337" s="11" t="n">
        <v>0</v>
      </c>
      <c r="S337" s="15" t="n">
        <f aca="false">P337-Q337</f>
        <v>52455.57</v>
      </c>
      <c r="T337" s="11" t="n">
        <f aca="false">IF(OR(J337="Completed",J337="Returned"),1,0)</f>
        <v>1</v>
      </c>
    </row>
    <row r="338" customFormat="false" ht="15" hidden="false" customHeight="false" outlineLevel="0" collapsed="false">
      <c r="A338" s="11" t="s">
        <v>1222</v>
      </c>
      <c r="B338" s="11" t="s">
        <v>547</v>
      </c>
      <c r="C338" s="24" t="n">
        <v>45325</v>
      </c>
      <c r="D338" s="11" t="s">
        <v>33</v>
      </c>
      <c r="E338" s="11" t="s">
        <v>803</v>
      </c>
      <c r="F338" s="11" t="s">
        <v>25</v>
      </c>
      <c r="G338" s="11" t="s">
        <v>611</v>
      </c>
      <c r="H338" s="11" t="s">
        <v>22</v>
      </c>
      <c r="I338" s="11" t="s">
        <v>113</v>
      </c>
      <c r="J338" s="11" t="s">
        <v>242</v>
      </c>
      <c r="K338" s="11" t="n">
        <v>5</v>
      </c>
      <c r="L338" s="15" t="n">
        <v>3634.57</v>
      </c>
      <c r="M338" s="11" t="n">
        <v>10</v>
      </c>
      <c r="N338" s="15" t="n">
        <v>18172.85</v>
      </c>
      <c r="O338" s="15" t="n">
        <v>1817.28</v>
      </c>
      <c r="P338" s="15" t="n">
        <v>16355.57</v>
      </c>
      <c r="Q338" s="15" t="n">
        <v>0</v>
      </c>
      <c r="R338" s="11" t="n">
        <v>0</v>
      </c>
      <c r="S338" s="15" t="n">
        <f aca="false">P338-Q338</f>
        <v>16355.57</v>
      </c>
      <c r="T338" s="11" t="n">
        <f aca="false">IF(OR(J338="Completed",J338="Returned"),1,0)</f>
        <v>1</v>
      </c>
    </row>
    <row r="339" customFormat="false" ht="15" hidden="false" customHeight="false" outlineLevel="0" collapsed="false">
      <c r="A339" s="11" t="s">
        <v>1223</v>
      </c>
      <c r="B339" s="11" t="s">
        <v>275</v>
      </c>
      <c r="C339" s="24" t="n">
        <v>45363</v>
      </c>
      <c r="D339" s="11" t="s">
        <v>34</v>
      </c>
      <c r="E339" s="11" t="s">
        <v>1091</v>
      </c>
      <c r="F339" s="11" t="s">
        <v>74</v>
      </c>
      <c r="G339" s="11" t="s">
        <v>139</v>
      </c>
      <c r="H339" s="11" t="s">
        <v>24</v>
      </c>
      <c r="I339" s="11" t="s">
        <v>115</v>
      </c>
      <c r="J339" s="11" t="s">
        <v>242</v>
      </c>
      <c r="K339" s="11" t="n">
        <v>2</v>
      </c>
      <c r="L339" s="15" t="n">
        <v>20278.89</v>
      </c>
      <c r="M339" s="11" t="n">
        <v>0</v>
      </c>
      <c r="N339" s="15" t="n">
        <v>40557.78</v>
      </c>
      <c r="O339" s="15" t="n">
        <v>0</v>
      </c>
      <c r="P339" s="15" t="n">
        <v>40557.78</v>
      </c>
      <c r="Q339" s="15" t="n">
        <v>0</v>
      </c>
      <c r="R339" s="11" t="n">
        <v>0</v>
      </c>
      <c r="S339" s="15" t="n">
        <f aca="false">P339-Q339</f>
        <v>40557.78</v>
      </c>
      <c r="T339" s="11" t="n">
        <f aca="false">IF(OR(J339="Completed",J339="Returned"),1,0)</f>
        <v>1</v>
      </c>
    </row>
    <row r="340" customFormat="false" ht="15" hidden="false" customHeight="false" outlineLevel="0" collapsed="false">
      <c r="A340" s="11" t="s">
        <v>1224</v>
      </c>
      <c r="B340" s="11" t="s">
        <v>275</v>
      </c>
      <c r="C340" s="24" t="n">
        <v>45363</v>
      </c>
      <c r="D340" s="11" t="s">
        <v>34</v>
      </c>
      <c r="E340" s="11" t="s">
        <v>1091</v>
      </c>
      <c r="F340" s="11" t="s">
        <v>74</v>
      </c>
      <c r="G340" s="11" t="s">
        <v>625</v>
      </c>
      <c r="H340" s="11" t="s">
        <v>21</v>
      </c>
      <c r="I340" s="11" t="s">
        <v>115</v>
      </c>
      <c r="J340" s="11" t="s">
        <v>242</v>
      </c>
      <c r="K340" s="11" t="n">
        <v>4</v>
      </c>
      <c r="L340" s="15" t="n">
        <v>15176.98</v>
      </c>
      <c r="M340" s="11" t="n">
        <v>10</v>
      </c>
      <c r="N340" s="15" t="n">
        <v>60707.92</v>
      </c>
      <c r="O340" s="15" t="n">
        <v>6070.79</v>
      </c>
      <c r="P340" s="15" t="n">
        <v>54637.13</v>
      </c>
      <c r="Q340" s="15" t="n">
        <v>0</v>
      </c>
      <c r="R340" s="11" t="n">
        <v>0</v>
      </c>
      <c r="S340" s="15" t="n">
        <f aca="false">P340-Q340</f>
        <v>54637.13</v>
      </c>
      <c r="T340" s="11" t="n">
        <f aca="false">IF(OR(J340="Completed",J340="Returned"),1,0)</f>
        <v>1</v>
      </c>
    </row>
    <row r="341" customFormat="false" ht="15" hidden="false" customHeight="false" outlineLevel="0" collapsed="false">
      <c r="A341" s="11" t="s">
        <v>1225</v>
      </c>
      <c r="B341" s="11" t="s">
        <v>275</v>
      </c>
      <c r="C341" s="24" t="n">
        <v>45363</v>
      </c>
      <c r="D341" s="11" t="s">
        <v>34</v>
      </c>
      <c r="E341" s="11" t="s">
        <v>1091</v>
      </c>
      <c r="F341" s="11" t="s">
        <v>74</v>
      </c>
      <c r="G341" s="11" t="s">
        <v>133</v>
      </c>
      <c r="H341" s="11" t="s">
        <v>21</v>
      </c>
      <c r="I341" s="11" t="s">
        <v>115</v>
      </c>
      <c r="J341" s="11" t="s">
        <v>242</v>
      </c>
      <c r="K341" s="11" t="n">
        <v>2</v>
      </c>
      <c r="L341" s="15" t="n">
        <v>15706.03</v>
      </c>
      <c r="M341" s="11" t="n">
        <v>15</v>
      </c>
      <c r="N341" s="15" t="n">
        <v>31412.06</v>
      </c>
      <c r="O341" s="15" t="n">
        <v>4711.81</v>
      </c>
      <c r="P341" s="15" t="n">
        <v>26700.25</v>
      </c>
      <c r="Q341" s="15" t="n">
        <v>0</v>
      </c>
      <c r="R341" s="11" t="n">
        <v>0</v>
      </c>
      <c r="S341" s="15" t="n">
        <f aca="false">P341-Q341</f>
        <v>26700.25</v>
      </c>
      <c r="T341" s="11" t="n">
        <f aca="false">IF(OR(J341="Completed",J341="Returned"),1,0)</f>
        <v>1</v>
      </c>
    </row>
    <row r="342" customFormat="false" ht="15" hidden="false" customHeight="false" outlineLevel="0" collapsed="false">
      <c r="A342" s="11" t="s">
        <v>1226</v>
      </c>
      <c r="B342" s="11" t="s">
        <v>275</v>
      </c>
      <c r="C342" s="24" t="n">
        <v>45363</v>
      </c>
      <c r="D342" s="11" t="s">
        <v>34</v>
      </c>
      <c r="E342" s="11" t="s">
        <v>1091</v>
      </c>
      <c r="F342" s="11" t="s">
        <v>74</v>
      </c>
      <c r="G342" s="11" t="s">
        <v>623</v>
      </c>
      <c r="H342" s="11" t="s">
        <v>20</v>
      </c>
      <c r="I342" s="11" t="s">
        <v>115</v>
      </c>
      <c r="J342" s="11" t="s">
        <v>242</v>
      </c>
      <c r="K342" s="11" t="n">
        <v>3</v>
      </c>
      <c r="L342" s="15" t="n">
        <v>16535.66</v>
      </c>
      <c r="M342" s="11" t="n">
        <v>20</v>
      </c>
      <c r="N342" s="15" t="n">
        <v>49606.98</v>
      </c>
      <c r="O342" s="15" t="n">
        <v>9921.4</v>
      </c>
      <c r="P342" s="15" t="n">
        <v>39685.58</v>
      </c>
      <c r="Q342" s="15" t="n">
        <v>0</v>
      </c>
      <c r="R342" s="11" t="n">
        <v>0</v>
      </c>
      <c r="S342" s="15" t="n">
        <f aca="false">P342-Q342</f>
        <v>39685.58</v>
      </c>
      <c r="T342" s="11" t="n">
        <f aca="false">IF(OR(J342="Completed",J342="Returned"),1,0)</f>
        <v>1</v>
      </c>
    </row>
    <row r="343" customFormat="false" ht="15" hidden="false" customHeight="false" outlineLevel="0" collapsed="false">
      <c r="A343" s="11" t="s">
        <v>1227</v>
      </c>
      <c r="B343" s="11" t="s">
        <v>262</v>
      </c>
      <c r="C343" s="24" t="n">
        <v>45907</v>
      </c>
      <c r="D343" s="11" t="s">
        <v>52</v>
      </c>
      <c r="E343" s="11" t="s">
        <v>90</v>
      </c>
      <c r="F343" s="11" t="s">
        <v>74</v>
      </c>
      <c r="G343" s="11" t="s">
        <v>641</v>
      </c>
      <c r="H343" s="11" t="s">
        <v>24</v>
      </c>
      <c r="I343" s="11" t="s">
        <v>114</v>
      </c>
      <c r="J343" s="11" t="s">
        <v>242</v>
      </c>
      <c r="K343" s="11" t="n">
        <v>2</v>
      </c>
      <c r="L343" s="15" t="n">
        <v>7313.65</v>
      </c>
      <c r="M343" s="11" t="n">
        <v>0</v>
      </c>
      <c r="N343" s="15" t="n">
        <v>14627.3</v>
      </c>
      <c r="O343" s="15" t="n">
        <v>0</v>
      </c>
      <c r="P343" s="15" t="n">
        <v>14627.3</v>
      </c>
      <c r="Q343" s="15" t="n">
        <v>0</v>
      </c>
      <c r="R343" s="11" t="n">
        <v>0</v>
      </c>
      <c r="S343" s="15" t="n">
        <f aca="false">P343-Q343</f>
        <v>14627.3</v>
      </c>
      <c r="T343" s="11" t="n">
        <f aca="false">IF(OR(J343="Completed",J343="Returned"),1,0)</f>
        <v>1</v>
      </c>
    </row>
    <row r="344" customFormat="false" ht="15" hidden="false" customHeight="false" outlineLevel="0" collapsed="false">
      <c r="A344" s="11" t="s">
        <v>1228</v>
      </c>
      <c r="B344" s="11" t="s">
        <v>262</v>
      </c>
      <c r="C344" s="24" t="n">
        <v>45907</v>
      </c>
      <c r="D344" s="11" t="s">
        <v>52</v>
      </c>
      <c r="E344" s="11" t="s">
        <v>90</v>
      </c>
      <c r="F344" s="11" t="s">
        <v>74</v>
      </c>
      <c r="G344" s="11" t="s">
        <v>970</v>
      </c>
      <c r="H344" s="11" t="s">
        <v>20</v>
      </c>
      <c r="I344" s="11" t="s">
        <v>114</v>
      </c>
      <c r="J344" s="11" t="s">
        <v>242</v>
      </c>
      <c r="K344" s="11" t="n">
        <v>2</v>
      </c>
      <c r="L344" s="15" t="n">
        <v>15383.27</v>
      </c>
      <c r="M344" s="11" t="n">
        <v>15</v>
      </c>
      <c r="N344" s="15" t="n">
        <v>30766.54</v>
      </c>
      <c r="O344" s="15" t="n">
        <v>4614.98</v>
      </c>
      <c r="P344" s="15" t="n">
        <v>26151.56</v>
      </c>
      <c r="Q344" s="15" t="n">
        <v>0</v>
      </c>
      <c r="R344" s="11" t="n">
        <v>0</v>
      </c>
      <c r="S344" s="15" t="n">
        <f aca="false">P344-Q344</f>
        <v>26151.56</v>
      </c>
      <c r="T344" s="11" t="n">
        <f aca="false">IF(OR(J344="Completed",J344="Returned"),1,0)</f>
        <v>1</v>
      </c>
    </row>
    <row r="345" customFormat="false" ht="15" hidden="false" customHeight="false" outlineLevel="0" collapsed="false">
      <c r="A345" s="11" t="s">
        <v>1229</v>
      </c>
      <c r="B345" s="11" t="s">
        <v>265</v>
      </c>
      <c r="C345" s="24" t="n">
        <v>45818</v>
      </c>
      <c r="D345" s="11" t="s">
        <v>49</v>
      </c>
      <c r="E345" s="11" t="s">
        <v>1230</v>
      </c>
      <c r="F345" s="11" t="s">
        <v>82</v>
      </c>
      <c r="G345" s="11" t="s">
        <v>781</v>
      </c>
      <c r="H345" s="11" t="s">
        <v>21</v>
      </c>
      <c r="I345" s="11" t="s">
        <v>115</v>
      </c>
      <c r="J345" s="11" t="s">
        <v>242</v>
      </c>
      <c r="K345" s="11" t="n">
        <v>4</v>
      </c>
      <c r="L345" s="15" t="n">
        <v>3962.52</v>
      </c>
      <c r="M345" s="11" t="n">
        <v>0</v>
      </c>
      <c r="N345" s="15" t="n">
        <v>15850.08</v>
      </c>
      <c r="O345" s="15" t="n">
        <v>0</v>
      </c>
      <c r="P345" s="15" t="n">
        <v>15850.08</v>
      </c>
      <c r="Q345" s="15" t="n">
        <v>0</v>
      </c>
      <c r="R345" s="11" t="n">
        <v>0</v>
      </c>
      <c r="S345" s="15" t="n">
        <f aca="false">P345-Q345</f>
        <v>15850.08</v>
      </c>
      <c r="T345" s="11" t="n">
        <f aca="false">IF(OR(J345="Completed",J345="Returned"),1,0)</f>
        <v>1</v>
      </c>
    </row>
    <row r="346" customFormat="false" ht="15" hidden="false" customHeight="false" outlineLevel="0" collapsed="false">
      <c r="A346" s="11" t="s">
        <v>1231</v>
      </c>
      <c r="B346" s="11" t="s">
        <v>265</v>
      </c>
      <c r="C346" s="24" t="n">
        <v>45818</v>
      </c>
      <c r="D346" s="11" t="s">
        <v>49</v>
      </c>
      <c r="E346" s="11" t="s">
        <v>1230</v>
      </c>
      <c r="F346" s="11" t="s">
        <v>82</v>
      </c>
      <c r="G346" s="11" t="s">
        <v>131</v>
      </c>
      <c r="H346" s="11" t="s">
        <v>22</v>
      </c>
      <c r="I346" s="11" t="s">
        <v>115</v>
      </c>
      <c r="J346" s="11" t="s">
        <v>242</v>
      </c>
      <c r="K346" s="11" t="n">
        <v>3</v>
      </c>
      <c r="L346" s="15" t="n">
        <v>11284.39</v>
      </c>
      <c r="M346" s="11" t="n">
        <v>20</v>
      </c>
      <c r="N346" s="15" t="n">
        <v>33853.17</v>
      </c>
      <c r="O346" s="15" t="n">
        <v>6770.63</v>
      </c>
      <c r="P346" s="15" t="n">
        <v>27082.54</v>
      </c>
      <c r="Q346" s="15" t="n">
        <v>0</v>
      </c>
      <c r="R346" s="11" t="n">
        <v>0</v>
      </c>
      <c r="S346" s="15" t="n">
        <f aca="false">P346-Q346</f>
        <v>27082.54</v>
      </c>
      <c r="T346" s="11" t="n">
        <f aca="false">IF(OR(J346="Completed",J346="Returned"),1,0)</f>
        <v>1</v>
      </c>
    </row>
    <row r="347" customFormat="false" ht="15" hidden="false" customHeight="false" outlineLevel="0" collapsed="false">
      <c r="A347" s="11" t="s">
        <v>1232</v>
      </c>
      <c r="B347" s="11" t="s">
        <v>265</v>
      </c>
      <c r="C347" s="24" t="n">
        <v>45818</v>
      </c>
      <c r="D347" s="11" t="s">
        <v>49</v>
      </c>
      <c r="E347" s="11" t="s">
        <v>1230</v>
      </c>
      <c r="F347" s="11" t="s">
        <v>82</v>
      </c>
      <c r="G347" s="11" t="s">
        <v>603</v>
      </c>
      <c r="H347" s="11" t="s">
        <v>23</v>
      </c>
      <c r="I347" s="11" t="s">
        <v>115</v>
      </c>
      <c r="J347" s="11" t="s">
        <v>242</v>
      </c>
      <c r="K347" s="11" t="n">
        <v>4</v>
      </c>
      <c r="L347" s="15" t="n">
        <v>15622.68</v>
      </c>
      <c r="M347" s="11" t="n">
        <v>20</v>
      </c>
      <c r="N347" s="15" t="n">
        <v>62490.72</v>
      </c>
      <c r="O347" s="15" t="n">
        <v>12498.14</v>
      </c>
      <c r="P347" s="15" t="n">
        <v>49992.58</v>
      </c>
      <c r="Q347" s="15" t="n">
        <v>0</v>
      </c>
      <c r="R347" s="11" t="n">
        <v>0</v>
      </c>
      <c r="S347" s="15" t="n">
        <f aca="false">P347-Q347</f>
        <v>49992.58</v>
      </c>
      <c r="T347" s="11" t="n">
        <f aca="false">IF(OR(J347="Completed",J347="Returned"),1,0)</f>
        <v>1</v>
      </c>
    </row>
    <row r="348" customFormat="false" ht="15" hidden="false" customHeight="false" outlineLevel="0" collapsed="false">
      <c r="A348" s="11" t="s">
        <v>1233</v>
      </c>
      <c r="B348" s="11" t="s">
        <v>265</v>
      </c>
      <c r="C348" s="24" t="n">
        <v>45818</v>
      </c>
      <c r="D348" s="11" t="s">
        <v>49</v>
      </c>
      <c r="E348" s="11" t="s">
        <v>1230</v>
      </c>
      <c r="F348" s="11" t="s">
        <v>82</v>
      </c>
      <c r="G348" s="11" t="s">
        <v>162</v>
      </c>
      <c r="H348" s="11" t="s">
        <v>20</v>
      </c>
      <c r="I348" s="11" t="s">
        <v>115</v>
      </c>
      <c r="J348" s="11" t="s">
        <v>242</v>
      </c>
      <c r="K348" s="11" t="n">
        <v>3</v>
      </c>
      <c r="L348" s="15" t="n">
        <v>16084.14</v>
      </c>
      <c r="M348" s="11" t="n">
        <v>0</v>
      </c>
      <c r="N348" s="15" t="n">
        <v>48252.42</v>
      </c>
      <c r="O348" s="15" t="n">
        <v>0</v>
      </c>
      <c r="P348" s="15" t="n">
        <v>48252.42</v>
      </c>
      <c r="Q348" s="15" t="n">
        <v>0</v>
      </c>
      <c r="R348" s="11" t="n">
        <v>0</v>
      </c>
      <c r="S348" s="15" t="n">
        <f aca="false">P348-Q348</f>
        <v>48252.42</v>
      </c>
      <c r="T348" s="11" t="n">
        <f aca="false">IF(OR(J348="Completed",J348="Returned"),1,0)</f>
        <v>1</v>
      </c>
    </row>
    <row r="349" customFormat="false" ht="15" hidden="false" customHeight="false" outlineLevel="0" collapsed="false">
      <c r="A349" s="11" t="s">
        <v>1234</v>
      </c>
      <c r="B349" s="11" t="s">
        <v>292</v>
      </c>
      <c r="C349" s="24" t="n">
        <v>45598</v>
      </c>
      <c r="D349" s="11" t="s">
        <v>42</v>
      </c>
      <c r="E349" s="11" t="s">
        <v>1036</v>
      </c>
      <c r="F349" s="11" t="s">
        <v>78</v>
      </c>
      <c r="G349" s="11" t="s">
        <v>995</v>
      </c>
      <c r="H349" s="11" t="s">
        <v>24</v>
      </c>
      <c r="I349" s="11" t="s">
        <v>115</v>
      </c>
      <c r="J349" s="11" t="s">
        <v>250</v>
      </c>
      <c r="K349" s="11" t="n">
        <v>2</v>
      </c>
      <c r="L349" s="15" t="n">
        <v>11865.75</v>
      </c>
      <c r="M349" s="11" t="n">
        <v>10</v>
      </c>
      <c r="N349" s="15" t="n">
        <v>23731.5</v>
      </c>
      <c r="O349" s="15" t="n">
        <v>2373.15</v>
      </c>
      <c r="P349" s="15" t="n">
        <v>21358.35</v>
      </c>
      <c r="Q349" s="15" t="n">
        <v>0</v>
      </c>
      <c r="R349" s="11" t="n">
        <v>0</v>
      </c>
      <c r="S349" s="15" t="n">
        <f aca="false">P349-Q349</f>
        <v>21358.35</v>
      </c>
      <c r="T349" s="11" t="n">
        <f aca="false">IF(OR(J349="Completed",J349="Returned"),1,0)</f>
        <v>0</v>
      </c>
    </row>
    <row r="350" customFormat="false" ht="15" hidden="false" customHeight="false" outlineLevel="0" collapsed="false">
      <c r="A350" s="11" t="s">
        <v>1235</v>
      </c>
      <c r="B350" s="11" t="s">
        <v>512</v>
      </c>
      <c r="C350" s="24" t="n">
        <v>45925</v>
      </c>
      <c r="D350" s="11" t="s">
        <v>52</v>
      </c>
      <c r="E350" s="11" t="s">
        <v>1236</v>
      </c>
      <c r="F350" s="11" t="s">
        <v>70</v>
      </c>
      <c r="G350" s="11" t="s">
        <v>643</v>
      </c>
      <c r="H350" s="11" t="s">
        <v>22</v>
      </c>
      <c r="I350" s="11" t="s">
        <v>113</v>
      </c>
      <c r="J350" s="11" t="s">
        <v>269</v>
      </c>
      <c r="K350" s="11" t="n">
        <v>5</v>
      </c>
      <c r="L350" s="15" t="n">
        <v>17935.95</v>
      </c>
      <c r="M350" s="11" t="n">
        <v>15</v>
      </c>
      <c r="N350" s="15" t="n">
        <v>89679.75</v>
      </c>
      <c r="O350" s="15" t="n">
        <v>13451.96</v>
      </c>
      <c r="P350" s="15" t="n">
        <v>76227.79</v>
      </c>
      <c r="Q350" s="15" t="n">
        <v>0</v>
      </c>
      <c r="R350" s="11" t="n">
        <v>0</v>
      </c>
      <c r="S350" s="15" t="n">
        <f aca="false">P350-Q350</f>
        <v>76227.79</v>
      </c>
      <c r="T350" s="11" t="n">
        <f aca="false">IF(OR(J350="Completed",J350="Returned"),1,0)</f>
        <v>1</v>
      </c>
    </row>
    <row r="351" customFormat="false" ht="15" hidden="false" customHeight="false" outlineLevel="0" collapsed="false">
      <c r="A351" s="11" t="s">
        <v>1237</v>
      </c>
      <c r="B351" s="11" t="s">
        <v>512</v>
      </c>
      <c r="C351" s="24" t="n">
        <v>45925</v>
      </c>
      <c r="D351" s="11" t="s">
        <v>52</v>
      </c>
      <c r="E351" s="11" t="s">
        <v>1236</v>
      </c>
      <c r="F351" s="11" t="s">
        <v>70</v>
      </c>
      <c r="G351" s="11" t="s">
        <v>886</v>
      </c>
      <c r="H351" s="11" t="s">
        <v>21</v>
      </c>
      <c r="I351" s="11" t="s">
        <v>113</v>
      </c>
      <c r="J351" s="11" t="s">
        <v>269</v>
      </c>
      <c r="K351" s="11" t="n">
        <v>4</v>
      </c>
      <c r="L351" s="15" t="n">
        <v>25201.06</v>
      </c>
      <c r="M351" s="11" t="n">
        <v>20</v>
      </c>
      <c r="N351" s="15" t="n">
        <v>100804.24</v>
      </c>
      <c r="O351" s="15" t="n">
        <v>20160.85</v>
      </c>
      <c r="P351" s="15" t="n">
        <v>80643.39</v>
      </c>
      <c r="Q351" s="15" t="n">
        <v>0</v>
      </c>
      <c r="R351" s="11" t="n">
        <v>0</v>
      </c>
      <c r="S351" s="15" t="n">
        <f aca="false">P351-Q351</f>
        <v>80643.39</v>
      </c>
      <c r="T351" s="11" t="n">
        <f aca="false">IF(OR(J351="Completed",J351="Returned"),1,0)</f>
        <v>1</v>
      </c>
    </row>
    <row r="352" customFormat="false" ht="15" hidden="false" customHeight="false" outlineLevel="0" collapsed="false">
      <c r="A352" s="11" t="s">
        <v>1238</v>
      </c>
      <c r="B352" s="11" t="s">
        <v>512</v>
      </c>
      <c r="C352" s="24" t="n">
        <v>45925</v>
      </c>
      <c r="D352" s="11" t="s">
        <v>52</v>
      </c>
      <c r="E352" s="11" t="s">
        <v>1236</v>
      </c>
      <c r="F352" s="11" t="s">
        <v>70</v>
      </c>
      <c r="G352" s="11" t="s">
        <v>626</v>
      </c>
      <c r="H352" s="11" t="s">
        <v>24</v>
      </c>
      <c r="I352" s="11" t="s">
        <v>113</v>
      </c>
      <c r="J352" s="11" t="s">
        <v>269</v>
      </c>
      <c r="K352" s="11" t="n">
        <v>5</v>
      </c>
      <c r="L352" s="15" t="n">
        <v>11932.31</v>
      </c>
      <c r="M352" s="11" t="n">
        <v>0</v>
      </c>
      <c r="N352" s="15" t="n">
        <v>59661.55</v>
      </c>
      <c r="O352" s="15" t="n">
        <v>0</v>
      </c>
      <c r="P352" s="15" t="n">
        <v>59661.55</v>
      </c>
      <c r="Q352" s="15" t="n">
        <v>0</v>
      </c>
      <c r="R352" s="11" t="n">
        <v>0</v>
      </c>
      <c r="S352" s="15" t="n">
        <f aca="false">P352-Q352</f>
        <v>59661.55</v>
      </c>
      <c r="T352" s="11" t="n">
        <f aca="false">IF(OR(J352="Completed",J352="Returned"),1,0)</f>
        <v>1</v>
      </c>
    </row>
    <row r="353" customFormat="false" ht="15" hidden="false" customHeight="false" outlineLevel="0" collapsed="false">
      <c r="A353" s="11" t="s">
        <v>1239</v>
      </c>
      <c r="B353" s="11" t="s">
        <v>448</v>
      </c>
      <c r="C353" s="24" t="n">
        <v>45869</v>
      </c>
      <c r="D353" s="11" t="s">
        <v>50</v>
      </c>
      <c r="E353" s="11" t="s">
        <v>1240</v>
      </c>
      <c r="F353" s="11" t="s">
        <v>78</v>
      </c>
      <c r="G353" s="11" t="s">
        <v>859</v>
      </c>
      <c r="H353" s="11" t="s">
        <v>23</v>
      </c>
      <c r="I353" s="11" t="s">
        <v>114</v>
      </c>
      <c r="J353" s="11" t="s">
        <v>242</v>
      </c>
      <c r="K353" s="11" t="n">
        <v>4</v>
      </c>
      <c r="L353" s="15" t="n">
        <v>17485.19</v>
      </c>
      <c r="M353" s="11" t="n">
        <v>5</v>
      </c>
      <c r="N353" s="15" t="n">
        <v>69940.76</v>
      </c>
      <c r="O353" s="15" t="n">
        <v>3497.04</v>
      </c>
      <c r="P353" s="15" t="n">
        <v>66443.72</v>
      </c>
      <c r="Q353" s="15" t="n">
        <v>0</v>
      </c>
      <c r="R353" s="11" t="n">
        <v>0</v>
      </c>
      <c r="S353" s="15" t="n">
        <f aca="false">P353-Q353</f>
        <v>66443.72</v>
      </c>
      <c r="T353" s="11" t="n">
        <f aca="false">IF(OR(J353="Completed",J353="Returned"),1,0)</f>
        <v>1</v>
      </c>
    </row>
    <row r="354" customFormat="false" ht="15" hidden="false" customHeight="false" outlineLevel="0" collapsed="false">
      <c r="A354" s="11" t="s">
        <v>1241</v>
      </c>
      <c r="B354" s="11" t="s">
        <v>448</v>
      </c>
      <c r="C354" s="24" t="n">
        <v>45869</v>
      </c>
      <c r="D354" s="11" t="s">
        <v>50</v>
      </c>
      <c r="E354" s="11" t="s">
        <v>1240</v>
      </c>
      <c r="F354" s="11" t="s">
        <v>78</v>
      </c>
      <c r="G354" s="11" t="s">
        <v>775</v>
      </c>
      <c r="H354" s="11" t="s">
        <v>23</v>
      </c>
      <c r="I354" s="11" t="s">
        <v>114</v>
      </c>
      <c r="J354" s="11" t="s">
        <v>242</v>
      </c>
      <c r="K354" s="11" t="n">
        <v>3</v>
      </c>
      <c r="L354" s="15" t="n">
        <v>26274.11</v>
      </c>
      <c r="M354" s="11" t="n">
        <v>20</v>
      </c>
      <c r="N354" s="15" t="n">
        <v>78822.33</v>
      </c>
      <c r="O354" s="15" t="n">
        <v>15764.47</v>
      </c>
      <c r="P354" s="15" t="n">
        <v>63057.86</v>
      </c>
      <c r="Q354" s="15" t="n">
        <v>0</v>
      </c>
      <c r="R354" s="11" t="n">
        <v>0</v>
      </c>
      <c r="S354" s="15" t="n">
        <f aca="false">P354-Q354</f>
        <v>63057.86</v>
      </c>
      <c r="T354" s="11" t="n">
        <f aca="false">IF(OR(J354="Completed",J354="Returned"),1,0)</f>
        <v>1</v>
      </c>
    </row>
    <row r="355" customFormat="false" ht="15" hidden="false" customHeight="false" outlineLevel="0" collapsed="false">
      <c r="A355" s="11" t="s">
        <v>1242</v>
      </c>
      <c r="B355" s="11" t="s">
        <v>423</v>
      </c>
      <c r="C355" s="24" t="n">
        <v>45814</v>
      </c>
      <c r="D355" s="11" t="s">
        <v>49</v>
      </c>
      <c r="E355" s="11" t="s">
        <v>1243</v>
      </c>
      <c r="F355" s="11" t="s">
        <v>74</v>
      </c>
      <c r="G355" s="11" t="s">
        <v>854</v>
      </c>
      <c r="H355" s="11" t="s">
        <v>20</v>
      </c>
      <c r="I355" s="11" t="s">
        <v>114</v>
      </c>
      <c r="J355" s="11" t="s">
        <v>246</v>
      </c>
      <c r="K355" s="11" t="n">
        <v>3</v>
      </c>
      <c r="L355" s="15" t="n">
        <v>25742.49</v>
      </c>
      <c r="M355" s="11" t="n">
        <v>0</v>
      </c>
      <c r="N355" s="15" t="n">
        <v>77227.47</v>
      </c>
      <c r="O355" s="15" t="n">
        <v>0</v>
      </c>
      <c r="P355" s="15" t="n">
        <v>77227.47</v>
      </c>
      <c r="Q355" s="15" t="n">
        <v>0</v>
      </c>
      <c r="R355" s="11" t="n">
        <v>0</v>
      </c>
      <c r="S355" s="15" t="n">
        <f aca="false">P355-Q355</f>
        <v>77227.47</v>
      </c>
      <c r="T355" s="11" t="n">
        <f aca="false">IF(OR(J355="Completed",J355="Returned"),1,0)</f>
        <v>0</v>
      </c>
    </row>
    <row r="356" customFormat="false" ht="15" hidden="false" customHeight="false" outlineLevel="0" collapsed="false">
      <c r="A356" s="11" t="s">
        <v>1244</v>
      </c>
      <c r="B356" s="11" t="s">
        <v>423</v>
      </c>
      <c r="C356" s="24" t="n">
        <v>45814</v>
      </c>
      <c r="D356" s="11" t="s">
        <v>49</v>
      </c>
      <c r="E356" s="11" t="s">
        <v>1243</v>
      </c>
      <c r="F356" s="11" t="s">
        <v>74</v>
      </c>
      <c r="G356" s="11" t="s">
        <v>133</v>
      </c>
      <c r="H356" s="11" t="s">
        <v>21</v>
      </c>
      <c r="I356" s="11" t="s">
        <v>114</v>
      </c>
      <c r="J356" s="11" t="s">
        <v>246</v>
      </c>
      <c r="K356" s="11" t="n">
        <v>3</v>
      </c>
      <c r="L356" s="15" t="n">
        <v>15706.03</v>
      </c>
      <c r="M356" s="11" t="n">
        <v>20</v>
      </c>
      <c r="N356" s="15" t="n">
        <v>47118.09</v>
      </c>
      <c r="O356" s="15" t="n">
        <v>9423.62</v>
      </c>
      <c r="P356" s="15" t="n">
        <v>37694.47</v>
      </c>
      <c r="Q356" s="15" t="n">
        <v>0</v>
      </c>
      <c r="R356" s="11" t="n">
        <v>0</v>
      </c>
      <c r="S356" s="15" t="n">
        <f aca="false">P356-Q356</f>
        <v>37694.47</v>
      </c>
      <c r="T356" s="11" t="n">
        <f aca="false">IF(OR(J356="Completed",J356="Returned"),1,0)</f>
        <v>0</v>
      </c>
    </row>
    <row r="357" customFormat="false" ht="15" hidden="false" customHeight="false" outlineLevel="0" collapsed="false">
      <c r="A357" s="11" t="s">
        <v>1245</v>
      </c>
      <c r="B357" s="11" t="s">
        <v>423</v>
      </c>
      <c r="C357" s="24" t="n">
        <v>45814</v>
      </c>
      <c r="D357" s="11" t="s">
        <v>49</v>
      </c>
      <c r="E357" s="11" t="s">
        <v>1243</v>
      </c>
      <c r="F357" s="11" t="s">
        <v>74</v>
      </c>
      <c r="G357" s="11" t="s">
        <v>859</v>
      </c>
      <c r="H357" s="11" t="s">
        <v>23</v>
      </c>
      <c r="I357" s="11" t="s">
        <v>114</v>
      </c>
      <c r="J357" s="11" t="s">
        <v>246</v>
      </c>
      <c r="K357" s="11" t="n">
        <v>4</v>
      </c>
      <c r="L357" s="15" t="n">
        <v>17485.19</v>
      </c>
      <c r="M357" s="11" t="n">
        <v>0</v>
      </c>
      <c r="N357" s="15" t="n">
        <v>69940.76</v>
      </c>
      <c r="O357" s="15" t="n">
        <v>0</v>
      </c>
      <c r="P357" s="15" t="n">
        <v>69940.76</v>
      </c>
      <c r="Q357" s="15" t="n">
        <v>0</v>
      </c>
      <c r="R357" s="11" t="n">
        <v>0</v>
      </c>
      <c r="S357" s="15" t="n">
        <f aca="false">P357-Q357</f>
        <v>69940.76</v>
      </c>
      <c r="T357" s="11" t="n">
        <f aca="false">IF(OR(J357="Completed",J357="Returned"),1,0)</f>
        <v>0</v>
      </c>
    </row>
    <row r="358" customFormat="false" ht="15" hidden="false" customHeight="false" outlineLevel="0" collapsed="false">
      <c r="A358" s="11" t="s">
        <v>1246</v>
      </c>
      <c r="B358" s="11" t="s">
        <v>290</v>
      </c>
      <c r="C358" s="24" t="n">
        <v>45798</v>
      </c>
      <c r="D358" s="11" t="s">
        <v>48</v>
      </c>
      <c r="E358" s="11" t="s">
        <v>1024</v>
      </c>
      <c r="F358" s="11" t="s">
        <v>74</v>
      </c>
      <c r="G358" s="11" t="s">
        <v>1054</v>
      </c>
      <c r="H358" s="11" t="s">
        <v>21</v>
      </c>
      <c r="I358" s="11" t="s">
        <v>114</v>
      </c>
      <c r="J358" s="11" t="s">
        <v>269</v>
      </c>
      <c r="K358" s="11" t="n">
        <v>2</v>
      </c>
      <c r="L358" s="15" t="n">
        <v>19632.52</v>
      </c>
      <c r="M358" s="11" t="n">
        <v>15</v>
      </c>
      <c r="N358" s="15" t="n">
        <v>39265.04</v>
      </c>
      <c r="O358" s="15" t="n">
        <v>5889.76</v>
      </c>
      <c r="P358" s="15" t="n">
        <v>33375.28</v>
      </c>
      <c r="Q358" s="15" t="n">
        <v>0</v>
      </c>
      <c r="R358" s="11" t="n">
        <v>0</v>
      </c>
      <c r="S358" s="15" t="n">
        <f aca="false">P358-Q358</f>
        <v>33375.28</v>
      </c>
      <c r="T358" s="11" t="n">
        <f aca="false">IF(OR(J358="Completed",J358="Returned"),1,0)</f>
        <v>1</v>
      </c>
    </row>
    <row r="359" customFormat="false" ht="15" hidden="false" customHeight="false" outlineLevel="0" collapsed="false">
      <c r="A359" s="11" t="s">
        <v>1247</v>
      </c>
      <c r="B359" s="11" t="s">
        <v>290</v>
      </c>
      <c r="C359" s="24" t="n">
        <v>45798</v>
      </c>
      <c r="D359" s="11" t="s">
        <v>48</v>
      </c>
      <c r="E359" s="11" t="s">
        <v>1024</v>
      </c>
      <c r="F359" s="11" t="s">
        <v>74</v>
      </c>
      <c r="G359" s="11" t="s">
        <v>160</v>
      </c>
      <c r="H359" s="11" t="s">
        <v>23</v>
      </c>
      <c r="I359" s="11" t="s">
        <v>114</v>
      </c>
      <c r="J359" s="11" t="s">
        <v>269</v>
      </c>
      <c r="K359" s="11" t="n">
        <v>2</v>
      </c>
      <c r="L359" s="15" t="n">
        <v>21122.18</v>
      </c>
      <c r="M359" s="11" t="n">
        <v>0</v>
      </c>
      <c r="N359" s="15" t="n">
        <v>42244.36</v>
      </c>
      <c r="O359" s="15" t="n">
        <v>0</v>
      </c>
      <c r="P359" s="15" t="n">
        <v>42244.36</v>
      </c>
      <c r="Q359" s="15" t="n">
        <v>0</v>
      </c>
      <c r="R359" s="11" t="n">
        <v>0</v>
      </c>
      <c r="S359" s="15" t="n">
        <f aca="false">P359-Q359</f>
        <v>42244.36</v>
      </c>
      <c r="T359" s="11" t="n">
        <f aca="false">IF(OR(J359="Completed",J359="Returned"),1,0)</f>
        <v>1</v>
      </c>
    </row>
    <row r="360" customFormat="false" ht="15" hidden="false" customHeight="false" outlineLevel="0" collapsed="false">
      <c r="A360" s="11" t="s">
        <v>1248</v>
      </c>
      <c r="B360" s="11" t="s">
        <v>290</v>
      </c>
      <c r="C360" s="24" t="n">
        <v>45798</v>
      </c>
      <c r="D360" s="11" t="s">
        <v>48</v>
      </c>
      <c r="E360" s="11" t="s">
        <v>1024</v>
      </c>
      <c r="F360" s="11" t="s">
        <v>74</v>
      </c>
      <c r="G360" s="11" t="s">
        <v>607</v>
      </c>
      <c r="H360" s="11" t="s">
        <v>22</v>
      </c>
      <c r="I360" s="11" t="s">
        <v>114</v>
      </c>
      <c r="J360" s="11" t="s">
        <v>269</v>
      </c>
      <c r="K360" s="11" t="n">
        <v>4</v>
      </c>
      <c r="L360" s="15" t="n">
        <v>11569.57</v>
      </c>
      <c r="M360" s="11" t="n">
        <v>5</v>
      </c>
      <c r="N360" s="15" t="n">
        <v>46278.28</v>
      </c>
      <c r="O360" s="15" t="n">
        <v>2313.91</v>
      </c>
      <c r="P360" s="15" t="n">
        <v>43964.37</v>
      </c>
      <c r="Q360" s="15" t="n">
        <v>0</v>
      </c>
      <c r="R360" s="11" t="n">
        <v>0</v>
      </c>
      <c r="S360" s="15" t="n">
        <f aca="false">P360-Q360</f>
        <v>43964.37</v>
      </c>
      <c r="T360" s="11" t="n">
        <f aca="false">IF(OR(J360="Completed",J360="Returned"),1,0)</f>
        <v>1</v>
      </c>
    </row>
    <row r="361" customFormat="false" ht="15" hidden="false" customHeight="false" outlineLevel="0" collapsed="false">
      <c r="A361" s="11" t="s">
        <v>1249</v>
      </c>
      <c r="B361" s="11" t="s">
        <v>475</v>
      </c>
      <c r="C361" s="24" t="n">
        <v>45482</v>
      </c>
      <c r="D361" s="11" t="s">
        <v>38</v>
      </c>
      <c r="E361" s="11" t="s">
        <v>975</v>
      </c>
      <c r="F361" s="11" t="s">
        <v>78</v>
      </c>
      <c r="G361" s="11" t="s">
        <v>775</v>
      </c>
      <c r="H361" s="11" t="s">
        <v>23</v>
      </c>
      <c r="I361" s="11" t="s">
        <v>114</v>
      </c>
      <c r="J361" s="11" t="s">
        <v>246</v>
      </c>
      <c r="K361" s="11" t="n">
        <v>4</v>
      </c>
      <c r="L361" s="15" t="n">
        <v>26274.11</v>
      </c>
      <c r="M361" s="11" t="n">
        <v>0</v>
      </c>
      <c r="N361" s="15" t="n">
        <v>105096.44</v>
      </c>
      <c r="O361" s="15" t="n">
        <v>0</v>
      </c>
      <c r="P361" s="15" t="n">
        <v>105096.44</v>
      </c>
      <c r="Q361" s="15" t="n">
        <v>0</v>
      </c>
      <c r="R361" s="11" t="n">
        <v>0</v>
      </c>
      <c r="S361" s="15" t="n">
        <f aca="false">P361-Q361</f>
        <v>105096.44</v>
      </c>
      <c r="T361" s="11" t="n">
        <f aca="false">IF(OR(J361="Completed",J361="Returned"),1,0)</f>
        <v>0</v>
      </c>
    </row>
    <row r="362" customFormat="false" ht="15" hidden="false" customHeight="false" outlineLevel="0" collapsed="false">
      <c r="A362" s="11" t="s">
        <v>1250</v>
      </c>
      <c r="B362" s="11" t="s">
        <v>475</v>
      </c>
      <c r="C362" s="24" t="n">
        <v>45482</v>
      </c>
      <c r="D362" s="11" t="s">
        <v>38</v>
      </c>
      <c r="E362" s="11" t="s">
        <v>975</v>
      </c>
      <c r="F362" s="11" t="s">
        <v>78</v>
      </c>
      <c r="G362" s="11" t="s">
        <v>160</v>
      </c>
      <c r="H362" s="11" t="s">
        <v>23</v>
      </c>
      <c r="I362" s="11" t="s">
        <v>114</v>
      </c>
      <c r="J362" s="11" t="s">
        <v>246</v>
      </c>
      <c r="K362" s="11" t="n">
        <v>5</v>
      </c>
      <c r="L362" s="15" t="n">
        <v>21122.18</v>
      </c>
      <c r="M362" s="11" t="n">
        <v>10</v>
      </c>
      <c r="N362" s="15" t="n">
        <v>105610.9</v>
      </c>
      <c r="O362" s="15" t="n">
        <v>10561.09</v>
      </c>
      <c r="P362" s="15" t="n">
        <v>95049.81</v>
      </c>
      <c r="Q362" s="15" t="n">
        <v>0</v>
      </c>
      <c r="R362" s="11" t="n">
        <v>0</v>
      </c>
      <c r="S362" s="15" t="n">
        <f aca="false">P362-Q362</f>
        <v>95049.81</v>
      </c>
      <c r="T362" s="11" t="n">
        <f aca="false">IF(OR(J362="Completed",J362="Returned"),1,0)</f>
        <v>0</v>
      </c>
    </row>
    <row r="363" customFormat="false" ht="15" hidden="false" customHeight="false" outlineLevel="0" collapsed="false">
      <c r="A363" s="11" t="s">
        <v>1251</v>
      </c>
      <c r="B363" s="11" t="s">
        <v>410</v>
      </c>
      <c r="C363" s="24" t="n">
        <v>45515</v>
      </c>
      <c r="D363" s="11" t="s">
        <v>39</v>
      </c>
      <c r="E363" s="11" t="s">
        <v>1252</v>
      </c>
      <c r="F363" s="11" t="s">
        <v>82</v>
      </c>
      <c r="G363" s="11" t="s">
        <v>139</v>
      </c>
      <c r="H363" s="11" t="s">
        <v>24</v>
      </c>
      <c r="I363" s="11" t="s">
        <v>114</v>
      </c>
      <c r="J363" s="11" t="s">
        <v>242</v>
      </c>
      <c r="K363" s="11" t="n">
        <v>2</v>
      </c>
      <c r="L363" s="15" t="n">
        <v>20278.89</v>
      </c>
      <c r="M363" s="11" t="n">
        <v>0</v>
      </c>
      <c r="N363" s="15" t="n">
        <v>40557.78</v>
      </c>
      <c r="O363" s="15" t="n">
        <v>0</v>
      </c>
      <c r="P363" s="15" t="n">
        <v>40557.78</v>
      </c>
      <c r="Q363" s="15" t="n">
        <v>0</v>
      </c>
      <c r="R363" s="11" t="n">
        <v>0</v>
      </c>
      <c r="S363" s="15" t="n">
        <f aca="false">P363-Q363</f>
        <v>40557.78</v>
      </c>
      <c r="T363" s="11" t="n">
        <f aca="false">IF(OR(J363="Completed",J363="Returned"),1,0)</f>
        <v>1</v>
      </c>
    </row>
    <row r="364" customFormat="false" ht="15" hidden="false" customHeight="false" outlineLevel="0" collapsed="false">
      <c r="A364" s="11" t="s">
        <v>1253</v>
      </c>
      <c r="B364" s="11" t="s">
        <v>410</v>
      </c>
      <c r="C364" s="24" t="n">
        <v>45515</v>
      </c>
      <c r="D364" s="11" t="s">
        <v>39</v>
      </c>
      <c r="E364" s="11" t="s">
        <v>1252</v>
      </c>
      <c r="F364" s="11" t="s">
        <v>82</v>
      </c>
      <c r="G364" s="11" t="s">
        <v>939</v>
      </c>
      <c r="H364" s="11" t="s">
        <v>21</v>
      </c>
      <c r="I364" s="11" t="s">
        <v>114</v>
      </c>
      <c r="J364" s="11" t="s">
        <v>242</v>
      </c>
      <c r="K364" s="11" t="n">
        <v>3</v>
      </c>
      <c r="L364" s="15" t="n">
        <v>17637.28</v>
      </c>
      <c r="M364" s="11" t="n">
        <v>0</v>
      </c>
      <c r="N364" s="15" t="n">
        <v>52911.84</v>
      </c>
      <c r="O364" s="15" t="n">
        <v>0</v>
      </c>
      <c r="P364" s="15" t="n">
        <v>52911.84</v>
      </c>
      <c r="Q364" s="15" t="n">
        <v>0</v>
      </c>
      <c r="R364" s="11" t="n">
        <v>0</v>
      </c>
      <c r="S364" s="15" t="n">
        <f aca="false">P364-Q364</f>
        <v>52911.84</v>
      </c>
      <c r="T364" s="11" t="n">
        <f aca="false">IF(OR(J364="Completed",J364="Returned"),1,0)</f>
        <v>1</v>
      </c>
    </row>
    <row r="365" customFormat="false" ht="15" hidden="false" customHeight="false" outlineLevel="0" collapsed="false">
      <c r="A365" s="11" t="s">
        <v>1254</v>
      </c>
      <c r="B365" s="11" t="s">
        <v>410</v>
      </c>
      <c r="C365" s="24" t="n">
        <v>45515</v>
      </c>
      <c r="D365" s="11" t="s">
        <v>39</v>
      </c>
      <c r="E365" s="11" t="s">
        <v>1252</v>
      </c>
      <c r="F365" s="11" t="s">
        <v>82</v>
      </c>
      <c r="G365" s="11" t="s">
        <v>148</v>
      </c>
      <c r="H365" s="11" t="s">
        <v>21</v>
      </c>
      <c r="I365" s="11" t="s">
        <v>114</v>
      </c>
      <c r="J365" s="11" t="s">
        <v>242</v>
      </c>
      <c r="K365" s="11" t="n">
        <v>3</v>
      </c>
      <c r="L365" s="15" t="n">
        <v>11434.02</v>
      </c>
      <c r="M365" s="11" t="n">
        <v>15</v>
      </c>
      <c r="N365" s="15" t="n">
        <v>34302.06</v>
      </c>
      <c r="O365" s="15" t="n">
        <v>5145.31</v>
      </c>
      <c r="P365" s="15" t="n">
        <v>29156.75</v>
      </c>
      <c r="Q365" s="15" t="n">
        <v>0</v>
      </c>
      <c r="R365" s="11" t="n">
        <v>0</v>
      </c>
      <c r="S365" s="15" t="n">
        <f aca="false">P365-Q365</f>
        <v>29156.75</v>
      </c>
      <c r="T365" s="11" t="n">
        <f aca="false">IF(OR(J365="Completed",J365="Returned"),1,0)</f>
        <v>1</v>
      </c>
    </row>
    <row r="366" customFormat="false" ht="15" hidden="false" customHeight="false" outlineLevel="0" collapsed="false">
      <c r="A366" s="11" t="s">
        <v>1255</v>
      </c>
      <c r="B366" s="11" t="s">
        <v>410</v>
      </c>
      <c r="C366" s="24" t="n">
        <v>45515</v>
      </c>
      <c r="D366" s="11" t="s">
        <v>39</v>
      </c>
      <c r="E366" s="11" t="s">
        <v>1252</v>
      </c>
      <c r="F366" s="11" t="s">
        <v>82</v>
      </c>
      <c r="G366" s="11" t="s">
        <v>623</v>
      </c>
      <c r="H366" s="11" t="s">
        <v>20</v>
      </c>
      <c r="I366" s="11" t="s">
        <v>114</v>
      </c>
      <c r="J366" s="11" t="s">
        <v>242</v>
      </c>
      <c r="K366" s="11" t="n">
        <v>1</v>
      </c>
      <c r="L366" s="15" t="n">
        <v>16535.66</v>
      </c>
      <c r="M366" s="11" t="n">
        <v>15</v>
      </c>
      <c r="N366" s="15" t="n">
        <v>16535.66</v>
      </c>
      <c r="O366" s="15" t="n">
        <v>2480.35</v>
      </c>
      <c r="P366" s="15" t="n">
        <v>14055.31</v>
      </c>
      <c r="Q366" s="15" t="n">
        <v>0</v>
      </c>
      <c r="R366" s="11" t="n">
        <v>0</v>
      </c>
      <c r="S366" s="15" t="n">
        <f aca="false">P366-Q366</f>
        <v>14055.31</v>
      </c>
      <c r="T366" s="11" t="n">
        <f aca="false">IF(OR(J366="Completed",J366="Returned"),1,0)</f>
        <v>1</v>
      </c>
    </row>
    <row r="367" customFormat="false" ht="15" hidden="false" customHeight="false" outlineLevel="0" collapsed="false">
      <c r="A367" s="11" t="s">
        <v>1256</v>
      </c>
      <c r="B367" s="11" t="s">
        <v>537</v>
      </c>
      <c r="C367" s="24" t="n">
        <v>45568</v>
      </c>
      <c r="D367" s="11" t="s">
        <v>41</v>
      </c>
      <c r="E367" s="11" t="s">
        <v>1257</v>
      </c>
      <c r="F367" s="11" t="s">
        <v>78</v>
      </c>
      <c r="G367" s="11" t="s">
        <v>641</v>
      </c>
      <c r="H367" s="11" t="s">
        <v>24</v>
      </c>
      <c r="I367" s="11" t="s">
        <v>114</v>
      </c>
      <c r="J367" s="11" t="s">
        <v>246</v>
      </c>
      <c r="K367" s="11" t="n">
        <v>2</v>
      </c>
      <c r="L367" s="15" t="n">
        <v>7313.65</v>
      </c>
      <c r="M367" s="11" t="n">
        <v>10</v>
      </c>
      <c r="N367" s="15" t="n">
        <v>14627.3</v>
      </c>
      <c r="O367" s="15" t="n">
        <v>1462.73</v>
      </c>
      <c r="P367" s="15" t="n">
        <v>13164.57</v>
      </c>
      <c r="Q367" s="15" t="n">
        <v>0</v>
      </c>
      <c r="R367" s="11" t="n">
        <v>0</v>
      </c>
      <c r="S367" s="15" t="n">
        <f aca="false">P367-Q367</f>
        <v>13164.57</v>
      </c>
      <c r="T367" s="11" t="n">
        <f aca="false">IF(OR(J367="Completed",J367="Returned"),1,0)</f>
        <v>0</v>
      </c>
    </row>
    <row r="368" customFormat="false" ht="15" hidden="false" customHeight="false" outlineLevel="0" collapsed="false">
      <c r="A368" s="11" t="s">
        <v>1258</v>
      </c>
      <c r="B368" s="11" t="s">
        <v>507</v>
      </c>
      <c r="C368" s="24" t="n">
        <v>45859</v>
      </c>
      <c r="D368" s="11" t="s">
        <v>50</v>
      </c>
      <c r="E368" s="11" t="s">
        <v>1259</v>
      </c>
      <c r="F368" s="11" t="s">
        <v>74</v>
      </c>
      <c r="G368" s="11" t="s">
        <v>603</v>
      </c>
      <c r="H368" s="11" t="s">
        <v>23</v>
      </c>
      <c r="I368" s="11" t="s">
        <v>114</v>
      </c>
      <c r="J368" s="11" t="s">
        <v>242</v>
      </c>
      <c r="K368" s="11" t="n">
        <v>1</v>
      </c>
      <c r="L368" s="15" t="n">
        <v>15622.68</v>
      </c>
      <c r="M368" s="11" t="n">
        <v>5</v>
      </c>
      <c r="N368" s="15" t="n">
        <v>15622.68</v>
      </c>
      <c r="O368" s="15" t="n">
        <v>781.13</v>
      </c>
      <c r="P368" s="15" t="n">
        <v>14841.55</v>
      </c>
      <c r="Q368" s="15" t="n">
        <v>0</v>
      </c>
      <c r="R368" s="11" t="n">
        <v>0</v>
      </c>
      <c r="S368" s="15" t="n">
        <f aca="false">P368-Q368</f>
        <v>14841.55</v>
      </c>
      <c r="T368" s="11" t="n">
        <f aca="false">IF(OR(J368="Completed",J368="Returned"),1,0)</f>
        <v>1</v>
      </c>
    </row>
    <row r="369" customFormat="false" ht="15" hidden="false" customHeight="false" outlineLevel="0" collapsed="false">
      <c r="A369" s="11" t="s">
        <v>1260</v>
      </c>
      <c r="B369" s="11" t="s">
        <v>320</v>
      </c>
      <c r="C369" s="24" t="n">
        <v>45661</v>
      </c>
      <c r="D369" s="11" t="s">
        <v>44</v>
      </c>
      <c r="E369" s="11" t="s">
        <v>922</v>
      </c>
      <c r="F369" s="11" t="s">
        <v>74</v>
      </c>
      <c r="G369" s="11" t="s">
        <v>615</v>
      </c>
      <c r="H369" s="11" t="s">
        <v>23</v>
      </c>
      <c r="I369" s="11" t="s">
        <v>113</v>
      </c>
      <c r="J369" s="11" t="s">
        <v>250</v>
      </c>
      <c r="K369" s="11" t="n">
        <v>4</v>
      </c>
      <c r="L369" s="15" t="n">
        <v>2863.09</v>
      </c>
      <c r="M369" s="11" t="n">
        <v>10</v>
      </c>
      <c r="N369" s="15" t="n">
        <v>11452.36</v>
      </c>
      <c r="O369" s="15" t="n">
        <v>1145.24</v>
      </c>
      <c r="P369" s="15" t="n">
        <v>10307.12</v>
      </c>
      <c r="Q369" s="15" t="n">
        <v>0</v>
      </c>
      <c r="R369" s="11" t="n">
        <v>0</v>
      </c>
      <c r="S369" s="15" t="n">
        <f aca="false">P369-Q369</f>
        <v>10307.12</v>
      </c>
      <c r="T369" s="11" t="n">
        <f aca="false">IF(OR(J369="Completed",J369="Returned"),1,0)</f>
        <v>0</v>
      </c>
    </row>
    <row r="370" customFormat="false" ht="15" hidden="false" customHeight="false" outlineLevel="0" collapsed="false">
      <c r="A370" s="11" t="s">
        <v>1261</v>
      </c>
      <c r="B370" s="11" t="s">
        <v>320</v>
      </c>
      <c r="C370" s="24" t="n">
        <v>45661</v>
      </c>
      <c r="D370" s="11" t="s">
        <v>44</v>
      </c>
      <c r="E370" s="11" t="s">
        <v>922</v>
      </c>
      <c r="F370" s="11" t="s">
        <v>74</v>
      </c>
      <c r="G370" s="11" t="s">
        <v>625</v>
      </c>
      <c r="H370" s="11" t="s">
        <v>21</v>
      </c>
      <c r="I370" s="11" t="s">
        <v>113</v>
      </c>
      <c r="J370" s="11" t="s">
        <v>250</v>
      </c>
      <c r="K370" s="11" t="n">
        <v>1</v>
      </c>
      <c r="L370" s="15" t="n">
        <v>15176.98</v>
      </c>
      <c r="M370" s="11" t="n">
        <v>5</v>
      </c>
      <c r="N370" s="15" t="n">
        <v>15176.98</v>
      </c>
      <c r="O370" s="15" t="n">
        <v>758.85</v>
      </c>
      <c r="P370" s="15" t="n">
        <v>14418.13</v>
      </c>
      <c r="Q370" s="15" t="n">
        <v>0</v>
      </c>
      <c r="R370" s="11" t="n">
        <v>0</v>
      </c>
      <c r="S370" s="15" t="n">
        <f aca="false">P370-Q370</f>
        <v>14418.13</v>
      </c>
      <c r="T370" s="11" t="n">
        <f aca="false">IF(OR(J370="Completed",J370="Returned"),1,0)</f>
        <v>0</v>
      </c>
    </row>
    <row r="371" customFormat="false" ht="15" hidden="false" customHeight="false" outlineLevel="0" collapsed="false">
      <c r="A371" s="11" t="s">
        <v>1262</v>
      </c>
      <c r="B371" s="11" t="s">
        <v>498</v>
      </c>
      <c r="C371" s="24" t="n">
        <v>45524</v>
      </c>
      <c r="D371" s="11" t="s">
        <v>39</v>
      </c>
      <c r="E371" s="11" t="s">
        <v>1263</v>
      </c>
      <c r="F371" s="11" t="s">
        <v>74</v>
      </c>
      <c r="G371" s="11" t="s">
        <v>127</v>
      </c>
      <c r="H371" s="11" t="s">
        <v>21</v>
      </c>
      <c r="I371" s="11" t="s">
        <v>114</v>
      </c>
      <c r="J371" s="11" t="s">
        <v>242</v>
      </c>
      <c r="K371" s="11" t="n">
        <v>5</v>
      </c>
      <c r="L371" s="15" t="n">
        <v>3684.57</v>
      </c>
      <c r="M371" s="11" t="n">
        <v>0</v>
      </c>
      <c r="N371" s="15" t="n">
        <v>18422.85</v>
      </c>
      <c r="O371" s="15" t="n">
        <v>0</v>
      </c>
      <c r="P371" s="15" t="n">
        <v>18422.85</v>
      </c>
      <c r="Q371" s="15" t="n">
        <v>0</v>
      </c>
      <c r="R371" s="11" t="n">
        <v>0</v>
      </c>
      <c r="S371" s="15" t="n">
        <f aca="false">P371-Q371</f>
        <v>18422.85</v>
      </c>
      <c r="T371" s="11" t="n">
        <f aca="false">IF(OR(J371="Completed",J371="Returned"),1,0)</f>
        <v>1</v>
      </c>
    </row>
    <row r="372" customFormat="false" ht="15" hidden="false" customHeight="false" outlineLevel="0" collapsed="false">
      <c r="A372" s="11" t="s">
        <v>1264</v>
      </c>
      <c r="B372" s="11" t="s">
        <v>388</v>
      </c>
      <c r="C372" s="24" t="n">
        <v>45605</v>
      </c>
      <c r="D372" s="11" t="s">
        <v>42</v>
      </c>
      <c r="E372" s="11" t="s">
        <v>1100</v>
      </c>
      <c r="F372" s="11" t="s">
        <v>74</v>
      </c>
      <c r="G372" s="11" t="s">
        <v>835</v>
      </c>
      <c r="H372" s="11" t="s">
        <v>22</v>
      </c>
      <c r="I372" s="11" t="s">
        <v>113</v>
      </c>
      <c r="J372" s="11" t="s">
        <v>269</v>
      </c>
      <c r="K372" s="11" t="n">
        <v>3</v>
      </c>
      <c r="L372" s="15" t="n">
        <v>22572.25</v>
      </c>
      <c r="M372" s="11" t="n">
        <v>5</v>
      </c>
      <c r="N372" s="15" t="n">
        <v>67716.75</v>
      </c>
      <c r="O372" s="15" t="n">
        <v>3385.84</v>
      </c>
      <c r="P372" s="15" t="n">
        <v>64330.91</v>
      </c>
      <c r="Q372" s="15" t="n">
        <v>0</v>
      </c>
      <c r="R372" s="11" t="n">
        <v>0</v>
      </c>
      <c r="S372" s="15" t="n">
        <f aca="false">P372-Q372</f>
        <v>64330.91</v>
      </c>
      <c r="T372" s="11" t="n">
        <f aca="false">IF(OR(J372="Completed",J372="Returned"),1,0)</f>
        <v>1</v>
      </c>
    </row>
    <row r="373" customFormat="false" ht="15" hidden="false" customHeight="false" outlineLevel="0" collapsed="false">
      <c r="A373" s="11" t="s">
        <v>1265</v>
      </c>
      <c r="B373" s="11" t="s">
        <v>388</v>
      </c>
      <c r="C373" s="24" t="n">
        <v>45605</v>
      </c>
      <c r="D373" s="11" t="s">
        <v>42</v>
      </c>
      <c r="E373" s="11" t="s">
        <v>1100</v>
      </c>
      <c r="F373" s="11" t="s">
        <v>74</v>
      </c>
      <c r="G373" s="11" t="s">
        <v>995</v>
      </c>
      <c r="H373" s="11" t="s">
        <v>24</v>
      </c>
      <c r="I373" s="11" t="s">
        <v>113</v>
      </c>
      <c r="J373" s="11" t="s">
        <v>269</v>
      </c>
      <c r="K373" s="11" t="n">
        <v>5</v>
      </c>
      <c r="L373" s="15" t="n">
        <v>11865.75</v>
      </c>
      <c r="M373" s="11" t="n">
        <v>15</v>
      </c>
      <c r="N373" s="15" t="n">
        <v>59328.75</v>
      </c>
      <c r="O373" s="15" t="n">
        <v>8899.31</v>
      </c>
      <c r="P373" s="15" t="n">
        <v>50429.44</v>
      </c>
      <c r="Q373" s="15" t="n">
        <v>0</v>
      </c>
      <c r="R373" s="11" t="n">
        <v>0</v>
      </c>
      <c r="S373" s="15" t="n">
        <f aca="false">P373-Q373</f>
        <v>50429.44</v>
      </c>
      <c r="T373" s="11" t="n">
        <f aca="false">IF(OR(J373="Completed",J373="Returned"),1,0)</f>
        <v>1</v>
      </c>
    </row>
    <row r="374" customFormat="false" ht="15" hidden="false" customHeight="false" outlineLevel="0" collapsed="false">
      <c r="A374" s="11" t="s">
        <v>1266</v>
      </c>
      <c r="B374" s="11" t="s">
        <v>428</v>
      </c>
      <c r="C374" s="24" t="n">
        <v>45887</v>
      </c>
      <c r="D374" s="11" t="s">
        <v>51</v>
      </c>
      <c r="E374" s="11" t="s">
        <v>1267</v>
      </c>
      <c r="F374" s="11" t="s">
        <v>70</v>
      </c>
      <c r="G374" s="11" t="s">
        <v>630</v>
      </c>
      <c r="H374" s="11" t="s">
        <v>23</v>
      </c>
      <c r="I374" s="11" t="s">
        <v>113</v>
      </c>
      <c r="J374" s="11" t="s">
        <v>250</v>
      </c>
      <c r="K374" s="11" t="n">
        <v>2</v>
      </c>
      <c r="L374" s="15" t="n">
        <v>18828.5</v>
      </c>
      <c r="M374" s="11" t="n">
        <v>0</v>
      </c>
      <c r="N374" s="15" t="n">
        <v>37657</v>
      </c>
      <c r="O374" s="15" t="n">
        <v>0</v>
      </c>
      <c r="P374" s="15" t="n">
        <v>37657</v>
      </c>
      <c r="Q374" s="15" t="n">
        <v>0</v>
      </c>
      <c r="R374" s="11" t="n">
        <v>0</v>
      </c>
      <c r="S374" s="15" t="n">
        <f aca="false">P374-Q374</f>
        <v>37657</v>
      </c>
      <c r="T374" s="11" t="n">
        <f aca="false">IF(OR(J374="Completed",J374="Returned"),1,0)</f>
        <v>0</v>
      </c>
    </row>
    <row r="375" customFormat="false" ht="15" hidden="false" customHeight="false" outlineLevel="0" collapsed="false">
      <c r="A375" s="11" t="s">
        <v>1268</v>
      </c>
      <c r="B375" s="11" t="s">
        <v>428</v>
      </c>
      <c r="C375" s="24" t="n">
        <v>45887</v>
      </c>
      <c r="D375" s="11" t="s">
        <v>51</v>
      </c>
      <c r="E375" s="11" t="s">
        <v>1267</v>
      </c>
      <c r="F375" s="11" t="s">
        <v>70</v>
      </c>
      <c r="G375" s="11" t="s">
        <v>152</v>
      </c>
      <c r="H375" s="11" t="s">
        <v>23</v>
      </c>
      <c r="I375" s="11" t="s">
        <v>113</v>
      </c>
      <c r="J375" s="11" t="s">
        <v>250</v>
      </c>
      <c r="K375" s="11" t="n">
        <v>2</v>
      </c>
      <c r="L375" s="15" t="n">
        <v>9953.59</v>
      </c>
      <c r="M375" s="11" t="n">
        <v>0</v>
      </c>
      <c r="N375" s="15" t="n">
        <v>19907.18</v>
      </c>
      <c r="O375" s="15" t="n">
        <v>0</v>
      </c>
      <c r="P375" s="15" t="n">
        <v>19907.18</v>
      </c>
      <c r="Q375" s="15" t="n">
        <v>0</v>
      </c>
      <c r="R375" s="11" t="n">
        <v>0</v>
      </c>
      <c r="S375" s="15" t="n">
        <f aca="false">P375-Q375</f>
        <v>19907.18</v>
      </c>
      <c r="T375" s="11" t="n">
        <f aca="false">IF(OR(J375="Completed",J375="Returned"),1,0)</f>
        <v>0</v>
      </c>
    </row>
    <row r="376" customFormat="false" ht="15" hidden="false" customHeight="false" outlineLevel="0" collapsed="false">
      <c r="A376" s="11" t="s">
        <v>1269</v>
      </c>
      <c r="B376" s="11" t="s">
        <v>428</v>
      </c>
      <c r="C376" s="24" t="n">
        <v>45887</v>
      </c>
      <c r="D376" s="11" t="s">
        <v>51</v>
      </c>
      <c r="E376" s="11" t="s">
        <v>1267</v>
      </c>
      <c r="F376" s="11" t="s">
        <v>70</v>
      </c>
      <c r="G376" s="11" t="s">
        <v>1022</v>
      </c>
      <c r="H376" s="11" t="s">
        <v>20</v>
      </c>
      <c r="I376" s="11" t="s">
        <v>113</v>
      </c>
      <c r="J376" s="11" t="s">
        <v>250</v>
      </c>
      <c r="K376" s="11" t="n">
        <v>4</v>
      </c>
      <c r="L376" s="15" t="n">
        <v>13809.86</v>
      </c>
      <c r="M376" s="11" t="n">
        <v>10</v>
      </c>
      <c r="N376" s="15" t="n">
        <v>55239.44</v>
      </c>
      <c r="O376" s="15" t="n">
        <v>5523.94</v>
      </c>
      <c r="P376" s="15" t="n">
        <v>49715.5</v>
      </c>
      <c r="Q376" s="15" t="n">
        <v>0</v>
      </c>
      <c r="R376" s="11" t="n">
        <v>0</v>
      </c>
      <c r="S376" s="15" t="n">
        <f aca="false">P376-Q376</f>
        <v>49715.5</v>
      </c>
      <c r="T376" s="11" t="n">
        <f aca="false">IF(OR(J376="Completed",J376="Returned"),1,0)</f>
        <v>0</v>
      </c>
    </row>
    <row r="377" customFormat="false" ht="15" hidden="false" customHeight="false" outlineLevel="0" collapsed="false">
      <c r="A377" s="11" t="s">
        <v>1270</v>
      </c>
      <c r="B377" s="11" t="s">
        <v>337</v>
      </c>
      <c r="C377" s="24" t="n">
        <v>45654</v>
      </c>
      <c r="D377" s="11" t="s">
        <v>43</v>
      </c>
      <c r="E377" s="11" t="s">
        <v>1096</v>
      </c>
      <c r="F377" s="11" t="s">
        <v>78</v>
      </c>
      <c r="G377" s="11" t="s">
        <v>133</v>
      </c>
      <c r="H377" s="11" t="s">
        <v>21</v>
      </c>
      <c r="I377" s="11" t="s">
        <v>114</v>
      </c>
      <c r="J377" s="11" t="s">
        <v>269</v>
      </c>
      <c r="K377" s="11" t="n">
        <v>1</v>
      </c>
      <c r="L377" s="15" t="n">
        <v>15706.03</v>
      </c>
      <c r="M377" s="11" t="n">
        <v>5</v>
      </c>
      <c r="N377" s="15" t="n">
        <v>15706.03</v>
      </c>
      <c r="O377" s="15" t="n">
        <v>785.3</v>
      </c>
      <c r="P377" s="15" t="n">
        <v>14920.73</v>
      </c>
      <c r="Q377" s="15" t="n">
        <v>0</v>
      </c>
      <c r="R377" s="11" t="n">
        <v>0</v>
      </c>
      <c r="S377" s="15" t="n">
        <f aca="false">P377-Q377</f>
        <v>14920.73</v>
      </c>
      <c r="T377" s="11" t="n">
        <f aca="false">IF(OR(J377="Completed",J377="Returned"),1,0)</f>
        <v>1</v>
      </c>
    </row>
    <row r="378" customFormat="false" ht="15" hidden="false" customHeight="false" outlineLevel="0" collapsed="false">
      <c r="A378" s="11" t="s">
        <v>1271</v>
      </c>
      <c r="B378" s="11" t="s">
        <v>337</v>
      </c>
      <c r="C378" s="24" t="n">
        <v>45654</v>
      </c>
      <c r="D378" s="11" t="s">
        <v>43</v>
      </c>
      <c r="E378" s="11" t="s">
        <v>1096</v>
      </c>
      <c r="F378" s="11" t="s">
        <v>78</v>
      </c>
      <c r="G378" s="11" t="s">
        <v>635</v>
      </c>
      <c r="H378" s="11" t="s">
        <v>22</v>
      </c>
      <c r="I378" s="11" t="s">
        <v>114</v>
      </c>
      <c r="J378" s="11" t="s">
        <v>269</v>
      </c>
      <c r="K378" s="11" t="n">
        <v>4</v>
      </c>
      <c r="L378" s="15" t="n">
        <v>7877.61</v>
      </c>
      <c r="M378" s="11" t="n">
        <v>10</v>
      </c>
      <c r="N378" s="15" t="n">
        <v>31510.44</v>
      </c>
      <c r="O378" s="15" t="n">
        <v>3151.04</v>
      </c>
      <c r="P378" s="15" t="n">
        <v>28359.4</v>
      </c>
      <c r="Q378" s="15" t="n">
        <v>0</v>
      </c>
      <c r="R378" s="11" t="n">
        <v>0</v>
      </c>
      <c r="S378" s="15" t="n">
        <f aca="false">P378-Q378</f>
        <v>28359.4</v>
      </c>
      <c r="T378" s="11" t="n">
        <f aca="false">IF(OR(J378="Completed",J378="Returned"),1,0)</f>
        <v>1</v>
      </c>
    </row>
    <row r="379" customFormat="false" ht="15" hidden="false" customHeight="false" outlineLevel="0" collapsed="false">
      <c r="A379" s="11" t="s">
        <v>1272</v>
      </c>
      <c r="B379" s="11" t="s">
        <v>337</v>
      </c>
      <c r="C379" s="24" t="n">
        <v>45654</v>
      </c>
      <c r="D379" s="11" t="s">
        <v>43</v>
      </c>
      <c r="E379" s="11" t="s">
        <v>1096</v>
      </c>
      <c r="F379" s="11" t="s">
        <v>78</v>
      </c>
      <c r="G379" s="11" t="s">
        <v>150</v>
      </c>
      <c r="H379" s="11" t="s">
        <v>22</v>
      </c>
      <c r="I379" s="11" t="s">
        <v>114</v>
      </c>
      <c r="J379" s="11" t="s">
        <v>269</v>
      </c>
      <c r="K379" s="11" t="n">
        <v>5</v>
      </c>
      <c r="L379" s="15" t="n">
        <v>21978.46</v>
      </c>
      <c r="M379" s="11" t="n">
        <v>10</v>
      </c>
      <c r="N379" s="15" t="n">
        <v>109892.3</v>
      </c>
      <c r="O379" s="15" t="n">
        <v>10989.23</v>
      </c>
      <c r="P379" s="15" t="n">
        <v>98903.07</v>
      </c>
      <c r="Q379" s="15" t="n">
        <v>0</v>
      </c>
      <c r="R379" s="11" t="n">
        <v>0</v>
      </c>
      <c r="S379" s="15" t="n">
        <f aca="false">P379-Q379</f>
        <v>98903.07</v>
      </c>
      <c r="T379" s="11" t="n">
        <f aca="false">IF(OR(J379="Completed",J379="Returned"),1,0)</f>
        <v>1</v>
      </c>
    </row>
    <row r="380" customFormat="false" ht="15" hidden="false" customHeight="false" outlineLevel="0" collapsed="false">
      <c r="A380" s="11" t="s">
        <v>1273</v>
      </c>
      <c r="B380" s="11" t="s">
        <v>271</v>
      </c>
      <c r="C380" s="24" t="n">
        <v>45913</v>
      </c>
      <c r="D380" s="11" t="s">
        <v>52</v>
      </c>
      <c r="E380" s="11" t="s">
        <v>1274</v>
      </c>
      <c r="F380" s="11" t="s">
        <v>82</v>
      </c>
      <c r="G380" s="11" t="s">
        <v>162</v>
      </c>
      <c r="H380" s="11" t="s">
        <v>20</v>
      </c>
      <c r="I380" s="11" t="s">
        <v>114</v>
      </c>
      <c r="J380" s="11" t="s">
        <v>246</v>
      </c>
      <c r="K380" s="11" t="n">
        <v>5</v>
      </c>
      <c r="L380" s="15" t="n">
        <v>16084.14</v>
      </c>
      <c r="M380" s="11" t="n">
        <v>0</v>
      </c>
      <c r="N380" s="15" t="n">
        <v>80420.7</v>
      </c>
      <c r="O380" s="15" t="n">
        <v>0</v>
      </c>
      <c r="P380" s="15" t="n">
        <v>80420.7</v>
      </c>
      <c r="Q380" s="15" t="n">
        <v>0</v>
      </c>
      <c r="R380" s="11" t="n">
        <v>0</v>
      </c>
      <c r="S380" s="15" t="n">
        <f aca="false">P380-Q380</f>
        <v>80420.7</v>
      </c>
      <c r="T380" s="11" t="n">
        <f aca="false">IF(OR(J380="Completed",J380="Returned"),1,0)</f>
        <v>0</v>
      </c>
    </row>
    <row r="381" customFormat="false" ht="15" hidden="false" customHeight="false" outlineLevel="0" collapsed="false">
      <c r="A381" s="11" t="s">
        <v>1275</v>
      </c>
      <c r="B381" s="11" t="s">
        <v>459</v>
      </c>
      <c r="C381" s="24" t="n">
        <v>45345</v>
      </c>
      <c r="D381" s="11" t="s">
        <v>33</v>
      </c>
      <c r="E381" s="11" t="s">
        <v>92</v>
      </c>
      <c r="F381" s="11" t="s">
        <v>70</v>
      </c>
      <c r="G381" s="11" t="s">
        <v>775</v>
      </c>
      <c r="H381" s="11" t="s">
        <v>23</v>
      </c>
      <c r="I381" s="11" t="s">
        <v>114</v>
      </c>
      <c r="J381" s="11" t="s">
        <v>242</v>
      </c>
      <c r="K381" s="11" t="n">
        <v>2</v>
      </c>
      <c r="L381" s="15" t="n">
        <v>26274.11</v>
      </c>
      <c r="M381" s="11" t="n">
        <v>10</v>
      </c>
      <c r="N381" s="15" t="n">
        <v>52548.22</v>
      </c>
      <c r="O381" s="15" t="n">
        <v>5254.82</v>
      </c>
      <c r="P381" s="15" t="n">
        <v>47293.4</v>
      </c>
      <c r="Q381" s="15" t="n">
        <v>0</v>
      </c>
      <c r="R381" s="11" t="n">
        <v>0</v>
      </c>
      <c r="S381" s="15" t="n">
        <f aca="false">P381-Q381</f>
        <v>47293.4</v>
      </c>
      <c r="T381" s="11" t="n">
        <f aca="false">IF(OR(J381="Completed",J381="Returned"),1,0)</f>
        <v>1</v>
      </c>
    </row>
    <row r="382" customFormat="false" ht="15" hidden="false" customHeight="false" outlineLevel="0" collapsed="false">
      <c r="A382" s="11" t="s">
        <v>1276</v>
      </c>
      <c r="B382" s="11" t="s">
        <v>459</v>
      </c>
      <c r="C382" s="24" t="n">
        <v>45345</v>
      </c>
      <c r="D382" s="11" t="s">
        <v>33</v>
      </c>
      <c r="E382" s="11" t="s">
        <v>92</v>
      </c>
      <c r="F382" s="11" t="s">
        <v>70</v>
      </c>
      <c r="G382" s="11" t="s">
        <v>981</v>
      </c>
      <c r="H382" s="11" t="s">
        <v>21</v>
      </c>
      <c r="I382" s="11" t="s">
        <v>114</v>
      </c>
      <c r="J382" s="11" t="s">
        <v>242</v>
      </c>
      <c r="K382" s="11" t="n">
        <v>5</v>
      </c>
      <c r="L382" s="15" t="n">
        <v>19552.29</v>
      </c>
      <c r="M382" s="11" t="n">
        <v>0</v>
      </c>
      <c r="N382" s="15" t="n">
        <v>97761.45</v>
      </c>
      <c r="O382" s="15" t="n">
        <v>0</v>
      </c>
      <c r="P382" s="15" t="n">
        <v>97761.45</v>
      </c>
      <c r="Q382" s="15" t="n">
        <v>0</v>
      </c>
      <c r="R382" s="11" t="n">
        <v>0</v>
      </c>
      <c r="S382" s="15" t="n">
        <f aca="false">P382-Q382</f>
        <v>97761.45</v>
      </c>
      <c r="T382" s="11" t="n">
        <f aca="false">IF(OR(J382="Completed",J382="Returned"),1,0)</f>
        <v>1</v>
      </c>
    </row>
    <row r="383" customFormat="false" ht="15" hidden="false" customHeight="false" outlineLevel="0" collapsed="false">
      <c r="A383" s="11" t="s">
        <v>1277</v>
      </c>
      <c r="B383" s="11" t="s">
        <v>459</v>
      </c>
      <c r="C383" s="24" t="n">
        <v>45345</v>
      </c>
      <c r="D383" s="11" t="s">
        <v>33</v>
      </c>
      <c r="E383" s="11" t="s">
        <v>92</v>
      </c>
      <c r="F383" s="11" t="s">
        <v>70</v>
      </c>
      <c r="G383" s="11" t="s">
        <v>970</v>
      </c>
      <c r="H383" s="11" t="s">
        <v>20</v>
      </c>
      <c r="I383" s="11" t="s">
        <v>114</v>
      </c>
      <c r="J383" s="11" t="s">
        <v>242</v>
      </c>
      <c r="K383" s="11" t="n">
        <v>1</v>
      </c>
      <c r="L383" s="15" t="n">
        <v>15383.27</v>
      </c>
      <c r="M383" s="11" t="n">
        <v>10</v>
      </c>
      <c r="N383" s="15" t="n">
        <v>15383.27</v>
      </c>
      <c r="O383" s="15" t="n">
        <v>1538.33</v>
      </c>
      <c r="P383" s="15" t="n">
        <v>13844.94</v>
      </c>
      <c r="Q383" s="15" t="n">
        <v>0</v>
      </c>
      <c r="R383" s="11" t="n">
        <v>0</v>
      </c>
      <c r="S383" s="15" t="n">
        <f aca="false">P383-Q383</f>
        <v>13844.94</v>
      </c>
      <c r="T383" s="11" t="n">
        <f aca="false">IF(OR(J383="Completed",J383="Returned"),1,0)</f>
        <v>1</v>
      </c>
    </row>
    <row r="384" customFormat="false" ht="15" hidden="false" customHeight="false" outlineLevel="0" collapsed="false">
      <c r="A384" s="11" t="s">
        <v>1278</v>
      </c>
      <c r="B384" s="11" t="s">
        <v>559</v>
      </c>
      <c r="C384" s="24" t="n">
        <v>45500</v>
      </c>
      <c r="D384" s="11" t="s">
        <v>38</v>
      </c>
      <c r="E384" s="11" t="s">
        <v>842</v>
      </c>
      <c r="F384" s="11" t="s">
        <v>70</v>
      </c>
      <c r="G384" s="11" t="s">
        <v>1022</v>
      </c>
      <c r="H384" s="11" t="s">
        <v>20</v>
      </c>
      <c r="I384" s="11" t="s">
        <v>115</v>
      </c>
      <c r="J384" s="11" t="s">
        <v>269</v>
      </c>
      <c r="K384" s="11" t="n">
        <v>3</v>
      </c>
      <c r="L384" s="15" t="n">
        <v>13809.86</v>
      </c>
      <c r="M384" s="11" t="n">
        <v>0</v>
      </c>
      <c r="N384" s="15" t="n">
        <v>41429.58</v>
      </c>
      <c r="O384" s="15" t="n">
        <v>0</v>
      </c>
      <c r="P384" s="15" t="n">
        <v>41429.58</v>
      </c>
      <c r="Q384" s="15" t="n">
        <v>0</v>
      </c>
      <c r="R384" s="11" t="n">
        <v>0</v>
      </c>
      <c r="S384" s="15" t="n">
        <f aca="false">P384-Q384</f>
        <v>41429.58</v>
      </c>
      <c r="T384" s="11" t="n">
        <f aca="false">IF(OR(J384="Completed",J384="Returned"),1,0)</f>
        <v>1</v>
      </c>
    </row>
    <row r="385" customFormat="false" ht="15" hidden="false" customHeight="false" outlineLevel="0" collapsed="false">
      <c r="A385" s="11" t="s">
        <v>1279</v>
      </c>
      <c r="B385" s="11" t="s">
        <v>559</v>
      </c>
      <c r="C385" s="24" t="n">
        <v>45500</v>
      </c>
      <c r="D385" s="11" t="s">
        <v>38</v>
      </c>
      <c r="E385" s="11" t="s">
        <v>842</v>
      </c>
      <c r="F385" s="11" t="s">
        <v>70</v>
      </c>
      <c r="G385" s="11" t="s">
        <v>830</v>
      </c>
      <c r="H385" s="11" t="s">
        <v>22</v>
      </c>
      <c r="I385" s="11" t="s">
        <v>115</v>
      </c>
      <c r="J385" s="11" t="s">
        <v>269</v>
      </c>
      <c r="K385" s="11" t="n">
        <v>5</v>
      </c>
      <c r="L385" s="15" t="n">
        <v>1179.68</v>
      </c>
      <c r="M385" s="11" t="n">
        <v>0</v>
      </c>
      <c r="N385" s="15" t="n">
        <v>5898.4</v>
      </c>
      <c r="O385" s="15" t="n">
        <v>0</v>
      </c>
      <c r="P385" s="15" t="n">
        <v>5898.4</v>
      </c>
      <c r="Q385" s="15" t="n">
        <v>0</v>
      </c>
      <c r="R385" s="11" t="n">
        <v>0</v>
      </c>
      <c r="S385" s="15" t="n">
        <f aca="false">P385-Q385</f>
        <v>5898.4</v>
      </c>
      <c r="T385" s="11" t="n">
        <f aca="false">IF(OR(J385="Completed",J385="Returned"),1,0)</f>
        <v>1</v>
      </c>
    </row>
    <row r="386" customFormat="false" ht="15" hidden="false" customHeight="false" outlineLevel="0" collapsed="false">
      <c r="A386" s="11" t="s">
        <v>1280</v>
      </c>
      <c r="B386" s="11" t="s">
        <v>559</v>
      </c>
      <c r="C386" s="24" t="n">
        <v>45500</v>
      </c>
      <c r="D386" s="11" t="s">
        <v>38</v>
      </c>
      <c r="E386" s="11" t="s">
        <v>842</v>
      </c>
      <c r="F386" s="11" t="s">
        <v>70</v>
      </c>
      <c r="G386" s="11" t="s">
        <v>786</v>
      </c>
      <c r="H386" s="11" t="s">
        <v>24</v>
      </c>
      <c r="I386" s="11" t="s">
        <v>115</v>
      </c>
      <c r="J386" s="11" t="s">
        <v>269</v>
      </c>
      <c r="K386" s="11" t="n">
        <v>5</v>
      </c>
      <c r="L386" s="15" t="n">
        <v>17477.91</v>
      </c>
      <c r="M386" s="11" t="n">
        <v>0</v>
      </c>
      <c r="N386" s="15" t="n">
        <v>87389.55</v>
      </c>
      <c r="O386" s="15" t="n">
        <v>0</v>
      </c>
      <c r="P386" s="15" t="n">
        <v>87389.55</v>
      </c>
      <c r="Q386" s="15" t="n">
        <v>86054.34</v>
      </c>
      <c r="R386" s="11" t="n">
        <v>5</v>
      </c>
      <c r="S386" s="15" t="n">
        <f aca="false">P386-Q386</f>
        <v>1335.21000000001</v>
      </c>
      <c r="T386" s="11" t="n">
        <f aca="false">IF(OR(J386="Completed",J386="Returned"),1,0)</f>
        <v>1</v>
      </c>
    </row>
    <row r="387" customFormat="false" ht="15" hidden="false" customHeight="false" outlineLevel="0" collapsed="false">
      <c r="A387" s="11" t="s">
        <v>1281</v>
      </c>
      <c r="B387" s="11" t="s">
        <v>367</v>
      </c>
      <c r="C387" s="24" t="n">
        <v>45701</v>
      </c>
      <c r="D387" s="11" t="s">
        <v>45</v>
      </c>
      <c r="E387" s="11" t="s">
        <v>95</v>
      </c>
      <c r="F387" s="11" t="s">
        <v>78</v>
      </c>
      <c r="G387" s="11" t="s">
        <v>957</v>
      </c>
      <c r="H387" s="11" t="s">
        <v>23</v>
      </c>
      <c r="I387" s="11" t="s">
        <v>114</v>
      </c>
      <c r="J387" s="11" t="s">
        <v>242</v>
      </c>
      <c r="K387" s="11" t="n">
        <v>5</v>
      </c>
      <c r="L387" s="15" t="n">
        <v>1741.05</v>
      </c>
      <c r="M387" s="11" t="n">
        <v>5</v>
      </c>
      <c r="N387" s="15" t="n">
        <v>8705.25</v>
      </c>
      <c r="O387" s="15" t="n">
        <v>435.26</v>
      </c>
      <c r="P387" s="15" t="n">
        <v>8269.99</v>
      </c>
      <c r="Q387" s="15" t="n">
        <v>0</v>
      </c>
      <c r="R387" s="11" t="n">
        <v>0</v>
      </c>
      <c r="S387" s="15" t="n">
        <f aca="false">P387-Q387</f>
        <v>8269.99</v>
      </c>
      <c r="T387" s="11" t="n">
        <f aca="false">IF(OR(J387="Completed",J387="Returned"),1,0)</f>
        <v>1</v>
      </c>
    </row>
    <row r="388" customFormat="false" ht="15" hidden="false" customHeight="false" outlineLevel="0" collapsed="false">
      <c r="A388" s="11" t="s">
        <v>1282</v>
      </c>
      <c r="B388" s="11" t="s">
        <v>367</v>
      </c>
      <c r="C388" s="24" t="n">
        <v>45701</v>
      </c>
      <c r="D388" s="11" t="s">
        <v>45</v>
      </c>
      <c r="E388" s="11" t="s">
        <v>95</v>
      </c>
      <c r="F388" s="11" t="s">
        <v>78</v>
      </c>
      <c r="G388" s="11" t="s">
        <v>965</v>
      </c>
      <c r="H388" s="11" t="s">
        <v>23</v>
      </c>
      <c r="I388" s="11" t="s">
        <v>114</v>
      </c>
      <c r="J388" s="11" t="s">
        <v>242</v>
      </c>
      <c r="K388" s="11" t="n">
        <v>1</v>
      </c>
      <c r="L388" s="15" t="n">
        <v>4511.74</v>
      </c>
      <c r="M388" s="11" t="n">
        <v>15</v>
      </c>
      <c r="N388" s="15" t="n">
        <v>4511.74</v>
      </c>
      <c r="O388" s="15" t="n">
        <v>676.76</v>
      </c>
      <c r="P388" s="15" t="n">
        <v>3834.98</v>
      </c>
      <c r="Q388" s="15" t="n">
        <v>0</v>
      </c>
      <c r="R388" s="11" t="n">
        <v>0</v>
      </c>
      <c r="S388" s="15" t="n">
        <f aca="false">P388-Q388</f>
        <v>3834.98</v>
      </c>
      <c r="T388" s="11" t="n">
        <f aca="false">IF(OR(J388="Completed",J388="Returned"),1,0)</f>
        <v>1</v>
      </c>
    </row>
    <row r="389" customFormat="false" ht="15" hidden="false" customHeight="false" outlineLevel="0" collapsed="false">
      <c r="A389" s="11" t="s">
        <v>1283</v>
      </c>
      <c r="B389" s="11" t="s">
        <v>367</v>
      </c>
      <c r="C389" s="24" t="n">
        <v>45701</v>
      </c>
      <c r="D389" s="11" t="s">
        <v>45</v>
      </c>
      <c r="E389" s="11" t="s">
        <v>95</v>
      </c>
      <c r="F389" s="11" t="s">
        <v>78</v>
      </c>
      <c r="G389" s="11" t="s">
        <v>135</v>
      </c>
      <c r="H389" s="11" t="s">
        <v>22</v>
      </c>
      <c r="I389" s="11" t="s">
        <v>114</v>
      </c>
      <c r="J389" s="11" t="s">
        <v>242</v>
      </c>
      <c r="K389" s="11" t="n">
        <v>4</v>
      </c>
      <c r="L389" s="15" t="n">
        <v>22655.14</v>
      </c>
      <c r="M389" s="11" t="n">
        <v>0</v>
      </c>
      <c r="N389" s="15" t="n">
        <v>90620.56</v>
      </c>
      <c r="O389" s="15" t="n">
        <v>0</v>
      </c>
      <c r="P389" s="15" t="n">
        <v>90620.56</v>
      </c>
      <c r="Q389" s="15" t="n">
        <v>0</v>
      </c>
      <c r="R389" s="11" t="n">
        <v>0</v>
      </c>
      <c r="S389" s="15" t="n">
        <f aca="false">P389-Q389</f>
        <v>90620.56</v>
      </c>
      <c r="T389" s="11" t="n">
        <f aca="false">IF(OR(J389="Completed",J389="Returned"),1,0)</f>
        <v>1</v>
      </c>
    </row>
    <row r="390" customFormat="false" ht="15" hidden="false" customHeight="false" outlineLevel="0" collapsed="false">
      <c r="A390" s="11" t="s">
        <v>1284</v>
      </c>
      <c r="B390" s="11" t="s">
        <v>367</v>
      </c>
      <c r="C390" s="24" t="n">
        <v>45701</v>
      </c>
      <c r="D390" s="11" t="s">
        <v>45</v>
      </c>
      <c r="E390" s="11" t="s">
        <v>95</v>
      </c>
      <c r="F390" s="11" t="s">
        <v>78</v>
      </c>
      <c r="G390" s="11" t="s">
        <v>609</v>
      </c>
      <c r="H390" s="11" t="s">
        <v>20</v>
      </c>
      <c r="I390" s="11" t="s">
        <v>114</v>
      </c>
      <c r="J390" s="11" t="s">
        <v>242</v>
      </c>
      <c r="K390" s="11" t="n">
        <v>1</v>
      </c>
      <c r="L390" s="15" t="n">
        <v>10660.79</v>
      </c>
      <c r="M390" s="11" t="n">
        <v>0</v>
      </c>
      <c r="N390" s="15" t="n">
        <v>10660.79</v>
      </c>
      <c r="O390" s="15" t="n">
        <v>0</v>
      </c>
      <c r="P390" s="15" t="n">
        <v>10660.79</v>
      </c>
      <c r="Q390" s="15" t="n">
        <v>0</v>
      </c>
      <c r="R390" s="11" t="n">
        <v>0</v>
      </c>
      <c r="S390" s="15" t="n">
        <f aca="false">P390-Q390</f>
        <v>10660.79</v>
      </c>
      <c r="T390" s="11" t="n">
        <f aca="false">IF(OR(J390="Completed",J390="Returned"),1,0)</f>
        <v>1</v>
      </c>
    </row>
    <row r="391" customFormat="false" ht="15" hidden="false" customHeight="false" outlineLevel="0" collapsed="false">
      <c r="A391" s="11" t="s">
        <v>1285</v>
      </c>
      <c r="B391" s="11" t="s">
        <v>449</v>
      </c>
      <c r="C391" s="24" t="n">
        <v>45534</v>
      </c>
      <c r="D391" s="11" t="s">
        <v>39</v>
      </c>
      <c r="E391" s="11" t="s">
        <v>796</v>
      </c>
      <c r="F391" s="11" t="s">
        <v>82</v>
      </c>
      <c r="G391" s="11" t="s">
        <v>129</v>
      </c>
      <c r="H391" s="11" t="s">
        <v>24</v>
      </c>
      <c r="I391" s="11" t="s">
        <v>115</v>
      </c>
      <c r="J391" s="11" t="s">
        <v>269</v>
      </c>
      <c r="K391" s="11" t="n">
        <v>4</v>
      </c>
      <c r="L391" s="15" t="n">
        <v>3184.81</v>
      </c>
      <c r="M391" s="11" t="n">
        <v>20</v>
      </c>
      <c r="N391" s="15" t="n">
        <v>12739.24</v>
      </c>
      <c r="O391" s="15" t="n">
        <v>2547.85</v>
      </c>
      <c r="P391" s="15" t="n">
        <v>10191.39</v>
      </c>
      <c r="Q391" s="15" t="n">
        <v>0</v>
      </c>
      <c r="R391" s="11" t="n">
        <v>0</v>
      </c>
      <c r="S391" s="15" t="n">
        <f aca="false">P391-Q391</f>
        <v>10191.39</v>
      </c>
      <c r="T391" s="11" t="n">
        <f aca="false">IF(OR(J391="Completed",J391="Returned"),1,0)</f>
        <v>1</v>
      </c>
    </row>
    <row r="392" customFormat="false" ht="15" hidden="false" customHeight="false" outlineLevel="0" collapsed="false">
      <c r="A392" s="11" t="s">
        <v>1286</v>
      </c>
      <c r="B392" s="11" t="s">
        <v>449</v>
      </c>
      <c r="C392" s="24" t="n">
        <v>45534</v>
      </c>
      <c r="D392" s="11" t="s">
        <v>39</v>
      </c>
      <c r="E392" s="11" t="s">
        <v>796</v>
      </c>
      <c r="F392" s="11" t="s">
        <v>82</v>
      </c>
      <c r="G392" s="11" t="s">
        <v>127</v>
      </c>
      <c r="H392" s="11" t="s">
        <v>21</v>
      </c>
      <c r="I392" s="11" t="s">
        <v>115</v>
      </c>
      <c r="J392" s="11" t="s">
        <v>269</v>
      </c>
      <c r="K392" s="11" t="n">
        <v>2</v>
      </c>
      <c r="L392" s="15" t="n">
        <v>1398.86</v>
      </c>
      <c r="M392" s="11" t="n">
        <v>0</v>
      </c>
      <c r="N392" s="15" t="n">
        <v>2797.72</v>
      </c>
      <c r="O392" s="15" t="n">
        <v>0</v>
      </c>
      <c r="P392" s="15" t="n">
        <v>2797.72</v>
      </c>
      <c r="Q392" s="15" t="n">
        <v>0</v>
      </c>
      <c r="R392" s="11" t="n">
        <v>0</v>
      </c>
      <c r="S392" s="15" t="n">
        <f aca="false">P392-Q392</f>
        <v>2797.72</v>
      </c>
      <c r="T392" s="11" t="n">
        <f aca="false">IF(OR(J392="Completed",J392="Returned"),1,0)</f>
        <v>1</v>
      </c>
    </row>
    <row r="393" customFormat="false" ht="15" hidden="false" customHeight="false" outlineLevel="0" collapsed="false">
      <c r="A393" s="11" t="s">
        <v>1287</v>
      </c>
      <c r="B393" s="11" t="s">
        <v>449</v>
      </c>
      <c r="C393" s="24" t="n">
        <v>45534</v>
      </c>
      <c r="D393" s="11" t="s">
        <v>39</v>
      </c>
      <c r="E393" s="11" t="s">
        <v>796</v>
      </c>
      <c r="F393" s="11" t="s">
        <v>82</v>
      </c>
      <c r="G393" s="11" t="s">
        <v>609</v>
      </c>
      <c r="H393" s="11" t="s">
        <v>20</v>
      </c>
      <c r="I393" s="11" t="s">
        <v>115</v>
      </c>
      <c r="J393" s="11" t="s">
        <v>269</v>
      </c>
      <c r="K393" s="11" t="n">
        <v>5</v>
      </c>
      <c r="L393" s="15" t="n">
        <v>10660.79</v>
      </c>
      <c r="M393" s="11" t="n">
        <v>5</v>
      </c>
      <c r="N393" s="15" t="n">
        <v>53303.95</v>
      </c>
      <c r="O393" s="15" t="n">
        <v>2665.2</v>
      </c>
      <c r="P393" s="15" t="n">
        <v>50638.75</v>
      </c>
      <c r="Q393" s="15" t="n">
        <v>0</v>
      </c>
      <c r="R393" s="11" t="n">
        <v>0</v>
      </c>
      <c r="S393" s="15" t="n">
        <f aca="false">P393-Q393</f>
        <v>50638.75</v>
      </c>
      <c r="T393" s="11" t="n">
        <f aca="false">IF(OR(J393="Completed",J393="Returned"),1,0)</f>
        <v>1</v>
      </c>
    </row>
    <row r="394" customFormat="false" ht="15" hidden="false" customHeight="false" outlineLevel="0" collapsed="false">
      <c r="A394" s="11" t="s">
        <v>1288</v>
      </c>
      <c r="B394" s="11" t="s">
        <v>449</v>
      </c>
      <c r="C394" s="24" t="n">
        <v>45534</v>
      </c>
      <c r="D394" s="11" t="s">
        <v>39</v>
      </c>
      <c r="E394" s="11" t="s">
        <v>796</v>
      </c>
      <c r="F394" s="11" t="s">
        <v>82</v>
      </c>
      <c r="G394" s="11" t="s">
        <v>778</v>
      </c>
      <c r="H394" s="11" t="s">
        <v>24</v>
      </c>
      <c r="I394" s="11" t="s">
        <v>115</v>
      </c>
      <c r="J394" s="11" t="s">
        <v>269</v>
      </c>
      <c r="K394" s="11" t="n">
        <v>1</v>
      </c>
      <c r="L394" s="15" t="n">
        <v>4516.1</v>
      </c>
      <c r="M394" s="11" t="n">
        <v>0</v>
      </c>
      <c r="N394" s="15" t="n">
        <v>4516.1</v>
      </c>
      <c r="O394" s="15" t="n">
        <v>0</v>
      </c>
      <c r="P394" s="15" t="n">
        <v>4516.1</v>
      </c>
      <c r="Q394" s="15" t="n">
        <v>0</v>
      </c>
      <c r="R394" s="11" t="n">
        <v>0</v>
      </c>
      <c r="S394" s="15" t="n">
        <f aca="false">P394-Q394</f>
        <v>4516.1</v>
      </c>
      <c r="T394" s="11" t="n">
        <f aca="false">IF(OR(J394="Completed",J394="Returned"),1,0)</f>
        <v>1</v>
      </c>
    </row>
    <row r="395" customFormat="false" ht="15" hidden="false" customHeight="false" outlineLevel="0" collapsed="false">
      <c r="A395" s="11" t="s">
        <v>1289</v>
      </c>
      <c r="B395" s="11" t="s">
        <v>411</v>
      </c>
      <c r="C395" s="24" t="n">
        <v>45533</v>
      </c>
      <c r="D395" s="11" t="s">
        <v>39</v>
      </c>
      <c r="E395" s="11" t="s">
        <v>975</v>
      </c>
      <c r="F395" s="11" t="s">
        <v>78</v>
      </c>
      <c r="G395" s="11" t="s">
        <v>803</v>
      </c>
      <c r="H395" s="11" t="s">
        <v>25</v>
      </c>
      <c r="I395" s="11" t="s">
        <v>115</v>
      </c>
      <c r="J395" s="11" t="s">
        <v>242</v>
      </c>
      <c r="K395" s="11" t="n">
        <v>4</v>
      </c>
      <c r="L395" s="15" t="n">
        <v>8493.72</v>
      </c>
      <c r="M395" s="11" t="n">
        <v>10</v>
      </c>
      <c r="N395" s="15" t="n">
        <v>33974.88</v>
      </c>
      <c r="O395" s="15" t="n">
        <v>3397.49</v>
      </c>
      <c r="P395" s="15" t="n">
        <v>30577.39</v>
      </c>
      <c r="Q395" s="15" t="n">
        <v>0</v>
      </c>
      <c r="R395" s="11" t="n">
        <v>0</v>
      </c>
      <c r="S395" s="15" t="n">
        <f aca="false">P395-Q395</f>
        <v>30577.39</v>
      </c>
      <c r="T395" s="11" t="n">
        <f aca="false">IF(OR(J395="Completed",J395="Returned"),1,0)</f>
        <v>1</v>
      </c>
    </row>
    <row r="396" customFormat="false" ht="15" hidden="false" customHeight="false" outlineLevel="0" collapsed="false">
      <c r="A396" s="11" t="s">
        <v>1290</v>
      </c>
      <c r="B396" s="11" t="s">
        <v>411</v>
      </c>
      <c r="C396" s="24" t="n">
        <v>45533</v>
      </c>
      <c r="D396" s="11" t="s">
        <v>39</v>
      </c>
      <c r="E396" s="11" t="s">
        <v>975</v>
      </c>
      <c r="F396" s="11" t="s">
        <v>78</v>
      </c>
      <c r="G396" s="11" t="s">
        <v>152</v>
      </c>
      <c r="H396" s="11" t="s">
        <v>23</v>
      </c>
      <c r="I396" s="11" t="s">
        <v>115</v>
      </c>
      <c r="J396" s="11" t="s">
        <v>242</v>
      </c>
      <c r="K396" s="11" t="n">
        <v>5</v>
      </c>
      <c r="L396" s="15" t="n">
        <v>9953.59</v>
      </c>
      <c r="M396" s="11" t="n">
        <v>20</v>
      </c>
      <c r="N396" s="15" t="n">
        <v>49767.95</v>
      </c>
      <c r="O396" s="15" t="n">
        <v>9953.59</v>
      </c>
      <c r="P396" s="15" t="n">
        <v>39814.36</v>
      </c>
      <c r="Q396" s="15" t="n">
        <v>0</v>
      </c>
      <c r="R396" s="11" t="n">
        <v>0</v>
      </c>
      <c r="S396" s="15" t="n">
        <f aca="false">P396-Q396</f>
        <v>39814.36</v>
      </c>
      <c r="T396" s="11" t="n">
        <f aca="false">IF(OR(J396="Completed",J396="Returned"),1,0)</f>
        <v>1</v>
      </c>
    </row>
    <row r="397" customFormat="false" ht="15" hidden="false" customHeight="false" outlineLevel="0" collapsed="false">
      <c r="A397" s="11" t="s">
        <v>1291</v>
      </c>
      <c r="B397" s="11" t="s">
        <v>411</v>
      </c>
      <c r="C397" s="24" t="n">
        <v>45533</v>
      </c>
      <c r="D397" s="11" t="s">
        <v>39</v>
      </c>
      <c r="E397" s="11" t="s">
        <v>975</v>
      </c>
      <c r="F397" s="11" t="s">
        <v>78</v>
      </c>
      <c r="G397" s="11" t="s">
        <v>1054</v>
      </c>
      <c r="H397" s="11" t="s">
        <v>21</v>
      </c>
      <c r="I397" s="11" t="s">
        <v>115</v>
      </c>
      <c r="J397" s="11" t="s">
        <v>242</v>
      </c>
      <c r="K397" s="11" t="n">
        <v>5</v>
      </c>
      <c r="L397" s="15" t="n">
        <v>19632.52</v>
      </c>
      <c r="M397" s="11" t="n">
        <v>5</v>
      </c>
      <c r="N397" s="15" t="n">
        <v>98162.6</v>
      </c>
      <c r="O397" s="15" t="n">
        <v>4908.13</v>
      </c>
      <c r="P397" s="15" t="n">
        <v>93254.47</v>
      </c>
      <c r="Q397" s="15" t="n">
        <v>0</v>
      </c>
      <c r="R397" s="11" t="n">
        <v>0</v>
      </c>
      <c r="S397" s="15" t="n">
        <f aca="false">P397-Q397</f>
        <v>93254.47</v>
      </c>
      <c r="T397" s="11" t="n">
        <f aca="false">IF(OR(J397="Completed",J397="Returned"),1,0)</f>
        <v>1</v>
      </c>
    </row>
    <row r="398" customFormat="false" ht="15" hidden="false" customHeight="false" outlineLevel="0" collapsed="false">
      <c r="A398" s="11" t="s">
        <v>1292</v>
      </c>
      <c r="B398" s="11" t="s">
        <v>411</v>
      </c>
      <c r="C398" s="24" t="n">
        <v>45533</v>
      </c>
      <c r="D398" s="11" t="s">
        <v>39</v>
      </c>
      <c r="E398" s="11" t="s">
        <v>975</v>
      </c>
      <c r="F398" s="11" t="s">
        <v>78</v>
      </c>
      <c r="G398" s="11" t="s">
        <v>603</v>
      </c>
      <c r="H398" s="11" t="s">
        <v>23</v>
      </c>
      <c r="I398" s="11" t="s">
        <v>115</v>
      </c>
      <c r="J398" s="11" t="s">
        <v>242</v>
      </c>
      <c r="K398" s="11" t="n">
        <v>1</v>
      </c>
      <c r="L398" s="15" t="n">
        <v>15622.68</v>
      </c>
      <c r="M398" s="11" t="n">
        <v>0</v>
      </c>
      <c r="N398" s="15" t="n">
        <v>15622.68</v>
      </c>
      <c r="O398" s="15" t="n">
        <v>0</v>
      </c>
      <c r="P398" s="15" t="n">
        <v>15622.68</v>
      </c>
      <c r="Q398" s="15" t="n">
        <v>0</v>
      </c>
      <c r="R398" s="11" t="n">
        <v>0</v>
      </c>
      <c r="S398" s="15" t="n">
        <f aca="false">P398-Q398</f>
        <v>15622.68</v>
      </c>
      <c r="T398" s="11" t="n">
        <f aca="false">IF(OR(J398="Completed",J398="Returned"),1,0)</f>
        <v>1</v>
      </c>
    </row>
    <row r="399" customFormat="false" ht="15" hidden="false" customHeight="false" outlineLevel="0" collapsed="false">
      <c r="A399" s="11" t="s">
        <v>1293</v>
      </c>
      <c r="B399" s="11" t="s">
        <v>400</v>
      </c>
      <c r="C399" s="24" t="n">
        <v>45492</v>
      </c>
      <c r="D399" s="11" t="s">
        <v>38</v>
      </c>
      <c r="E399" s="11" t="s">
        <v>829</v>
      </c>
      <c r="F399" s="11" t="s">
        <v>70</v>
      </c>
      <c r="G399" s="11" t="s">
        <v>131</v>
      </c>
      <c r="H399" s="11" t="s">
        <v>22</v>
      </c>
      <c r="I399" s="11" t="s">
        <v>115</v>
      </c>
      <c r="J399" s="11" t="s">
        <v>242</v>
      </c>
      <c r="K399" s="11" t="n">
        <v>1</v>
      </c>
      <c r="L399" s="15" t="n">
        <v>11284.39</v>
      </c>
      <c r="M399" s="11" t="n">
        <v>20</v>
      </c>
      <c r="N399" s="15" t="n">
        <v>11284.39</v>
      </c>
      <c r="O399" s="15" t="n">
        <v>2256.88</v>
      </c>
      <c r="P399" s="15" t="n">
        <v>9027.51</v>
      </c>
      <c r="Q399" s="15" t="n">
        <v>0</v>
      </c>
      <c r="R399" s="11" t="n">
        <v>0</v>
      </c>
      <c r="S399" s="15" t="n">
        <f aca="false">P399-Q399</f>
        <v>9027.51</v>
      </c>
      <c r="T399" s="11" t="n">
        <f aca="false">IF(OR(J399="Completed",J399="Returned"),1,0)</f>
        <v>1</v>
      </c>
    </row>
    <row r="400" customFormat="false" ht="15" hidden="false" customHeight="false" outlineLevel="0" collapsed="false">
      <c r="A400" s="11" t="s">
        <v>1294</v>
      </c>
      <c r="B400" s="11" t="s">
        <v>400</v>
      </c>
      <c r="C400" s="24" t="n">
        <v>45492</v>
      </c>
      <c r="D400" s="11" t="s">
        <v>38</v>
      </c>
      <c r="E400" s="11" t="s">
        <v>829</v>
      </c>
      <c r="F400" s="11" t="s">
        <v>70</v>
      </c>
      <c r="G400" s="11" t="s">
        <v>143</v>
      </c>
      <c r="H400" s="11" t="s">
        <v>23</v>
      </c>
      <c r="I400" s="11" t="s">
        <v>115</v>
      </c>
      <c r="J400" s="11" t="s">
        <v>242</v>
      </c>
      <c r="K400" s="11" t="n">
        <v>2</v>
      </c>
      <c r="L400" s="15" t="n">
        <v>8318.56</v>
      </c>
      <c r="M400" s="11" t="n">
        <v>10</v>
      </c>
      <c r="N400" s="15" t="n">
        <v>16637.12</v>
      </c>
      <c r="O400" s="15" t="n">
        <v>1663.71</v>
      </c>
      <c r="P400" s="15" t="n">
        <v>14973.41</v>
      </c>
      <c r="Q400" s="15" t="n">
        <v>0</v>
      </c>
      <c r="R400" s="11" t="n">
        <v>0</v>
      </c>
      <c r="S400" s="15" t="n">
        <f aca="false">P400-Q400</f>
        <v>14973.41</v>
      </c>
      <c r="T400" s="11" t="n">
        <f aca="false">IF(OR(J400="Completed",J400="Returned"),1,0)</f>
        <v>1</v>
      </c>
    </row>
    <row r="401" customFormat="false" ht="15" hidden="false" customHeight="false" outlineLevel="0" collapsed="false">
      <c r="A401" s="11" t="s">
        <v>1295</v>
      </c>
      <c r="B401" s="11" t="s">
        <v>557</v>
      </c>
      <c r="C401" s="24" t="n">
        <v>45622</v>
      </c>
      <c r="D401" s="11" t="s">
        <v>42</v>
      </c>
      <c r="E401" s="11" t="s">
        <v>790</v>
      </c>
      <c r="F401" s="11" t="s">
        <v>78</v>
      </c>
      <c r="G401" s="11" t="s">
        <v>907</v>
      </c>
      <c r="H401" s="11" t="s">
        <v>22</v>
      </c>
      <c r="I401" s="11" t="s">
        <v>114</v>
      </c>
      <c r="J401" s="11" t="s">
        <v>246</v>
      </c>
      <c r="K401" s="11" t="n">
        <v>5</v>
      </c>
      <c r="L401" s="15" t="n">
        <v>25643.17</v>
      </c>
      <c r="M401" s="11" t="n">
        <v>0</v>
      </c>
      <c r="N401" s="15" t="n">
        <v>128215.85</v>
      </c>
      <c r="O401" s="15" t="n">
        <v>0</v>
      </c>
      <c r="P401" s="15" t="n">
        <v>128215.85</v>
      </c>
      <c r="Q401" s="15" t="n">
        <v>0</v>
      </c>
      <c r="R401" s="11" t="n">
        <v>0</v>
      </c>
      <c r="S401" s="15" t="n">
        <f aca="false">P401-Q401</f>
        <v>128215.85</v>
      </c>
      <c r="T401" s="11" t="n">
        <f aca="false">IF(OR(J401="Completed",J401="Returned"),1,0)</f>
        <v>0</v>
      </c>
    </row>
    <row r="402" customFormat="false" ht="15" hidden="false" customHeight="false" outlineLevel="0" collapsed="false">
      <c r="A402" s="11" t="s">
        <v>1296</v>
      </c>
      <c r="B402" s="11" t="s">
        <v>557</v>
      </c>
      <c r="C402" s="24" t="n">
        <v>45622</v>
      </c>
      <c r="D402" s="11" t="s">
        <v>42</v>
      </c>
      <c r="E402" s="11" t="s">
        <v>790</v>
      </c>
      <c r="F402" s="11" t="s">
        <v>78</v>
      </c>
      <c r="G402" s="11" t="s">
        <v>630</v>
      </c>
      <c r="H402" s="11" t="s">
        <v>23</v>
      </c>
      <c r="I402" s="11" t="s">
        <v>114</v>
      </c>
      <c r="J402" s="11" t="s">
        <v>246</v>
      </c>
      <c r="K402" s="11" t="n">
        <v>4</v>
      </c>
      <c r="L402" s="15" t="n">
        <v>18828.5</v>
      </c>
      <c r="M402" s="11" t="n">
        <v>0</v>
      </c>
      <c r="N402" s="15" t="n">
        <v>75314</v>
      </c>
      <c r="O402" s="15" t="n">
        <v>0</v>
      </c>
      <c r="P402" s="15" t="n">
        <v>75314</v>
      </c>
      <c r="Q402" s="15" t="n">
        <v>0</v>
      </c>
      <c r="R402" s="11" t="n">
        <v>0</v>
      </c>
      <c r="S402" s="15" t="n">
        <f aca="false">P402-Q402</f>
        <v>75314</v>
      </c>
      <c r="T402" s="11" t="n">
        <f aca="false">IF(OR(J402="Completed",J402="Returned"),1,0)</f>
        <v>0</v>
      </c>
    </row>
    <row r="403" customFormat="false" ht="15" hidden="false" customHeight="false" outlineLevel="0" collapsed="false">
      <c r="A403" s="11" t="s">
        <v>1297</v>
      </c>
      <c r="B403" s="11" t="s">
        <v>268</v>
      </c>
      <c r="C403" s="24" t="n">
        <v>45902</v>
      </c>
      <c r="D403" s="11" t="s">
        <v>52</v>
      </c>
      <c r="E403" s="11" t="s">
        <v>917</v>
      </c>
      <c r="F403" s="11" t="s">
        <v>78</v>
      </c>
      <c r="G403" s="11" t="s">
        <v>162</v>
      </c>
      <c r="H403" s="11" t="s">
        <v>20</v>
      </c>
      <c r="I403" s="11" t="s">
        <v>113</v>
      </c>
      <c r="J403" s="11" t="s">
        <v>269</v>
      </c>
      <c r="K403" s="11" t="n">
        <v>2</v>
      </c>
      <c r="L403" s="15" t="n">
        <v>16084.14</v>
      </c>
      <c r="M403" s="11" t="n">
        <v>0</v>
      </c>
      <c r="N403" s="15" t="n">
        <v>32168.28</v>
      </c>
      <c r="O403" s="15" t="n">
        <v>0</v>
      </c>
      <c r="P403" s="15" t="n">
        <v>32168.28</v>
      </c>
      <c r="Q403" s="15" t="n">
        <v>0</v>
      </c>
      <c r="R403" s="11" t="n">
        <v>0</v>
      </c>
      <c r="S403" s="15" t="n">
        <f aca="false">P403-Q403</f>
        <v>32168.28</v>
      </c>
      <c r="T403" s="11" t="n">
        <f aca="false">IF(OR(J403="Completed",J403="Returned"),1,0)</f>
        <v>1</v>
      </c>
    </row>
    <row r="404" customFormat="false" ht="15" hidden="false" customHeight="false" outlineLevel="0" collapsed="false">
      <c r="A404" s="11" t="s">
        <v>1298</v>
      </c>
      <c r="B404" s="11" t="s">
        <v>268</v>
      </c>
      <c r="C404" s="24" t="n">
        <v>45902</v>
      </c>
      <c r="D404" s="11" t="s">
        <v>52</v>
      </c>
      <c r="E404" s="11" t="s">
        <v>917</v>
      </c>
      <c r="F404" s="11" t="s">
        <v>78</v>
      </c>
      <c r="G404" s="11" t="s">
        <v>160</v>
      </c>
      <c r="H404" s="11" t="s">
        <v>23</v>
      </c>
      <c r="I404" s="11" t="s">
        <v>113</v>
      </c>
      <c r="J404" s="11" t="s">
        <v>269</v>
      </c>
      <c r="K404" s="11" t="n">
        <v>4</v>
      </c>
      <c r="L404" s="15" t="n">
        <v>21122.18</v>
      </c>
      <c r="M404" s="11" t="n">
        <v>0</v>
      </c>
      <c r="N404" s="15" t="n">
        <v>84488.72</v>
      </c>
      <c r="O404" s="15" t="n">
        <v>0</v>
      </c>
      <c r="P404" s="15" t="n">
        <v>84488.72</v>
      </c>
      <c r="Q404" s="15" t="n">
        <v>0</v>
      </c>
      <c r="R404" s="11" t="n">
        <v>0</v>
      </c>
      <c r="S404" s="15" t="n">
        <f aca="false">P404-Q404</f>
        <v>84488.72</v>
      </c>
      <c r="T404" s="11" t="n">
        <f aca="false">IF(OR(J404="Completed",J404="Returned"),1,0)</f>
        <v>1</v>
      </c>
    </row>
    <row r="405" customFormat="false" ht="15" hidden="false" customHeight="false" outlineLevel="0" collapsed="false">
      <c r="A405" s="11" t="s">
        <v>1299</v>
      </c>
      <c r="B405" s="11" t="s">
        <v>268</v>
      </c>
      <c r="C405" s="24" t="n">
        <v>45902</v>
      </c>
      <c r="D405" s="11" t="s">
        <v>52</v>
      </c>
      <c r="E405" s="11" t="s">
        <v>917</v>
      </c>
      <c r="F405" s="11" t="s">
        <v>78</v>
      </c>
      <c r="G405" s="11" t="s">
        <v>127</v>
      </c>
      <c r="H405" s="11" t="s">
        <v>21</v>
      </c>
      <c r="I405" s="11" t="s">
        <v>113</v>
      </c>
      <c r="J405" s="11" t="s">
        <v>269</v>
      </c>
      <c r="K405" s="11" t="n">
        <v>5</v>
      </c>
      <c r="L405" s="15" t="n">
        <v>1086.56</v>
      </c>
      <c r="M405" s="11" t="n">
        <v>10</v>
      </c>
      <c r="N405" s="15" t="n">
        <v>5432.8</v>
      </c>
      <c r="O405" s="15" t="n">
        <v>543.28</v>
      </c>
      <c r="P405" s="15" t="n">
        <v>4889.52</v>
      </c>
      <c r="Q405" s="15" t="n">
        <v>0</v>
      </c>
      <c r="R405" s="11" t="n">
        <v>0</v>
      </c>
      <c r="S405" s="15" t="n">
        <f aca="false">P405-Q405</f>
        <v>4889.52</v>
      </c>
      <c r="T405" s="11" t="n">
        <f aca="false">IF(OR(J405="Completed",J405="Returned"),1,0)</f>
        <v>1</v>
      </c>
    </row>
    <row r="406" customFormat="false" ht="15" hidden="false" customHeight="false" outlineLevel="0" collapsed="false">
      <c r="A406" s="11" t="s">
        <v>1300</v>
      </c>
      <c r="B406" s="11" t="s">
        <v>268</v>
      </c>
      <c r="C406" s="24" t="n">
        <v>45902</v>
      </c>
      <c r="D406" s="11" t="s">
        <v>52</v>
      </c>
      <c r="E406" s="11" t="s">
        <v>917</v>
      </c>
      <c r="F406" s="11" t="s">
        <v>78</v>
      </c>
      <c r="G406" s="11" t="s">
        <v>835</v>
      </c>
      <c r="H406" s="11" t="s">
        <v>22</v>
      </c>
      <c r="I406" s="11" t="s">
        <v>113</v>
      </c>
      <c r="J406" s="11" t="s">
        <v>269</v>
      </c>
      <c r="K406" s="11" t="n">
        <v>1</v>
      </c>
      <c r="L406" s="15" t="n">
        <v>22572.25</v>
      </c>
      <c r="M406" s="11" t="n">
        <v>20</v>
      </c>
      <c r="N406" s="15" t="n">
        <v>22572.25</v>
      </c>
      <c r="O406" s="15" t="n">
        <v>4514.45</v>
      </c>
      <c r="P406" s="15" t="n">
        <v>18057.8</v>
      </c>
      <c r="Q406" s="15" t="n">
        <v>0</v>
      </c>
      <c r="R406" s="11" t="n">
        <v>0</v>
      </c>
      <c r="S406" s="15" t="n">
        <f aca="false">P406-Q406</f>
        <v>18057.8</v>
      </c>
      <c r="T406" s="11" t="n">
        <f aca="false">IF(OR(J406="Completed",J406="Returned"),1,0)</f>
        <v>1</v>
      </c>
    </row>
    <row r="407" customFormat="false" ht="15" hidden="false" customHeight="false" outlineLevel="0" collapsed="false">
      <c r="A407" s="11" t="s">
        <v>1301</v>
      </c>
      <c r="B407" s="11" t="s">
        <v>284</v>
      </c>
      <c r="C407" s="24" t="n">
        <v>45676</v>
      </c>
      <c r="D407" s="11" t="s">
        <v>44</v>
      </c>
      <c r="E407" s="11" t="s">
        <v>856</v>
      </c>
      <c r="F407" s="11" t="s">
        <v>70</v>
      </c>
      <c r="G407" s="11" t="s">
        <v>641</v>
      </c>
      <c r="H407" s="11" t="s">
        <v>24</v>
      </c>
      <c r="I407" s="11" t="s">
        <v>113</v>
      </c>
      <c r="J407" s="11" t="s">
        <v>242</v>
      </c>
      <c r="K407" s="11" t="n">
        <v>5</v>
      </c>
      <c r="L407" s="15" t="n">
        <v>7313.65</v>
      </c>
      <c r="M407" s="11" t="n">
        <v>15</v>
      </c>
      <c r="N407" s="15" t="n">
        <v>36568.25</v>
      </c>
      <c r="O407" s="15" t="n">
        <v>5485.24</v>
      </c>
      <c r="P407" s="15" t="n">
        <v>31083.01</v>
      </c>
      <c r="Q407" s="15" t="n">
        <v>0</v>
      </c>
      <c r="R407" s="11" t="n">
        <v>0</v>
      </c>
      <c r="S407" s="15" t="n">
        <f aca="false">P407-Q407</f>
        <v>31083.01</v>
      </c>
      <c r="T407" s="11" t="n">
        <f aca="false">IF(OR(J407="Completed",J407="Returned"),1,0)</f>
        <v>1</v>
      </c>
    </row>
    <row r="408" customFormat="false" ht="15" hidden="false" customHeight="false" outlineLevel="0" collapsed="false">
      <c r="A408" s="11" t="s">
        <v>1302</v>
      </c>
      <c r="B408" s="11" t="s">
        <v>284</v>
      </c>
      <c r="C408" s="24" t="n">
        <v>45676</v>
      </c>
      <c r="D408" s="11" t="s">
        <v>44</v>
      </c>
      <c r="E408" s="11" t="s">
        <v>856</v>
      </c>
      <c r="F408" s="11" t="s">
        <v>70</v>
      </c>
      <c r="G408" s="11" t="s">
        <v>970</v>
      </c>
      <c r="H408" s="11" t="s">
        <v>20</v>
      </c>
      <c r="I408" s="11" t="s">
        <v>113</v>
      </c>
      <c r="J408" s="11" t="s">
        <v>242</v>
      </c>
      <c r="K408" s="11" t="n">
        <v>4</v>
      </c>
      <c r="L408" s="15" t="n">
        <v>15383.27</v>
      </c>
      <c r="M408" s="11" t="n">
        <v>10</v>
      </c>
      <c r="N408" s="15" t="n">
        <v>61533.08</v>
      </c>
      <c r="O408" s="15" t="n">
        <v>6153.31</v>
      </c>
      <c r="P408" s="15" t="n">
        <v>55379.77</v>
      </c>
      <c r="Q408" s="15" t="n">
        <v>0</v>
      </c>
      <c r="R408" s="11" t="n">
        <v>0</v>
      </c>
      <c r="S408" s="15" t="n">
        <f aca="false">P408-Q408</f>
        <v>55379.77</v>
      </c>
      <c r="T408" s="11" t="n">
        <f aca="false">IF(OR(J408="Completed",J408="Returned"),1,0)</f>
        <v>1</v>
      </c>
    </row>
    <row r="409" customFormat="false" ht="15" hidden="false" customHeight="false" outlineLevel="0" collapsed="false">
      <c r="A409" s="11" t="s">
        <v>1303</v>
      </c>
      <c r="B409" s="11" t="s">
        <v>284</v>
      </c>
      <c r="C409" s="24" t="n">
        <v>45676</v>
      </c>
      <c r="D409" s="11" t="s">
        <v>44</v>
      </c>
      <c r="E409" s="11" t="s">
        <v>856</v>
      </c>
      <c r="F409" s="11" t="s">
        <v>70</v>
      </c>
      <c r="G409" s="11" t="s">
        <v>635</v>
      </c>
      <c r="H409" s="11" t="s">
        <v>22</v>
      </c>
      <c r="I409" s="11" t="s">
        <v>113</v>
      </c>
      <c r="J409" s="11" t="s">
        <v>242</v>
      </c>
      <c r="K409" s="11" t="n">
        <v>5</v>
      </c>
      <c r="L409" s="15" t="n">
        <v>7877.61</v>
      </c>
      <c r="M409" s="11" t="n">
        <v>20</v>
      </c>
      <c r="N409" s="15" t="n">
        <v>39388.05</v>
      </c>
      <c r="O409" s="15" t="n">
        <v>7877.61</v>
      </c>
      <c r="P409" s="15" t="n">
        <v>31510.44</v>
      </c>
      <c r="Q409" s="15" t="n">
        <v>0</v>
      </c>
      <c r="R409" s="11" t="n">
        <v>0</v>
      </c>
      <c r="S409" s="15" t="n">
        <f aca="false">P409-Q409</f>
        <v>31510.44</v>
      </c>
      <c r="T409" s="11" t="n">
        <f aca="false">IF(OR(J409="Completed",J409="Returned"),1,0)</f>
        <v>1</v>
      </c>
    </row>
    <row r="410" customFormat="false" ht="15" hidden="false" customHeight="false" outlineLevel="0" collapsed="false">
      <c r="A410" s="11" t="s">
        <v>1304</v>
      </c>
      <c r="B410" s="11" t="s">
        <v>284</v>
      </c>
      <c r="C410" s="24" t="n">
        <v>45676</v>
      </c>
      <c r="D410" s="11" t="s">
        <v>44</v>
      </c>
      <c r="E410" s="11" t="s">
        <v>856</v>
      </c>
      <c r="F410" s="11" t="s">
        <v>70</v>
      </c>
      <c r="G410" s="11" t="s">
        <v>1054</v>
      </c>
      <c r="H410" s="11" t="s">
        <v>21</v>
      </c>
      <c r="I410" s="11" t="s">
        <v>113</v>
      </c>
      <c r="J410" s="11" t="s">
        <v>242</v>
      </c>
      <c r="K410" s="11" t="n">
        <v>1</v>
      </c>
      <c r="L410" s="15" t="n">
        <v>19632.52</v>
      </c>
      <c r="M410" s="11" t="n">
        <v>15</v>
      </c>
      <c r="N410" s="15" t="n">
        <v>19632.52</v>
      </c>
      <c r="O410" s="15" t="n">
        <v>2944.88</v>
      </c>
      <c r="P410" s="15" t="n">
        <v>16687.64</v>
      </c>
      <c r="Q410" s="15" t="n">
        <v>0</v>
      </c>
      <c r="R410" s="11" t="n">
        <v>0</v>
      </c>
      <c r="S410" s="15" t="n">
        <f aca="false">P410-Q410</f>
        <v>16687.64</v>
      </c>
      <c r="T410" s="11" t="n">
        <f aca="false">IF(OR(J410="Completed",J410="Returned"),1,0)</f>
        <v>1</v>
      </c>
    </row>
    <row r="411" customFormat="false" ht="15" hidden="false" customHeight="false" outlineLevel="0" collapsed="false">
      <c r="A411" s="11" t="s">
        <v>1305</v>
      </c>
      <c r="B411" s="11" t="s">
        <v>407</v>
      </c>
      <c r="C411" s="24" t="n">
        <v>45610</v>
      </c>
      <c r="D411" s="11" t="s">
        <v>42</v>
      </c>
      <c r="E411" s="11" t="s">
        <v>972</v>
      </c>
      <c r="F411" s="11" t="s">
        <v>78</v>
      </c>
      <c r="G411" s="11" t="s">
        <v>162</v>
      </c>
      <c r="H411" s="11" t="s">
        <v>20</v>
      </c>
      <c r="I411" s="11" t="s">
        <v>113</v>
      </c>
      <c r="J411" s="11" t="s">
        <v>242</v>
      </c>
      <c r="K411" s="11" t="n">
        <v>5</v>
      </c>
      <c r="L411" s="15" t="n">
        <v>16084.14</v>
      </c>
      <c r="M411" s="11" t="n">
        <v>0</v>
      </c>
      <c r="N411" s="15" t="n">
        <v>80420.7</v>
      </c>
      <c r="O411" s="15" t="n">
        <v>0</v>
      </c>
      <c r="P411" s="15" t="n">
        <v>80420.7</v>
      </c>
      <c r="Q411" s="15" t="n">
        <v>0</v>
      </c>
      <c r="R411" s="11" t="n">
        <v>0</v>
      </c>
      <c r="S411" s="15" t="n">
        <f aca="false">P411-Q411</f>
        <v>80420.7</v>
      </c>
      <c r="T411" s="11" t="n">
        <f aca="false">IF(OR(J411="Completed",J411="Returned"),1,0)</f>
        <v>1</v>
      </c>
    </row>
    <row r="412" customFormat="false" ht="15" hidden="false" customHeight="false" outlineLevel="0" collapsed="false">
      <c r="A412" s="11" t="s">
        <v>1306</v>
      </c>
      <c r="B412" s="11" t="s">
        <v>466</v>
      </c>
      <c r="C412" s="24" t="n">
        <v>45557</v>
      </c>
      <c r="D412" s="11" t="s">
        <v>40</v>
      </c>
      <c r="E412" s="11" t="s">
        <v>1307</v>
      </c>
      <c r="F412" s="11" t="s">
        <v>70</v>
      </c>
      <c r="G412" s="11" t="s">
        <v>641</v>
      </c>
      <c r="H412" s="11" t="s">
        <v>24</v>
      </c>
      <c r="I412" s="11" t="s">
        <v>114</v>
      </c>
      <c r="J412" s="11" t="s">
        <v>269</v>
      </c>
      <c r="K412" s="11" t="n">
        <v>1</v>
      </c>
      <c r="L412" s="15" t="n">
        <v>7313.65</v>
      </c>
      <c r="M412" s="11" t="n">
        <v>10</v>
      </c>
      <c r="N412" s="15" t="n">
        <v>7313.65</v>
      </c>
      <c r="O412" s="15" t="n">
        <v>731.36</v>
      </c>
      <c r="P412" s="15" t="n">
        <v>6582.29</v>
      </c>
      <c r="Q412" s="15" t="n">
        <v>0</v>
      </c>
      <c r="R412" s="11" t="n">
        <v>0</v>
      </c>
      <c r="S412" s="15" t="n">
        <f aca="false">P412-Q412</f>
        <v>6582.29</v>
      </c>
      <c r="T412" s="11" t="n">
        <f aca="false">IF(OR(J412="Completed",J412="Returned"),1,0)</f>
        <v>1</v>
      </c>
    </row>
    <row r="413" customFormat="false" ht="15" hidden="false" customHeight="false" outlineLevel="0" collapsed="false">
      <c r="A413" s="11" t="s">
        <v>1308</v>
      </c>
      <c r="B413" s="11" t="s">
        <v>466</v>
      </c>
      <c r="C413" s="24" t="n">
        <v>45557</v>
      </c>
      <c r="D413" s="11" t="s">
        <v>40</v>
      </c>
      <c r="E413" s="11" t="s">
        <v>1307</v>
      </c>
      <c r="F413" s="11" t="s">
        <v>70</v>
      </c>
      <c r="G413" s="11" t="s">
        <v>939</v>
      </c>
      <c r="H413" s="11" t="s">
        <v>21</v>
      </c>
      <c r="I413" s="11" t="s">
        <v>114</v>
      </c>
      <c r="J413" s="11" t="s">
        <v>269</v>
      </c>
      <c r="K413" s="11" t="n">
        <v>4</v>
      </c>
      <c r="L413" s="15" t="n">
        <v>17637.28</v>
      </c>
      <c r="M413" s="11" t="n">
        <v>0</v>
      </c>
      <c r="N413" s="15" t="n">
        <v>70549.12</v>
      </c>
      <c r="O413" s="15" t="n">
        <v>0</v>
      </c>
      <c r="P413" s="15" t="n">
        <v>70549.12</v>
      </c>
      <c r="Q413" s="15" t="n">
        <v>0</v>
      </c>
      <c r="R413" s="11" t="n">
        <v>0</v>
      </c>
      <c r="S413" s="15" t="n">
        <f aca="false">P413-Q413</f>
        <v>70549.12</v>
      </c>
      <c r="T413" s="11" t="n">
        <f aca="false">IF(OR(J413="Completed",J413="Returned"),1,0)</f>
        <v>1</v>
      </c>
    </row>
    <row r="414" customFormat="false" ht="15" hidden="false" customHeight="false" outlineLevel="0" collapsed="false">
      <c r="A414" s="11" t="s">
        <v>1309</v>
      </c>
      <c r="B414" s="11" t="s">
        <v>466</v>
      </c>
      <c r="C414" s="24" t="n">
        <v>45557</v>
      </c>
      <c r="D414" s="11" t="s">
        <v>40</v>
      </c>
      <c r="E414" s="11" t="s">
        <v>1307</v>
      </c>
      <c r="F414" s="11" t="s">
        <v>70</v>
      </c>
      <c r="G414" s="11" t="s">
        <v>633</v>
      </c>
      <c r="H414" s="11" t="s">
        <v>22</v>
      </c>
      <c r="I414" s="11" t="s">
        <v>114</v>
      </c>
      <c r="J414" s="11" t="s">
        <v>269</v>
      </c>
      <c r="K414" s="11" t="n">
        <v>2</v>
      </c>
      <c r="L414" s="15" t="n">
        <v>4574.41</v>
      </c>
      <c r="M414" s="11" t="n">
        <v>10</v>
      </c>
      <c r="N414" s="15" t="n">
        <v>9148.82</v>
      </c>
      <c r="O414" s="15" t="n">
        <v>914.88</v>
      </c>
      <c r="P414" s="15" t="n">
        <v>8233.94</v>
      </c>
      <c r="Q414" s="15" t="n">
        <v>0</v>
      </c>
      <c r="R414" s="11" t="n">
        <v>0</v>
      </c>
      <c r="S414" s="15" t="n">
        <f aca="false">P414-Q414</f>
        <v>8233.94</v>
      </c>
      <c r="T414" s="11" t="n">
        <f aca="false">IF(OR(J414="Completed",J414="Returned"),1,0)</f>
        <v>1</v>
      </c>
    </row>
    <row r="415" customFormat="false" ht="15" hidden="false" customHeight="false" outlineLevel="0" collapsed="false">
      <c r="A415" s="11" t="s">
        <v>1310</v>
      </c>
      <c r="B415" s="11" t="s">
        <v>380</v>
      </c>
      <c r="C415" s="24" t="n">
        <v>45412</v>
      </c>
      <c r="D415" s="11" t="s">
        <v>35</v>
      </c>
      <c r="E415" s="11" t="s">
        <v>844</v>
      </c>
      <c r="F415" s="11" t="s">
        <v>82</v>
      </c>
      <c r="G415" s="11" t="s">
        <v>160</v>
      </c>
      <c r="H415" s="11" t="s">
        <v>23</v>
      </c>
      <c r="I415" s="11" t="s">
        <v>113</v>
      </c>
      <c r="J415" s="11" t="s">
        <v>269</v>
      </c>
      <c r="K415" s="11" t="n">
        <v>2</v>
      </c>
      <c r="L415" s="15" t="n">
        <v>21122.18</v>
      </c>
      <c r="M415" s="11" t="n">
        <v>15</v>
      </c>
      <c r="N415" s="15" t="n">
        <v>42244.36</v>
      </c>
      <c r="O415" s="15" t="n">
        <v>6336.65</v>
      </c>
      <c r="P415" s="15" t="n">
        <v>35907.71</v>
      </c>
      <c r="Q415" s="15" t="n">
        <v>0</v>
      </c>
      <c r="R415" s="11" t="n">
        <v>0</v>
      </c>
      <c r="S415" s="15" t="n">
        <f aca="false">P415-Q415</f>
        <v>35907.71</v>
      </c>
      <c r="T415" s="11" t="n">
        <f aca="false">IF(OR(J415="Completed",J415="Returned"),1,0)</f>
        <v>1</v>
      </c>
    </row>
    <row r="416" customFormat="false" ht="15" hidden="false" customHeight="false" outlineLevel="0" collapsed="false">
      <c r="A416" s="11" t="s">
        <v>1311</v>
      </c>
      <c r="B416" s="11" t="s">
        <v>380</v>
      </c>
      <c r="C416" s="24" t="n">
        <v>45412</v>
      </c>
      <c r="D416" s="11" t="s">
        <v>35</v>
      </c>
      <c r="E416" s="11" t="s">
        <v>844</v>
      </c>
      <c r="F416" s="11" t="s">
        <v>82</v>
      </c>
      <c r="G416" s="11" t="s">
        <v>619</v>
      </c>
      <c r="H416" s="11" t="s">
        <v>23</v>
      </c>
      <c r="I416" s="11" t="s">
        <v>113</v>
      </c>
      <c r="J416" s="11" t="s">
        <v>269</v>
      </c>
      <c r="K416" s="11" t="n">
        <v>4</v>
      </c>
      <c r="L416" s="15" t="n">
        <v>20550.39</v>
      </c>
      <c r="M416" s="11" t="n">
        <v>0</v>
      </c>
      <c r="N416" s="15" t="n">
        <v>82201.56</v>
      </c>
      <c r="O416" s="15" t="n">
        <v>0</v>
      </c>
      <c r="P416" s="15" t="n">
        <v>82201.56</v>
      </c>
      <c r="Q416" s="15" t="n">
        <v>0</v>
      </c>
      <c r="R416" s="11" t="n">
        <v>0</v>
      </c>
      <c r="S416" s="15" t="n">
        <f aca="false">P416-Q416</f>
        <v>82201.56</v>
      </c>
      <c r="T416" s="11" t="n">
        <f aca="false">IF(OR(J416="Completed",J416="Returned"),1,0)</f>
        <v>1</v>
      </c>
    </row>
    <row r="417" customFormat="false" ht="15" hidden="false" customHeight="false" outlineLevel="0" collapsed="false">
      <c r="A417" s="11" t="s">
        <v>1312</v>
      </c>
      <c r="B417" s="11" t="s">
        <v>380</v>
      </c>
      <c r="C417" s="24" t="n">
        <v>45412</v>
      </c>
      <c r="D417" s="11" t="s">
        <v>35</v>
      </c>
      <c r="E417" s="11" t="s">
        <v>844</v>
      </c>
      <c r="F417" s="11" t="s">
        <v>82</v>
      </c>
      <c r="G417" s="11" t="s">
        <v>970</v>
      </c>
      <c r="H417" s="11" t="s">
        <v>20</v>
      </c>
      <c r="I417" s="11" t="s">
        <v>113</v>
      </c>
      <c r="J417" s="11" t="s">
        <v>269</v>
      </c>
      <c r="K417" s="11" t="n">
        <v>4</v>
      </c>
      <c r="L417" s="15" t="n">
        <v>15383.27</v>
      </c>
      <c r="M417" s="11" t="n">
        <v>10</v>
      </c>
      <c r="N417" s="15" t="n">
        <v>61533.08</v>
      </c>
      <c r="O417" s="15" t="n">
        <v>6153.31</v>
      </c>
      <c r="P417" s="15" t="n">
        <v>55379.77</v>
      </c>
      <c r="Q417" s="15" t="n">
        <v>0</v>
      </c>
      <c r="R417" s="11" t="n">
        <v>0</v>
      </c>
      <c r="S417" s="15" t="n">
        <f aca="false">P417-Q417</f>
        <v>55379.77</v>
      </c>
      <c r="T417" s="11" t="n">
        <f aca="false">IF(OR(J417="Completed",J417="Returned"),1,0)</f>
        <v>1</v>
      </c>
    </row>
    <row r="418" customFormat="false" ht="15" hidden="false" customHeight="false" outlineLevel="0" collapsed="false">
      <c r="A418" s="11" t="s">
        <v>1313</v>
      </c>
      <c r="B418" s="11" t="s">
        <v>574</v>
      </c>
      <c r="C418" s="24" t="n">
        <v>45876</v>
      </c>
      <c r="D418" s="11" t="s">
        <v>51</v>
      </c>
      <c r="E418" s="11" t="s">
        <v>1207</v>
      </c>
      <c r="F418" s="11" t="s">
        <v>78</v>
      </c>
      <c r="G418" s="11" t="s">
        <v>150</v>
      </c>
      <c r="H418" s="11" t="s">
        <v>22</v>
      </c>
      <c r="I418" s="11" t="s">
        <v>113</v>
      </c>
      <c r="J418" s="11" t="s">
        <v>242</v>
      </c>
      <c r="K418" s="11" t="n">
        <v>2</v>
      </c>
      <c r="L418" s="15" t="n">
        <v>21978.46</v>
      </c>
      <c r="M418" s="11" t="n">
        <v>15</v>
      </c>
      <c r="N418" s="15" t="n">
        <v>43956.92</v>
      </c>
      <c r="O418" s="15" t="n">
        <v>6593.54</v>
      </c>
      <c r="P418" s="15" t="n">
        <v>37363.38</v>
      </c>
      <c r="Q418" s="15" t="n">
        <v>0</v>
      </c>
      <c r="R418" s="11" t="n">
        <v>0</v>
      </c>
      <c r="S418" s="15" t="n">
        <f aca="false">P418-Q418</f>
        <v>37363.38</v>
      </c>
      <c r="T418" s="11" t="n">
        <f aca="false">IF(OR(J418="Completed",J418="Returned"),1,0)</f>
        <v>1</v>
      </c>
    </row>
    <row r="419" customFormat="false" ht="15" hidden="false" customHeight="false" outlineLevel="0" collapsed="false">
      <c r="A419" s="11" t="s">
        <v>1314</v>
      </c>
      <c r="B419" s="11" t="s">
        <v>574</v>
      </c>
      <c r="C419" s="24" t="n">
        <v>45876</v>
      </c>
      <c r="D419" s="11" t="s">
        <v>51</v>
      </c>
      <c r="E419" s="11" t="s">
        <v>1207</v>
      </c>
      <c r="F419" s="11" t="s">
        <v>78</v>
      </c>
      <c r="G419" s="11" t="s">
        <v>1093</v>
      </c>
      <c r="H419" s="11" t="s">
        <v>21</v>
      </c>
      <c r="I419" s="11" t="s">
        <v>113</v>
      </c>
      <c r="J419" s="11" t="s">
        <v>242</v>
      </c>
      <c r="K419" s="11" t="n">
        <v>2</v>
      </c>
      <c r="L419" s="15" t="n">
        <v>13038.96</v>
      </c>
      <c r="M419" s="11" t="n">
        <v>0</v>
      </c>
      <c r="N419" s="15" t="n">
        <v>26077.92</v>
      </c>
      <c r="O419" s="15" t="n">
        <v>0</v>
      </c>
      <c r="P419" s="15" t="n">
        <v>26077.92</v>
      </c>
      <c r="Q419" s="15" t="n">
        <v>0</v>
      </c>
      <c r="R419" s="11" t="n">
        <v>0</v>
      </c>
      <c r="S419" s="15" t="n">
        <f aca="false">P419-Q419</f>
        <v>26077.92</v>
      </c>
      <c r="T419" s="11" t="n">
        <f aca="false">IF(OR(J419="Completed",J419="Returned"),1,0)</f>
        <v>1</v>
      </c>
    </row>
    <row r="420" customFormat="false" ht="15" hidden="false" customHeight="false" outlineLevel="0" collapsed="false">
      <c r="A420" s="11" t="s">
        <v>1315</v>
      </c>
      <c r="B420" s="11" t="s">
        <v>394</v>
      </c>
      <c r="C420" s="24" t="n">
        <v>45626</v>
      </c>
      <c r="D420" s="11" t="s">
        <v>42</v>
      </c>
      <c r="E420" s="11" t="s">
        <v>905</v>
      </c>
      <c r="F420" s="11" t="s">
        <v>78</v>
      </c>
      <c r="G420" s="11" t="s">
        <v>628</v>
      </c>
      <c r="H420" s="11" t="s">
        <v>22</v>
      </c>
      <c r="I420" s="11" t="s">
        <v>115</v>
      </c>
      <c r="J420" s="11" t="s">
        <v>246</v>
      </c>
      <c r="K420" s="11" t="n">
        <v>4</v>
      </c>
      <c r="L420" s="15" t="n">
        <v>9269.43</v>
      </c>
      <c r="M420" s="11" t="n">
        <v>5</v>
      </c>
      <c r="N420" s="15" t="n">
        <v>37077.72</v>
      </c>
      <c r="O420" s="15" t="n">
        <v>1853.89</v>
      </c>
      <c r="P420" s="15" t="n">
        <v>35223.83</v>
      </c>
      <c r="Q420" s="15" t="n">
        <v>0</v>
      </c>
      <c r="R420" s="11" t="n">
        <v>0</v>
      </c>
      <c r="S420" s="15" t="n">
        <f aca="false">P420-Q420</f>
        <v>35223.83</v>
      </c>
      <c r="T420" s="11" t="n">
        <f aca="false">IF(OR(J420="Completed",J420="Returned"),1,0)</f>
        <v>0</v>
      </c>
    </row>
    <row r="421" customFormat="false" ht="15" hidden="false" customHeight="false" outlineLevel="0" collapsed="false">
      <c r="A421" s="11" t="s">
        <v>1316</v>
      </c>
      <c r="B421" s="11" t="s">
        <v>394</v>
      </c>
      <c r="C421" s="24" t="n">
        <v>45626</v>
      </c>
      <c r="D421" s="11" t="s">
        <v>42</v>
      </c>
      <c r="E421" s="11" t="s">
        <v>905</v>
      </c>
      <c r="F421" s="11" t="s">
        <v>78</v>
      </c>
      <c r="G421" s="11" t="s">
        <v>907</v>
      </c>
      <c r="H421" s="11" t="s">
        <v>22</v>
      </c>
      <c r="I421" s="11" t="s">
        <v>115</v>
      </c>
      <c r="J421" s="11" t="s">
        <v>246</v>
      </c>
      <c r="K421" s="11" t="n">
        <v>1</v>
      </c>
      <c r="L421" s="15" t="n">
        <v>25643.17</v>
      </c>
      <c r="M421" s="11" t="n">
        <v>0</v>
      </c>
      <c r="N421" s="15" t="n">
        <v>25643.17</v>
      </c>
      <c r="O421" s="15" t="n">
        <v>0</v>
      </c>
      <c r="P421" s="15" t="n">
        <v>25643.17</v>
      </c>
      <c r="Q421" s="15" t="n">
        <v>0</v>
      </c>
      <c r="R421" s="11" t="n">
        <v>0</v>
      </c>
      <c r="S421" s="15" t="n">
        <f aca="false">P421-Q421</f>
        <v>25643.17</v>
      </c>
      <c r="T421" s="11" t="n">
        <f aca="false">IF(OR(J421="Completed",J421="Returned"),1,0)</f>
        <v>0</v>
      </c>
    </row>
    <row r="422" customFormat="false" ht="15" hidden="false" customHeight="false" outlineLevel="0" collapsed="false">
      <c r="A422" s="11" t="s">
        <v>1317</v>
      </c>
      <c r="B422" s="11" t="s">
        <v>394</v>
      </c>
      <c r="C422" s="24" t="n">
        <v>45626</v>
      </c>
      <c r="D422" s="11" t="s">
        <v>42</v>
      </c>
      <c r="E422" s="11" t="s">
        <v>905</v>
      </c>
      <c r="F422" s="11" t="s">
        <v>78</v>
      </c>
      <c r="G422" s="11" t="s">
        <v>965</v>
      </c>
      <c r="H422" s="11" t="s">
        <v>23</v>
      </c>
      <c r="I422" s="11" t="s">
        <v>115</v>
      </c>
      <c r="J422" s="11" t="s">
        <v>246</v>
      </c>
      <c r="K422" s="11" t="n">
        <v>3</v>
      </c>
      <c r="L422" s="15" t="n">
        <v>4511.74</v>
      </c>
      <c r="M422" s="11" t="n">
        <v>20</v>
      </c>
      <c r="N422" s="15" t="n">
        <v>13535.22</v>
      </c>
      <c r="O422" s="15" t="n">
        <v>2707.04</v>
      </c>
      <c r="P422" s="15" t="n">
        <v>10828.18</v>
      </c>
      <c r="Q422" s="15" t="n">
        <v>0</v>
      </c>
      <c r="R422" s="11" t="n">
        <v>0</v>
      </c>
      <c r="S422" s="15" t="n">
        <f aca="false">P422-Q422</f>
        <v>10828.18</v>
      </c>
      <c r="T422" s="11" t="n">
        <f aca="false">IF(OR(J422="Completed",J422="Returned"),1,0)</f>
        <v>0</v>
      </c>
    </row>
    <row r="423" customFormat="false" ht="15" hidden="false" customHeight="false" outlineLevel="0" collapsed="false">
      <c r="A423" s="11" t="s">
        <v>1318</v>
      </c>
      <c r="B423" s="11" t="s">
        <v>394</v>
      </c>
      <c r="C423" s="24" t="n">
        <v>45626</v>
      </c>
      <c r="D423" s="11" t="s">
        <v>42</v>
      </c>
      <c r="E423" s="11" t="s">
        <v>905</v>
      </c>
      <c r="F423" s="11" t="s">
        <v>78</v>
      </c>
      <c r="G423" s="11" t="s">
        <v>633</v>
      </c>
      <c r="H423" s="11" t="s">
        <v>22</v>
      </c>
      <c r="I423" s="11" t="s">
        <v>115</v>
      </c>
      <c r="J423" s="11" t="s">
        <v>246</v>
      </c>
      <c r="K423" s="11" t="n">
        <v>5</v>
      </c>
      <c r="L423" s="15" t="n">
        <v>4574.41</v>
      </c>
      <c r="M423" s="11" t="n">
        <v>0</v>
      </c>
      <c r="N423" s="15" t="n">
        <v>22872.05</v>
      </c>
      <c r="O423" s="15" t="n">
        <v>0</v>
      </c>
      <c r="P423" s="15" t="n">
        <v>22872.05</v>
      </c>
      <c r="Q423" s="15" t="n">
        <v>0</v>
      </c>
      <c r="R423" s="11" t="n">
        <v>0</v>
      </c>
      <c r="S423" s="15" t="n">
        <f aca="false">P423-Q423</f>
        <v>22872.05</v>
      </c>
      <c r="T423" s="11" t="n">
        <f aca="false">IF(OR(J423="Completed",J423="Returned"),1,0)</f>
        <v>0</v>
      </c>
    </row>
    <row r="424" customFormat="false" ht="15" hidden="false" customHeight="false" outlineLevel="0" collapsed="false">
      <c r="A424" s="11" t="s">
        <v>1319</v>
      </c>
      <c r="B424" s="11" t="s">
        <v>497</v>
      </c>
      <c r="C424" s="24" t="n">
        <v>45499</v>
      </c>
      <c r="D424" s="11" t="s">
        <v>38</v>
      </c>
      <c r="E424" s="11" t="s">
        <v>844</v>
      </c>
      <c r="F424" s="11" t="s">
        <v>82</v>
      </c>
      <c r="G424" s="11" t="s">
        <v>619</v>
      </c>
      <c r="H424" s="11" t="s">
        <v>23</v>
      </c>
      <c r="I424" s="11" t="s">
        <v>115</v>
      </c>
      <c r="J424" s="11" t="s">
        <v>246</v>
      </c>
      <c r="K424" s="11" t="n">
        <v>5</v>
      </c>
      <c r="L424" s="15" t="n">
        <v>20550.39</v>
      </c>
      <c r="M424" s="11" t="n">
        <v>0</v>
      </c>
      <c r="N424" s="15" t="n">
        <v>102751.95</v>
      </c>
      <c r="O424" s="15" t="n">
        <v>0</v>
      </c>
      <c r="P424" s="15" t="n">
        <v>102751.95</v>
      </c>
      <c r="Q424" s="15" t="n">
        <v>0</v>
      </c>
      <c r="R424" s="11" t="n">
        <v>0</v>
      </c>
      <c r="S424" s="15" t="n">
        <f aca="false">P424-Q424</f>
        <v>102751.95</v>
      </c>
      <c r="T424" s="11" t="n">
        <f aca="false">IF(OR(J424="Completed",J424="Returned"),1,0)</f>
        <v>0</v>
      </c>
    </row>
    <row r="425" customFormat="false" ht="15" hidden="false" customHeight="false" outlineLevel="0" collapsed="false">
      <c r="A425" s="11" t="s">
        <v>1320</v>
      </c>
      <c r="B425" s="11" t="s">
        <v>476</v>
      </c>
      <c r="C425" s="24" t="n">
        <v>45711</v>
      </c>
      <c r="D425" s="11" t="s">
        <v>45</v>
      </c>
      <c r="E425" s="11" t="s">
        <v>87</v>
      </c>
      <c r="F425" s="11" t="s">
        <v>82</v>
      </c>
      <c r="G425" s="11" t="s">
        <v>625</v>
      </c>
      <c r="H425" s="11" t="s">
        <v>21</v>
      </c>
      <c r="I425" s="11" t="s">
        <v>113</v>
      </c>
      <c r="J425" s="11" t="s">
        <v>242</v>
      </c>
      <c r="K425" s="11" t="n">
        <v>5</v>
      </c>
      <c r="L425" s="15" t="n">
        <v>15176.98</v>
      </c>
      <c r="M425" s="11" t="n">
        <v>15</v>
      </c>
      <c r="N425" s="15" t="n">
        <v>75884.9</v>
      </c>
      <c r="O425" s="15" t="n">
        <v>11382.74</v>
      </c>
      <c r="P425" s="15" t="n">
        <v>64502.16</v>
      </c>
      <c r="Q425" s="15" t="n">
        <v>0</v>
      </c>
      <c r="R425" s="11" t="n">
        <v>0</v>
      </c>
      <c r="S425" s="15" t="n">
        <f aca="false">P425-Q425</f>
        <v>64502.16</v>
      </c>
      <c r="T425" s="11" t="n">
        <f aca="false">IF(OR(J425="Completed",J425="Returned"),1,0)</f>
        <v>1</v>
      </c>
    </row>
    <row r="426" customFormat="false" ht="15" hidden="false" customHeight="false" outlineLevel="0" collapsed="false">
      <c r="A426" s="11" t="s">
        <v>1321</v>
      </c>
      <c r="B426" s="11" t="s">
        <v>577</v>
      </c>
      <c r="C426" s="24" t="n">
        <v>45458</v>
      </c>
      <c r="D426" s="11" t="s">
        <v>37</v>
      </c>
      <c r="E426" s="11" t="s">
        <v>1322</v>
      </c>
      <c r="F426" s="11" t="s">
        <v>78</v>
      </c>
      <c r="G426" s="11" t="s">
        <v>835</v>
      </c>
      <c r="H426" s="11" t="s">
        <v>22</v>
      </c>
      <c r="I426" s="11" t="s">
        <v>113</v>
      </c>
      <c r="J426" s="11" t="s">
        <v>269</v>
      </c>
      <c r="K426" s="11" t="n">
        <v>4</v>
      </c>
      <c r="L426" s="15" t="n">
        <v>22572.25</v>
      </c>
      <c r="M426" s="11" t="n">
        <v>10</v>
      </c>
      <c r="N426" s="15" t="n">
        <v>90289</v>
      </c>
      <c r="O426" s="15" t="n">
        <v>9028.9</v>
      </c>
      <c r="P426" s="15" t="n">
        <v>81260.1</v>
      </c>
      <c r="Q426" s="15" t="n">
        <v>0</v>
      </c>
      <c r="R426" s="11" t="n">
        <v>0</v>
      </c>
      <c r="S426" s="15" t="n">
        <f aca="false">P426-Q426</f>
        <v>81260.1</v>
      </c>
      <c r="T426" s="11" t="n">
        <f aca="false">IF(OR(J426="Completed",J426="Returned"),1,0)</f>
        <v>1</v>
      </c>
    </row>
    <row r="427" customFormat="false" ht="15" hidden="false" customHeight="false" outlineLevel="0" collapsed="false">
      <c r="A427" s="11" t="s">
        <v>1323</v>
      </c>
      <c r="B427" s="11" t="s">
        <v>440</v>
      </c>
      <c r="C427" s="24" t="n">
        <v>45400</v>
      </c>
      <c r="D427" s="11" t="s">
        <v>35</v>
      </c>
      <c r="E427" s="11" t="s">
        <v>1212</v>
      </c>
      <c r="F427" s="11" t="s">
        <v>74</v>
      </c>
      <c r="G427" s="11" t="s">
        <v>778</v>
      </c>
      <c r="H427" s="11" t="s">
        <v>24</v>
      </c>
      <c r="I427" s="11" t="s">
        <v>114</v>
      </c>
      <c r="J427" s="11" t="s">
        <v>242</v>
      </c>
      <c r="K427" s="11" t="n">
        <v>5</v>
      </c>
      <c r="L427" s="15" t="n">
        <v>4516.1</v>
      </c>
      <c r="M427" s="11" t="n">
        <v>0</v>
      </c>
      <c r="N427" s="15" t="n">
        <v>22580.5</v>
      </c>
      <c r="O427" s="15" t="n">
        <v>0</v>
      </c>
      <c r="P427" s="15" t="n">
        <v>22580.5</v>
      </c>
      <c r="Q427" s="15" t="n">
        <v>0</v>
      </c>
      <c r="R427" s="11" t="n">
        <v>0</v>
      </c>
      <c r="S427" s="15" t="n">
        <f aca="false">P427-Q427</f>
        <v>22580.5</v>
      </c>
      <c r="T427" s="11" t="n">
        <f aca="false">IF(OR(J427="Completed",J427="Returned"),1,0)</f>
        <v>1</v>
      </c>
    </row>
    <row r="428" customFormat="false" ht="15" hidden="false" customHeight="false" outlineLevel="0" collapsed="false">
      <c r="A428" s="11" t="s">
        <v>1324</v>
      </c>
      <c r="B428" s="11" t="s">
        <v>546</v>
      </c>
      <c r="C428" s="24" t="n">
        <v>45304</v>
      </c>
      <c r="D428" s="11" t="s">
        <v>32</v>
      </c>
      <c r="E428" s="11" t="s">
        <v>803</v>
      </c>
      <c r="F428" s="11" t="s">
        <v>25</v>
      </c>
      <c r="G428" s="11" t="s">
        <v>822</v>
      </c>
      <c r="H428" s="11" t="s">
        <v>21</v>
      </c>
      <c r="I428" s="11" t="s">
        <v>113</v>
      </c>
      <c r="J428" s="11" t="s">
        <v>269</v>
      </c>
      <c r="K428" s="11" t="n">
        <v>1</v>
      </c>
      <c r="L428" s="15" t="n">
        <v>11089.19</v>
      </c>
      <c r="M428" s="11" t="n">
        <v>0</v>
      </c>
      <c r="N428" s="15" t="n">
        <v>11089.19</v>
      </c>
      <c r="O428" s="15" t="n">
        <v>0</v>
      </c>
      <c r="P428" s="15" t="n">
        <v>11089.19</v>
      </c>
      <c r="Q428" s="15" t="n">
        <v>0</v>
      </c>
      <c r="R428" s="11" t="n">
        <v>0</v>
      </c>
      <c r="S428" s="15" t="n">
        <f aca="false">P428-Q428</f>
        <v>11089.19</v>
      </c>
      <c r="T428" s="11" t="n">
        <f aca="false">IF(OR(J428="Completed",J428="Returned"),1,0)</f>
        <v>1</v>
      </c>
    </row>
    <row r="429" customFormat="false" ht="15" hidden="false" customHeight="false" outlineLevel="0" collapsed="false">
      <c r="A429" s="11" t="s">
        <v>1325</v>
      </c>
      <c r="B429" s="11" t="s">
        <v>330</v>
      </c>
      <c r="C429" s="24" t="n">
        <v>45396</v>
      </c>
      <c r="D429" s="11" t="s">
        <v>35</v>
      </c>
      <c r="E429" s="11" t="s">
        <v>1257</v>
      </c>
      <c r="F429" s="11" t="s">
        <v>78</v>
      </c>
      <c r="G429" s="11" t="s">
        <v>633</v>
      </c>
      <c r="H429" s="11" t="s">
        <v>22</v>
      </c>
      <c r="I429" s="11" t="s">
        <v>115</v>
      </c>
      <c r="J429" s="11" t="s">
        <v>269</v>
      </c>
      <c r="K429" s="11" t="n">
        <v>4</v>
      </c>
      <c r="L429" s="15" t="n">
        <v>4574.41</v>
      </c>
      <c r="M429" s="11" t="n">
        <v>15</v>
      </c>
      <c r="N429" s="15" t="n">
        <v>18297.64</v>
      </c>
      <c r="O429" s="15" t="n">
        <v>2744.65</v>
      </c>
      <c r="P429" s="15" t="n">
        <v>15552.99</v>
      </c>
      <c r="Q429" s="15" t="n">
        <v>0</v>
      </c>
      <c r="R429" s="11" t="n">
        <v>0</v>
      </c>
      <c r="S429" s="15" t="n">
        <f aca="false">P429-Q429</f>
        <v>15552.99</v>
      </c>
      <c r="T429" s="11" t="n">
        <f aca="false">IF(OR(J429="Completed",J429="Returned"),1,0)</f>
        <v>1</v>
      </c>
    </row>
    <row r="430" customFormat="false" ht="15" hidden="false" customHeight="false" outlineLevel="0" collapsed="false">
      <c r="A430" s="11" t="s">
        <v>1326</v>
      </c>
      <c r="B430" s="11" t="s">
        <v>330</v>
      </c>
      <c r="C430" s="24" t="n">
        <v>45396</v>
      </c>
      <c r="D430" s="11" t="s">
        <v>35</v>
      </c>
      <c r="E430" s="11" t="s">
        <v>1257</v>
      </c>
      <c r="F430" s="11" t="s">
        <v>78</v>
      </c>
      <c r="G430" s="11" t="s">
        <v>139</v>
      </c>
      <c r="H430" s="11" t="s">
        <v>24</v>
      </c>
      <c r="I430" s="11" t="s">
        <v>115</v>
      </c>
      <c r="J430" s="11" t="s">
        <v>269</v>
      </c>
      <c r="K430" s="11" t="n">
        <v>1</v>
      </c>
      <c r="L430" s="15" t="n">
        <v>20278.89</v>
      </c>
      <c r="M430" s="11" t="n">
        <v>0</v>
      </c>
      <c r="N430" s="15" t="n">
        <v>20278.89</v>
      </c>
      <c r="O430" s="15" t="n">
        <v>0</v>
      </c>
      <c r="P430" s="15" t="n">
        <v>20278.89</v>
      </c>
      <c r="Q430" s="15" t="n">
        <v>0</v>
      </c>
      <c r="R430" s="11" t="n">
        <v>0</v>
      </c>
      <c r="S430" s="15" t="n">
        <f aca="false">P430-Q430</f>
        <v>20278.89</v>
      </c>
      <c r="T430" s="11" t="n">
        <f aca="false">IF(OR(J430="Completed",J430="Returned"),1,0)</f>
        <v>1</v>
      </c>
    </row>
    <row r="431" customFormat="false" ht="15" hidden="false" customHeight="false" outlineLevel="0" collapsed="false">
      <c r="A431" s="11" t="s">
        <v>1327</v>
      </c>
      <c r="B431" s="11" t="s">
        <v>330</v>
      </c>
      <c r="C431" s="24" t="n">
        <v>45396</v>
      </c>
      <c r="D431" s="11" t="s">
        <v>35</v>
      </c>
      <c r="E431" s="11" t="s">
        <v>1257</v>
      </c>
      <c r="F431" s="11" t="s">
        <v>78</v>
      </c>
      <c r="G431" s="11" t="s">
        <v>145</v>
      </c>
      <c r="H431" s="11" t="s">
        <v>20</v>
      </c>
      <c r="I431" s="11" t="s">
        <v>115</v>
      </c>
      <c r="J431" s="11" t="s">
        <v>269</v>
      </c>
      <c r="K431" s="11" t="n">
        <v>2</v>
      </c>
      <c r="L431" s="15" t="n">
        <v>20098.63</v>
      </c>
      <c r="M431" s="11" t="n">
        <v>0</v>
      </c>
      <c r="N431" s="15" t="n">
        <v>40197.26</v>
      </c>
      <c r="O431" s="15" t="n">
        <v>0</v>
      </c>
      <c r="P431" s="15" t="n">
        <v>40197.26</v>
      </c>
      <c r="Q431" s="15" t="n">
        <v>0</v>
      </c>
      <c r="R431" s="11" t="n">
        <v>0</v>
      </c>
      <c r="S431" s="15" t="n">
        <f aca="false">P431-Q431</f>
        <v>40197.26</v>
      </c>
      <c r="T431" s="11" t="n">
        <f aca="false">IF(OR(J431="Completed",J431="Returned"),1,0)</f>
        <v>1</v>
      </c>
    </row>
    <row r="432" customFormat="false" ht="15" hidden="false" customHeight="false" outlineLevel="0" collapsed="false">
      <c r="A432" s="11" t="s">
        <v>1328</v>
      </c>
      <c r="B432" s="11" t="s">
        <v>293</v>
      </c>
      <c r="C432" s="24" t="n">
        <v>45600</v>
      </c>
      <c r="D432" s="11" t="s">
        <v>42</v>
      </c>
      <c r="E432" s="11" t="s">
        <v>1263</v>
      </c>
      <c r="F432" s="11" t="s">
        <v>74</v>
      </c>
      <c r="G432" s="11" t="s">
        <v>160</v>
      </c>
      <c r="H432" s="11" t="s">
        <v>23</v>
      </c>
      <c r="I432" s="11" t="s">
        <v>114</v>
      </c>
      <c r="J432" s="11" t="s">
        <v>242</v>
      </c>
      <c r="K432" s="11" t="n">
        <v>1</v>
      </c>
      <c r="L432" s="15" t="n">
        <v>21122.18</v>
      </c>
      <c r="M432" s="11" t="n">
        <v>0</v>
      </c>
      <c r="N432" s="15" t="n">
        <v>21122.18</v>
      </c>
      <c r="O432" s="15" t="n">
        <v>0</v>
      </c>
      <c r="P432" s="15" t="n">
        <v>21122.18</v>
      </c>
      <c r="Q432" s="15" t="n">
        <v>0</v>
      </c>
      <c r="R432" s="11" t="n">
        <v>0</v>
      </c>
      <c r="S432" s="15" t="n">
        <f aca="false">P432-Q432</f>
        <v>21122.18</v>
      </c>
      <c r="T432" s="11" t="n">
        <f aca="false">IF(OR(J432="Completed",J432="Returned"),1,0)</f>
        <v>1</v>
      </c>
    </row>
    <row r="433" customFormat="false" ht="15" hidden="false" customHeight="false" outlineLevel="0" collapsed="false">
      <c r="A433" s="11" t="s">
        <v>1329</v>
      </c>
      <c r="B433" s="11" t="s">
        <v>293</v>
      </c>
      <c r="C433" s="24" t="n">
        <v>45600</v>
      </c>
      <c r="D433" s="11" t="s">
        <v>42</v>
      </c>
      <c r="E433" s="11" t="s">
        <v>1263</v>
      </c>
      <c r="F433" s="11" t="s">
        <v>74</v>
      </c>
      <c r="G433" s="11" t="s">
        <v>150</v>
      </c>
      <c r="H433" s="11" t="s">
        <v>22</v>
      </c>
      <c r="I433" s="11" t="s">
        <v>114</v>
      </c>
      <c r="J433" s="11" t="s">
        <v>242</v>
      </c>
      <c r="K433" s="11" t="n">
        <v>5</v>
      </c>
      <c r="L433" s="15" t="n">
        <v>21978.46</v>
      </c>
      <c r="M433" s="11" t="n">
        <v>0</v>
      </c>
      <c r="N433" s="15" t="n">
        <v>109892.3</v>
      </c>
      <c r="O433" s="15" t="n">
        <v>0</v>
      </c>
      <c r="P433" s="15" t="n">
        <v>109892.3</v>
      </c>
      <c r="Q433" s="15" t="n">
        <v>0</v>
      </c>
      <c r="R433" s="11" t="n">
        <v>0</v>
      </c>
      <c r="S433" s="15" t="n">
        <f aca="false">P433-Q433</f>
        <v>109892.3</v>
      </c>
      <c r="T433" s="11" t="n">
        <f aca="false">IF(OR(J433="Completed",J433="Returned"),1,0)</f>
        <v>1</v>
      </c>
    </row>
    <row r="434" customFormat="false" ht="15" hidden="false" customHeight="false" outlineLevel="0" collapsed="false">
      <c r="A434" s="11" t="s">
        <v>1330</v>
      </c>
      <c r="B434" s="11" t="s">
        <v>258</v>
      </c>
      <c r="C434" s="24" t="n">
        <v>45352</v>
      </c>
      <c r="D434" s="11" t="s">
        <v>34</v>
      </c>
      <c r="E434" s="11" t="s">
        <v>862</v>
      </c>
      <c r="F434" s="11" t="s">
        <v>82</v>
      </c>
      <c r="G434" s="11" t="s">
        <v>625</v>
      </c>
      <c r="H434" s="11" t="s">
        <v>21</v>
      </c>
      <c r="I434" s="11" t="s">
        <v>114</v>
      </c>
      <c r="J434" s="11" t="s">
        <v>242</v>
      </c>
      <c r="K434" s="11" t="n">
        <v>4</v>
      </c>
      <c r="L434" s="15" t="n">
        <v>15176.98</v>
      </c>
      <c r="M434" s="11" t="n">
        <v>5</v>
      </c>
      <c r="N434" s="15" t="n">
        <v>60707.92</v>
      </c>
      <c r="O434" s="15" t="n">
        <v>3035.4</v>
      </c>
      <c r="P434" s="15" t="n">
        <v>57672.52</v>
      </c>
      <c r="Q434" s="15" t="n">
        <v>0</v>
      </c>
      <c r="R434" s="11" t="n">
        <v>0</v>
      </c>
      <c r="S434" s="15" t="n">
        <f aca="false">P434-Q434</f>
        <v>57672.52</v>
      </c>
      <c r="T434" s="11" t="n">
        <f aca="false">IF(OR(J434="Completed",J434="Returned"),1,0)</f>
        <v>1</v>
      </c>
    </row>
    <row r="435" customFormat="false" ht="15" hidden="false" customHeight="false" outlineLevel="0" collapsed="false">
      <c r="A435" s="11" t="s">
        <v>1331</v>
      </c>
      <c r="B435" s="11" t="s">
        <v>317</v>
      </c>
      <c r="C435" s="24" t="n">
        <v>45890</v>
      </c>
      <c r="D435" s="11" t="s">
        <v>51</v>
      </c>
      <c r="E435" s="11" t="s">
        <v>1123</v>
      </c>
      <c r="F435" s="11" t="s">
        <v>78</v>
      </c>
      <c r="G435" s="11" t="s">
        <v>1022</v>
      </c>
      <c r="H435" s="11" t="s">
        <v>20</v>
      </c>
      <c r="I435" s="11" t="s">
        <v>113</v>
      </c>
      <c r="J435" s="11" t="s">
        <v>242</v>
      </c>
      <c r="K435" s="11" t="n">
        <v>5</v>
      </c>
      <c r="L435" s="15" t="n">
        <v>13809.86</v>
      </c>
      <c r="M435" s="11" t="n">
        <v>10</v>
      </c>
      <c r="N435" s="15" t="n">
        <v>69049.3</v>
      </c>
      <c r="O435" s="15" t="n">
        <v>6904.93</v>
      </c>
      <c r="P435" s="15" t="n">
        <v>62144.37</v>
      </c>
      <c r="Q435" s="15" t="n">
        <v>0</v>
      </c>
      <c r="R435" s="11" t="n">
        <v>0</v>
      </c>
      <c r="S435" s="15" t="n">
        <f aca="false">P435-Q435</f>
        <v>62144.37</v>
      </c>
      <c r="T435" s="11" t="n">
        <f aca="false">IF(OR(J435="Completed",J435="Returned"),1,0)</f>
        <v>1</v>
      </c>
    </row>
    <row r="436" customFormat="false" ht="15" hidden="false" customHeight="false" outlineLevel="0" collapsed="false">
      <c r="A436" s="11" t="s">
        <v>1332</v>
      </c>
      <c r="B436" s="11" t="s">
        <v>317</v>
      </c>
      <c r="C436" s="24" t="n">
        <v>45890</v>
      </c>
      <c r="D436" s="11" t="s">
        <v>51</v>
      </c>
      <c r="E436" s="11" t="s">
        <v>1123</v>
      </c>
      <c r="F436" s="11" t="s">
        <v>78</v>
      </c>
      <c r="G436" s="11" t="s">
        <v>607</v>
      </c>
      <c r="H436" s="11" t="s">
        <v>22</v>
      </c>
      <c r="I436" s="11" t="s">
        <v>113</v>
      </c>
      <c r="J436" s="11" t="s">
        <v>242</v>
      </c>
      <c r="K436" s="11" t="n">
        <v>4</v>
      </c>
      <c r="L436" s="15" t="n">
        <v>11569.57</v>
      </c>
      <c r="M436" s="11" t="n">
        <v>10</v>
      </c>
      <c r="N436" s="15" t="n">
        <v>46278.28</v>
      </c>
      <c r="O436" s="15" t="n">
        <v>4627.83</v>
      </c>
      <c r="P436" s="15" t="n">
        <v>41650.45</v>
      </c>
      <c r="Q436" s="15" t="n">
        <v>0</v>
      </c>
      <c r="R436" s="11" t="n">
        <v>0</v>
      </c>
      <c r="S436" s="15" t="n">
        <f aca="false">P436-Q436</f>
        <v>41650.45</v>
      </c>
      <c r="T436" s="11" t="n">
        <f aca="false">IF(OR(J436="Completed",J436="Returned"),1,0)</f>
        <v>1</v>
      </c>
    </row>
    <row r="437" customFormat="false" ht="15" hidden="false" customHeight="false" outlineLevel="0" collapsed="false">
      <c r="A437" s="11" t="s">
        <v>1333</v>
      </c>
      <c r="B437" s="11" t="s">
        <v>522</v>
      </c>
      <c r="C437" s="24" t="n">
        <v>45556</v>
      </c>
      <c r="D437" s="11" t="s">
        <v>40</v>
      </c>
      <c r="E437" s="11" t="s">
        <v>1207</v>
      </c>
      <c r="F437" s="11" t="s">
        <v>78</v>
      </c>
      <c r="G437" s="11" t="s">
        <v>158</v>
      </c>
      <c r="H437" s="11" t="s">
        <v>22</v>
      </c>
      <c r="I437" s="11" t="s">
        <v>113</v>
      </c>
      <c r="J437" s="11" t="s">
        <v>269</v>
      </c>
      <c r="K437" s="11" t="n">
        <v>5</v>
      </c>
      <c r="L437" s="15" t="n">
        <v>5471.28</v>
      </c>
      <c r="M437" s="11" t="n">
        <v>20</v>
      </c>
      <c r="N437" s="15" t="n">
        <v>27356.4</v>
      </c>
      <c r="O437" s="15" t="n">
        <v>5471.28</v>
      </c>
      <c r="P437" s="15" t="n">
        <v>21885.12</v>
      </c>
      <c r="Q437" s="15" t="n">
        <v>0</v>
      </c>
      <c r="R437" s="11" t="n">
        <v>0</v>
      </c>
      <c r="S437" s="15" t="n">
        <f aca="false">P437-Q437</f>
        <v>21885.12</v>
      </c>
      <c r="T437" s="11" t="n">
        <f aca="false">IF(OR(J437="Completed",J437="Returned"),1,0)</f>
        <v>1</v>
      </c>
    </row>
    <row r="438" customFormat="false" ht="15" hidden="false" customHeight="false" outlineLevel="0" collapsed="false">
      <c r="A438" s="11" t="s">
        <v>1334</v>
      </c>
      <c r="B438" s="11" t="s">
        <v>522</v>
      </c>
      <c r="C438" s="24" t="n">
        <v>45556</v>
      </c>
      <c r="D438" s="11" t="s">
        <v>40</v>
      </c>
      <c r="E438" s="11" t="s">
        <v>1207</v>
      </c>
      <c r="F438" s="11" t="s">
        <v>78</v>
      </c>
      <c r="G438" s="11" t="s">
        <v>145</v>
      </c>
      <c r="H438" s="11" t="s">
        <v>20</v>
      </c>
      <c r="I438" s="11" t="s">
        <v>113</v>
      </c>
      <c r="J438" s="11" t="s">
        <v>269</v>
      </c>
      <c r="K438" s="11" t="n">
        <v>4</v>
      </c>
      <c r="L438" s="15" t="n">
        <v>20098.63</v>
      </c>
      <c r="M438" s="11" t="n">
        <v>0</v>
      </c>
      <c r="N438" s="15" t="n">
        <v>80394.52</v>
      </c>
      <c r="O438" s="15" t="n">
        <v>0</v>
      </c>
      <c r="P438" s="15" t="n">
        <v>80394.52</v>
      </c>
      <c r="Q438" s="15" t="n">
        <v>0</v>
      </c>
      <c r="R438" s="11" t="n">
        <v>0</v>
      </c>
      <c r="S438" s="15" t="n">
        <f aca="false">P438-Q438</f>
        <v>80394.52</v>
      </c>
      <c r="T438" s="11" t="n">
        <f aca="false">IF(OR(J438="Completed",J438="Returned"),1,0)</f>
        <v>1</v>
      </c>
    </row>
    <row r="439" customFormat="false" ht="15" hidden="false" customHeight="false" outlineLevel="0" collapsed="false">
      <c r="A439" s="11" t="s">
        <v>1335</v>
      </c>
      <c r="B439" s="11" t="s">
        <v>522</v>
      </c>
      <c r="C439" s="24" t="n">
        <v>45556</v>
      </c>
      <c r="D439" s="11" t="s">
        <v>40</v>
      </c>
      <c r="E439" s="11" t="s">
        <v>1207</v>
      </c>
      <c r="F439" s="11" t="s">
        <v>78</v>
      </c>
      <c r="G439" s="11" t="s">
        <v>131</v>
      </c>
      <c r="H439" s="11" t="s">
        <v>22</v>
      </c>
      <c r="I439" s="11" t="s">
        <v>113</v>
      </c>
      <c r="J439" s="11" t="s">
        <v>269</v>
      </c>
      <c r="K439" s="11" t="n">
        <v>5</v>
      </c>
      <c r="L439" s="15" t="n">
        <v>11284.39</v>
      </c>
      <c r="M439" s="11" t="n">
        <v>0</v>
      </c>
      <c r="N439" s="15" t="n">
        <v>56421.95</v>
      </c>
      <c r="O439" s="15" t="n">
        <v>0</v>
      </c>
      <c r="P439" s="15" t="n">
        <v>56421.95</v>
      </c>
      <c r="Q439" s="15" t="n">
        <v>0</v>
      </c>
      <c r="R439" s="11" t="n">
        <v>0</v>
      </c>
      <c r="S439" s="15" t="n">
        <f aca="false">P439-Q439</f>
        <v>56421.95</v>
      </c>
      <c r="T439" s="11" t="n">
        <f aca="false">IF(OR(J439="Completed",J439="Returned"),1,0)</f>
        <v>1</v>
      </c>
    </row>
    <row r="440" customFormat="false" ht="15" hidden="false" customHeight="false" outlineLevel="0" collapsed="false">
      <c r="A440" s="11" t="s">
        <v>1336</v>
      </c>
      <c r="B440" s="11" t="s">
        <v>522</v>
      </c>
      <c r="C440" s="24" t="n">
        <v>45556</v>
      </c>
      <c r="D440" s="11" t="s">
        <v>40</v>
      </c>
      <c r="E440" s="11" t="s">
        <v>1207</v>
      </c>
      <c r="F440" s="11" t="s">
        <v>78</v>
      </c>
      <c r="G440" s="11" t="s">
        <v>827</v>
      </c>
      <c r="H440" s="11" t="s">
        <v>23</v>
      </c>
      <c r="I440" s="11" t="s">
        <v>113</v>
      </c>
      <c r="J440" s="11" t="s">
        <v>269</v>
      </c>
      <c r="K440" s="11" t="n">
        <v>4</v>
      </c>
      <c r="L440" s="15" t="n">
        <v>7855.79</v>
      </c>
      <c r="M440" s="11" t="n">
        <v>0</v>
      </c>
      <c r="N440" s="15" t="n">
        <v>31423.16</v>
      </c>
      <c r="O440" s="15" t="n">
        <v>0</v>
      </c>
      <c r="P440" s="15" t="n">
        <v>31423.16</v>
      </c>
      <c r="Q440" s="15" t="n">
        <v>0</v>
      </c>
      <c r="R440" s="11" t="n">
        <v>0</v>
      </c>
      <c r="S440" s="15" t="n">
        <f aca="false">P440-Q440</f>
        <v>31423.16</v>
      </c>
      <c r="T440" s="11" t="n">
        <f aca="false">IF(OR(J440="Completed",J440="Returned"),1,0)</f>
        <v>1</v>
      </c>
    </row>
    <row r="441" customFormat="false" ht="15" hidden="false" customHeight="false" outlineLevel="0" collapsed="false">
      <c r="A441" s="11" t="s">
        <v>1337</v>
      </c>
      <c r="B441" s="11" t="s">
        <v>487</v>
      </c>
      <c r="C441" s="24" t="n">
        <v>45589</v>
      </c>
      <c r="D441" s="11" t="s">
        <v>41</v>
      </c>
      <c r="E441" s="11" t="s">
        <v>1338</v>
      </c>
      <c r="F441" s="11" t="s">
        <v>74</v>
      </c>
      <c r="G441" s="11" t="s">
        <v>995</v>
      </c>
      <c r="H441" s="11" t="s">
        <v>24</v>
      </c>
      <c r="I441" s="11" t="s">
        <v>114</v>
      </c>
      <c r="J441" s="11" t="s">
        <v>246</v>
      </c>
      <c r="K441" s="11" t="n">
        <v>1</v>
      </c>
      <c r="L441" s="15" t="n">
        <v>11865.75</v>
      </c>
      <c r="M441" s="11" t="n">
        <v>20</v>
      </c>
      <c r="N441" s="15" t="n">
        <v>11865.75</v>
      </c>
      <c r="O441" s="15" t="n">
        <v>2373.15</v>
      </c>
      <c r="P441" s="15" t="n">
        <v>9492.6</v>
      </c>
      <c r="Q441" s="15" t="n">
        <v>0</v>
      </c>
      <c r="R441" s="11" t="n">
        <v>0</v>
      </c>
      <c r="S441" s="15" t="n">
        <f aca="false">P441-Q441</f>
        <v>9492.6</v>
      </c>
      <c r="T441" s="11" t="n">
        <f aca="false">IF(OR(J441="Completed",J441="Returned"),1,0)</f>
        <v>0</v>
      </c>
    </row>
    <row r="442" customFormat="false" ht="15" hidden="false" customHeight="false" outlineLevel="0" collapsed="false">
      <c r="A442" s="11" t="s">
        <v>1339</v>
      </c>
      <c r="B442" s="11" t="s">
        <v>487</v>
      </c>
      <c r="C442" s="24" t="n">
        <v>45589</v>
      </c>
      <c r="D442" s="11" t="s">
        <v>41</v>
      </c>
      <c r="E442" s="11" t="s">
        <v>1338</v>
      </c>
      <c r="F442" s="11" t="s">
        <v>74</v>
      </c>
      <c r="G442" s="11" t="s">
        <v>830</v>
      </c>
      <c r="H442" s="11" t="s">
        <v>22</v>
      </c>
      <c r="I442" s="11" t="s">
        <v>114</v>
      </c>
      <c r="J442" s="11" t="s">
        <v>246</v>
      </c>
      <c r="K442" s="11" t="n">
        <v>4</v>
      </c>
      <c r="L442" s="15" t="n">
        <v>1179.68</v>
      </c>
      <c r="M442" s="11" t="n">
        <v>10</v>
      </c>
      <c r="N442" s="15" t="n">
        <v>4718.72</v>
      </c>
      <c r="O442" s="15" t="n">
        <v>471.87</v>
      </c>
      <c r="P442" s="15" t="n">
        <v>4246.85</v>
      </c>
      <c r="Q442" s="15" t="n">
        <v>0</v>
      </c>
      <c r="R442" s="11" t="n">
        <v>0</v>
      </c>
      <c r="S442" s="15" t="n">
        <f aca="false">P442-Q442</f>
        <v>4246.85</v>
      </c>
      <c r="T442" s="11" t="n">
        <f aca="false">IF(OR(J442="Completed",J442="Returned"),1,0)</f>
        <v>0</v>
      </c>
    </row>
    <row r="443" customFormat="false" ht="15" hidden="false" customHeight="false" outlineLevel="0" collapsed="false">
      <c r="A443" s="11" t="s">
        <v>1340</v>
      </c>
      <c r="B443" s="11" t="s">
        <v>487</v>
      </c>
      <c r="C443" s="24" t="n">
        <v>45589</v>
      </c>
      <c r="D443" s="11" t="s">
        <v>41</v>
      </c>
      <c r="E443" s="11" t="s">
        <v>1338</v>
      </c>
      <c r="F443" s="11" t="s">
        <v>74</v>
      </c>
      <c r="G443" s="11" t="s">
        <v>129</v>
      </c>
      <c r="H443" s="11" t="s">
        <v>24</v>
      </c>
      <c r="I443" s="11" t="s">
        <v>114</v>
      </c>
      <c r="J443" s="11" t="s">
        <v>246</v>
      </c>
      <c r="K443" s="11" t="n">
        <v>3</v>
      </c>
      <c r="L443" s="15" t="n">
        <v>3184.81</v>
      </c>
      <c r="M443" s="11" t="n">
        <v>5</v>
      </c>
      <c r="N443" s="15" t="n">
        <v>9554.43</v>
      </c>
      <c r="O443" s="15" t="n">
        <v>477.72</v>
      </c>
      <c r="P443" s="15" t="n">
        <v>9076.71</v>
      </c>
      <c r="Q443" s="15" t="n">
        <v>0</v>
      </c>
      <c r="R443" s="11" t="n">
        <v>0</v>
      </c>
      <c r="S443" s="15" t="n">
        <f aca="false">P443-Q443</f>
        <v>9076.71</v>
      </c>
      <c r="T443" s="11" t="n">
        <f aca="false">IF(OR(J443="Completed",J443="Returned"),1,0)</f>
        <v>0</v>
      </c>
    </row>
    <row r="444" customFormat="false" ht="15" hidden="false" customHeight="false" outlineLevel="0" collapsed="false">
      <c r="A444" s="11" t="s">
        <v>1341</v>
      </c>
      <c r="B444" s="11" t="s">
        <v>540</v>
      </c>
      <c r="C444" s="24" t="n">
        <v>45633</v>
      </c>
      <c r="D444" s="11" t="s">
        <v>43</v>
      </c>
      <c r="E444" s="11" t="s">
        <v>84</v>
      </c>
      <c r="F444" s="11" t="s">
        <v>78</v>
      </c>
      <c r="G444" s="11" t="s">
        <v>883</v>
      </c>
      <c r="H444" s="11" t="s">
        <v>21</v>
      </c>
      <c r="I444" s="11" t="s">
        <v>115</v>
      </c>
      <c r="J444" s="11" t="s">
        <v>242</v>
      </c>
      <c r="K444" s="11" t="n">
        <v>5</v>
      </c>
      <c r="L444" s="15" t="n">
        <v>11175.62</v>
      </c>
      <c r="M444" s="11" t="n">
        <v>0</v>
      </c>
      <c r="N444" s="15" t="n">
        <v>55878.1</v>
      </c>
      <c r="O444" s="15" t="n">
        <v>0</v>
      </c>
      <c r="P444" s="15" t="n">
        <v>55878.1</v>
      </c>
      <c r="Q444" s="15" t="n">
        <v>0</v>
      </c>
      <c r="R444" s="11" t="n">
        <v>0</v>
      </c>
      <c r="S444" s="15" t="n">
        <f aca="false">P444-Q444</f>
        <v>55878.1</v>
      </c>
      <c r="T444" s="11" t="n">
        <f aca="false">IF(OR(J444="Completed",J444="Returned"),1,0)</f>
        <v>1</v>
      </c>
    </row>
    <row r="445" customFormat="false" ht="15" hidden="false" customHeight="false" outlineLevel="0" collapsed="false">
      <c r="A445" s="11" t="s">
        <v>1342</v>
      </c>
      <c r="B445" s="11" t="s">
        <v>568</v>
      </c>
      <c r="C445" s="24" t="n">
        <v>45810</v>
      </c>
      <c r="D445" s="11" t="s">
        <v>49</v>
      </c>
      <c r="E445" s="11" t="s">
        <v>1161</v>
      </c>
      <c r="F445" s="11" t="s">
        <v>78</v>
      </c>
      <c r="G445" s="11" t="s">
        <v>127</v>
      </c>
      <c r="H445" s="11" t="s">
        <v>21</v>
      </c>
      <c r="I445" s="11" t="s">
        <v>114</v>
      </c>
      <c r="J445" s="11" t="s">
        <v>250</v>
      </c>
      <c r="K445" s="11" t="n">
        <v>5</v>
      </c>
      <c r="L445" s="15" t="n">
        <v>4449.14</v>
      </c>
      <c r="M445" s="11" t="n">
        <v>15</v>
      </c>
      <c r="N445" s="15" t="n">
        <v>22245.7</v>
      </c>
      <c r="O445" s="15" t="n">
        <v>3336.86</v>
      </c>
      <c r="P445" s="15" t="n">
        <v>18908.84</v>
      </c>
      <c r="Q445" s="15" t="n">
        <v>0</v>
      </c>
      <c r="R445" s="11" t="n">
        <v>0</v>
      </c>
      <c r="S445" s="15" t="n">
        <f aca="false">P445-Q445</f>
        <v>18908.84</v>
      </c>
      <c r="T445" s="11" t="n">
        <f aca="false">IF(OR(J445="Completed",J445="Returned"),1,0)</f>
        <v>0</v>
      </c>
    </row>
    <row r="446" customFormat="false" ht="15" hidden="false" customHeight="false" outlineLevel="0" collapsed="false">
      <c r="A446" s="11" t="s">
        <v>1343</v>
      </c>
      <c r="B446" s="11" t="s">
        <v>568</v>
      </c>
      <c r="C446" s="24" t="n">
        <v>45810</v>
      </c>
      <c r="D446" s="11" t="s">
        <v>49</v>
      </c>
      <c r="E446" s="11" t="s">
        <v>1161</v>
      </c>
      <c r="F446" s="11" t="s">
        <v>78</v>
      </c>
      <c r="G446" s="11" t="s">
        <v>160</v>
      </c>
      <c r="H446" s="11" t="s">
        <v>23</v>
      </c>
      <c r="I446" s="11" t="s">
        <v>114</v>
      </c>
      <c r="J446" s="11" t="s">
        <v>250</v>
      </c>
      <c r="K446" s="11" t="n">
        <v>4</v>
      </c>
      <c r="L446" s="15" t="n">
        <v>21122.18</v>
      </c>
      <c r="M446" s="11" t="n">
        <v>0</v>
      </c>
      <c r="N446" s="15" t="n">
        <v>84488.72</v>
      </c>
      <c r="O446" s="15" t="n">
        <v>0</v>
      </c>
      <c r="P446" s="15" t="n">
        <v>84488.72</v>
      </c>
      <c r="Q446" s="15" t="n">
        <v>0</v>
      </c>
      <c r="R446" s="11" t="n">
        <v>0</v>
      </c>
      <c r="S446" s="15" t="n">
        <f aca="false">P446-Q446</f>
        <v>84488.72</v>
      </c>
      <c r="T446" s="11" t="n">
        <f aca="false">IF(OR(J446="Completed",J446="Returned"),1,0)</f>
        <v>0</v>
      </c>
    </row>
    <row r="447" customFormat="false" ht="15" hidden="false" customHeight="false" outlineLevel="0" collapsed="false">
      <c r="A447" s="11" t="s">
        <v>1344</v>
      </c>
      <c r="B447" s="11" t="s">
        <v>568</v>
      </c>
      <c r="C447" s="24" t="n">
        <v>45810</v>
      </c>
      <c r="D447" s="11" t="s">
        <v>49</v>
      </c>
      <c r="E447" s="11" t="s">
        <v>1161</v>
      </c>
      <c r="F447" s="11" t="s">
        <v>78</v>
      </c>
      <c r="G447" s="11" t="s">
        <v>129</v>
      </c>
      <c r="H447" s="11" t="s">
        <v>24</v>
      </c>
      <c r="I447" s="11" t="s">
        <v>114</v>
      </c>
      <c r="J447" s="11" t="s">
        <v>250</v>
      </c>
      <c r="K447" s="11" t="n">
        <v>5</v>
      </c>
      <c r="L447" s="15" t="n">
        <v>3184.81</v>
      </c>
      <c r="M447" s="11" t="n">
        <v>5</v>
      </c>
      <c r="N447" s="15" t="n">
        <v>15924.05</v>
      </c>
      <c r="O447" s="15" t="n">
        <v>796.2</v>
      </c>
      <c r="P447" s="15" t="n">
        <v>15127.85</v>
      </c>
      <c r="Q447" s="15" t="n">
        <v>0</v>
      </c>
      <c r="R447" s="11" t="n">
        <v>0</v>
      </c>
      <c r="S447" s="15" t="n">
        <f aca="false">P447-Q447</f>
        <v>15127.85</v>
      </c>
      <c r="T447" s="11" t="n">
        <f aca="false">IF(OR(J447="Completed",J447="Returned"),1,0)</f>
        <v>0</v>
      </c>
    </row>
    <row r="448" customFormat="false" ht="15" hidden="false" customHeight="false" outlineLevel="0" collapsed="false">
      <c r="A448" s="11" t="s">
        <v>1345</v>
      </c>
      <c r="B448" s="11" t="s">
        <v>568</v>
      </c>
      <c r="C448" s="24" t="n">
        <v>45810</v>
      </c>
      <c r="D448" s="11" t="s">
        <v>49</v>
      </c>
      <c r="E448" s="11" t="s">
        <v>1161</v>
      </c>
      <c r="F448" s="11" t="s">
        <v>78</v>
      </c>
      <c r="G448" s="11" t="s">
        <v>156</v>
      </c>
      <c r="H448" s="11" t="s">
        <v>23</v>
      </c>
      <c r="I448" s="11" t="s">
        <v>114</v>
      </c>
      <c r="J448" s="11" t="s">
        <v>250</v>
      </c>
      <c r="K448" s="11" t="n">
        <v>2</v>
      </c>
      <c r="L448" s="15" t="n">
        <v>11992.92</v>
      </c>
      <c r="M448" s="11" t="n">
        <v>15</v>
      </c>
      <c r="N448" s="15" t="n">
        <v>23985.84</v>
      </c>
      <c r="O448" s="15" t="n">
        <v>3597.88</v>
      </c>
      <c r="P448" s="15" t="n">
        <v>20387.96</v>
      </c>
      <c r="Q448" s="15" t="n">
        <v>0</v>
      </c>
      <c r="R448" s="11" t="n">
        <v>0</v>
      </c>
      <c r="S448" s="15" t="n">
        <f aca="false">P448-Q448</f>
        <v>20387.96</v>
      </c>
      <c r="T448" s="11" t="n">
        <f aca="false">IF(OR(J448="Completed",J448="Returned"),1,0)</f>
        <v>0</v>
      </c>
    </row>
    <row r="449" customFormat="false" ht="15" hidden="false" customHeight="false" outlineLevel="0" collapsed="false">
      <c r="A449" s="11" t="s">
        <v>1346</v>
      </c>
      <c r="B449" s="11" t="s">
        <v>430</v>
      </c>
      <c r="C449" s="24" t="n">
        <v>45572</v>
      </c>
      <c r="D449" s="11" t="s">
        <v>41</v>
      </c>
      <c r="E449" s="11" t="s">
        <v>853</v>
      </c>
      <c r="F449" s="11" t="s">
        <v>74</v>
      </c>
      <c r="G449" s="11" t="s">
        <v>623</v>
      </c>
      <c r="H449" s="11" t="s">
        <v>20</v>
      </c>
      <c r="I449" s="11" t="s">
        <v>113</v>
      </c>
      <c r="J449" s="11" t="s">
        <v>250</v>
      </c>
      <c r="K449" s="11" t="n">
        <v>5</v>
      </c>
      <c r="L449" s="15" t="n">
        <v>16535.66</v>
      </c>
      <c r="M449" s="11" t="n">
        <v>5</v>
      </c>
      <c r="N449" s="15" t="n">
        <v>82678.3</v>
      </c>
      <c r="O449" s="15" t="n">
        <v>4133.92</v>
      </c>
      <c r="P449" s="15" t="n">
        <v>78544.38</v>
      </c>
      <c r="Q449" s="15" t="n">
        <v>0</v>
      </c>
      <c r="R449" s="11" t="n">
        <v>0</v>
      </c>
      <c r="S449" s="15" t="n">
        <f aca="false">P449-Q449</f>
        <v>78544.38</v>
      </c>
      <c r="T449" s="11" t="n">
        <f aca="false">IF(OR(J449="Completed",J449="Returned"),1,0)</f>
        <v>0</v>
      </c>
    </row>
    <row r="450" customFormat="false" ht="15" hidden="false" customHeight="false" outlineLevel="0" collapsed="false">
      <c r="A450" s="11" t="s">
        <v>1347</v>
      </c>
      <c r="B450" s="11" t="s">
        <v>430</v>
      </c>
      <c r="C450" s="24" t="n">
        <v>45572</v>
      </c>
      <c r="D450" s="11" t="s">
        <v>41</v>
      </c>
      <c r="E450" s="11" t="s">
        <v>853</v>
      </c>
      <c r="F450" s="11" t="s">
        <v>74</v>
      </c>
      <c r="G450" s="11" t="s">
        <v>830</v>
      </c>
      <c r="H450" s="11" t="s">
        <v>22</v>
      </c>
      <c r="I450" s="11" t="s">
        <v>113</v>
      </c>
      <c r="J450" s="11" t="s">
        <v>250</v>
      </c>
      <c r="K450" s="11" t="n">
        <v>2</v>
      </c>
      <c r="L450" s="15" t="n">
        <v>1179.68</v>
      </c>
      <c r="M450" s="11" t="n">
        <v>0</v>
      </c>
      <c r="N450" s="15" t="n">
        <v>2359.36</v>
      </c>
      <c r="O450" s="15" t="n">
        <v>0</v>
      </c>
      <c r="P450" s="15" t="n">
        <v>2359.36</v>
      </c>
      <c r="Q450" s="15" t="n">
        <v>0</v>
      </c>
      <c r="R450" s="11" t="n">
        <v>0</v>
      </c>
      <c r="S450" s="15" t="n">
        <f aca="false">P450-Q450</f>
        <v>2359.36</v>
      </c>
      <c r="T450" s="11" t="n">
        <f aca="false">IF(OR(J450="Completed",J450="Returned"),1,0)</f>
        <v>0</v>
      </c>
    </row>
    <row r="451" customFormat="false" ht="15" hidden="false" customHeight="false" outlineLevel="0" collapsed="false">
      <c r="A451" s="11" t="s">
        <v>1348</v>
      </c>
      <c r="B451" s="11" t="s">
        <v>430</v>
      </c>
      <c r="C451" s="24" t="n">
        <v>45572</v>
      </c>
      <c r="D451" s="11" t="s">
        <v>41</v>
      </c>
      <c r="E451" s="11" t="s">
        <v>853</v>
      </c>
      <c r="F451" s="11" t="s">
        <v>74</v>
      </c>
      <c r="G451" s="11" t="s">
        <v>615</v>
      </c>
      <c r="H451" s="11" t="s">
        <v>23</v>
      </c>
      <c r="I451" s="11" t="s">
        <v>113</v>
      </c>
      <c r="J451" s="11" t="s">
        <v>250</v>
      </c>
      <c r="K451" s="11" t="n">
        <v>5</v>
      </c>
      <c r="L451" s="15" t="n">
        <v>2863.09</v>
      </c>
      <c r="M451" s="11" t="n">
        <v>15</v>
      </c>
      <c r="N451" s="15" t="n">
        <v>14315.45</v>
      </c>
      <c r="O451" s="15" t="n">
        <v>2147.32</v>
      </c>
      <c r="P451" s="15" t="n">
        <v>12168.13</v>
      </c>
      <c r="Q451" s="15" t="n">
        <v>0</v>
      </c>
      <c r="R451" s="11" t="n">
        <v>0</v>
      </c>
      <c r="S451" s="15" t="n">
        <f aca="false">P451-Q451</f>
        <v>12168.13</v>
      </c>
      <c r="T451" s="11" t="n">
        <f aca="false">IF(OR(J451="Completed",J451="Returned"),1,0)</f>
        <v>0</v>
      </c>
    </row>
    <row r="452" customFormat="false" ht="15" hidden="false" customHeight="false" outlineLevel="0" collapsed="false">
      <c r="A452" s="11" t="s">
        <v>1349</v>
      </c>
      <c r="B452" s="11" t="s">
        <v>472</v>
      </c>
      <c r="C452" s="24" t="n">
        <v>45884</v>
      </c>
      <c r="D452" s="11" t="s">
        <v>51</v>
      </c>
      <c r="E452" s="11" t="s">
        <v>1218</v>
      </c>
      <c r="F452" s="11" t="s">
        <v>78</v>
      </c>
      <c r="G452" s="11" t="s">
        <v>907</v>
      </c>
      <c r="H452" s="11" t="s">
        <v>22</v>
      </c>
      <c r="I452" s="11" t="s">
        <v>113</v>
      </c>
      <c r="J452" s="11" t="s">
        <v>250</v>
      </c>
      <c r="K452" s="11" t="n">
        <v>3</v>
      </c>
      <c r="L452" s="15" t="n">
        <v>25643.17</v>
      </c>
      <c r="M452" s="11" t="n">
        <v>20</v>
      </c>
      <c r="N452" s="15" t="n">
        <v>76929.51</v>
      </c>
      <c r="O452" s="15" t="n">
        <v>15385.9</v>
      </c>
      <c r="P452" s="15" t="n">
        <v>61543.61</v>
      </c>
      <c r="Q452" s="15" t="n">
        <v>0</v>
      </c>
      <c r="R452" s="11" t="n">
        <v>0</v>
      </c>
      <c r="S452" s="15" t="n">
        <f aca="false">P452-Q452</f>
        <v>61543.61</v>
      </c>
      <c r="T452" s="11" t="n">
        <f aca="false">IF(OR(J452="Completed",J452="Returned"),1,0)</f>
        <v>0</v>
      </c>
    </row>
    <row r="453" customFormat="false" ht="15" hidden="false" customHeight="false" outlineLevel="0" collapsed="false">
      <c r="A453" s="11" t="s">
        <v>1350</v>
      </c>
      <c r="B453" s="11" t="s">
        <v>472</v>
      </c>
      <c r="C453" s="24" t="n">
        <v>45884</v>
      </c>
      <c r="D453" s="11" t="s">
        <v>51</v>
      </c>
      <c r="E453" s="11" t="s">
        <v>1218</v>
      </c>
      <c r="F453" s="11" t="s">
        <v>78</v>
      </c>
      <c r="G453" s="11" t="s">
        <v>162</v>
      </c>
      <c r="H453" s="11" t="s">
        <v>20</v>
      </c>
      <c r="I453" s="11" t="s">
        <v>113</v>
      </c>
      <c r="J453" s="11" t="s">
        <v>250</v>
      </c>
      <c r="K453" s="11" t="n">
        <v>1</v>
      </c>
      <c r="L453" s="15" t="n">
        <v>16084.14</v>
      </c>
      <c r="M453" s="11" t="n">
        <v>20</v>
      </c>
      <c r="N453" s="15" t="n">
        <v>16084.14</v>
      </c>
      <c r="O453" s="15" t="n">
        <v>3216.83</v>
      </c>
      <c r="P453" s="15" t="n">
        <v>12867.31</v>
      </c>
      <c r="Q453" s="15" t="n">
        <v>0</v>
      </c>
      <c r="R453" s="11" t="n">
        <v>0</v>
      </c>
      <c r="S453" s="15" t="n">
        <f aca="false">P453-Q453</f>
        <v>12867.31</v>
      </c>
      <c r="T453" s="11" t="n">
        <f aca="false">IF(OR(J453="Completed",J453="Returned"),1,0)</f>
        <v>0</v>
      </c>
    </row>
    <row r="454" customFormat="false" ht="15" hidden="false" customHeight="false" outlineLevel="0" collapsed="false">
      <c r="A454" s="11" t="s">
        <v>1351</v>
      </c>
      <c r="B454" s="11" t="s">
        <v>472</v>
      </c>
      <c r="C454" s="24" t="n">
        <v>45884</v>
      </c>
      <c r="D454" s="11" t="s">
        <v>51</v>
      </c>
      <c r="E454" s="11" t="s">
        <v>1218</v>
      </c>
      <c r="F454" s="11" t="s">
        <v>78</v>
      </c>
      <c r="G454" s="11" t="s">
        <v>995</v>
      </c>
      <c r="H454" s="11" t="s">
        <v>24</v>
      </c>
      <c r="I454" s="11" t="s">
        <v>113</v>
      </c>
      <c r="J454" s="11" t="s">
        <v>250</v>
      </c>
      <c r="K454" s="11" t="n">
        <v>3</v>
      </c>
      <c r="L454" s="15" t="n">
        <v>11865.75</v>
      </c>
      <c r="M454" s="11" t="n">
        <v>20</v>
      </c>
      <c r="N454" s="15" t="n">
        <v>35597.25</v>
      </c>
      <c r="O454" s="15" t="n">
        <v>7119.45</v>
      </c>
      <c r="P454" s="15" t="n">
        <v>28477.8</v>
      </c>
      <c r="Q454" s="15" t="n">
        <v>0</v>
      </c>
      <c r="R454" s="11" t="n">
        <v>0</v>
      </c>
      <c r="S454" s="15" t="n">
        <f aca="false">P454-Q454</f>
        <v>28477.8</v>
      </c>
      <c r="T454" s="11" t="n">
        <f aca="false">IF(OR(J454="Completed",J454="Returned"),1,0)</f>
        <v>0</v>
      </c>
    </row>
    <row r="455" customFormat="false" ht="15" hidden="false" customHeight="false" outlineLevel="0" collapsed="false">
      <c r="A455" s="11" t="s">
        <v>1352</v>
      </c>
      <c r="B455" s="11" t="s">
        <v>563</v>
      </c>
      <c r="C455" s="24" t="n">
        <v>45821</v>
      </c>
      <c r="D455" s="11" t="s">
        <v>49</v>
      </c>
      <c r="E455" s="11" t="s">
        <v>95</v>
      </c>
      <c r="F455" s="11" t="s">
        <v>78</v>
      </c>
      <c r="G455" s="11" t="s">
        <v>611</v>
      </c>
      <c r="H455" s="11" t="s">
        <v>22</v>
      </c>
      <c r="I455" s="11" t="s">
        <v>115</v>
      </c>
      <c r="J455" s="11" t="s">
        <v>269</v>
      </c>
      <c r="K455" s="11" t="n">
        <v>1</v>
      </c>
      <c r="L455" s="15" t="n">
        <v>3634.57</v>
      </c>
      <c r="M455" s="11" t="n">
        <v>10</v>
      </c>
      <c r="N455" s="15" t="n">
        <v>3634.57</v>
      </c>
      <c r="O455" s="15" t="n">
        <v>363.46</v>
      </c>
      <c r="P455" s="15" t="n">
        <v>3271.11</v>
      </c>
      <c r="Q455" s="15" t="n">
        <v>0</v>
      </c>
      <c r="R455" s="11" t="n">
        <v>0</v>
      </c>
      <c r="S455" s="15" t="n">
        <f aca="false">P455-Q455</f>
        <v>3271.11</v>
      </c>
      <c r="T455" s="11" t="n">
        <f aca="false">IF(OR(J455="Completed",J455="Returned"),1,0)</f>
        <v>1</v>
      </c>
    </row>
    <row r="456" customFormat="false" ht="15" hidden="false" customHeight="false" outlineLevel="0" collapsed="false">
      <c r="A456" s="11" t="s">
        <v>1353</v>
      </c>
      <c r="B456" s="11" t="s">
        <v>563</v>
      </c>
      <c r="C456" s="24" t="n">
        <v>45821</v>
      </c>
      <c r="D456" s="11" t="s">
        <v>49</v>
      </c>
      <c r="E456" s="11" t="s">
        <v>95</v>
      </c>
      <c r="F456" s="11" t="s">
        <v>78</v>
      </c>
      <c r="G456" s="11" t="s">
        <v>129</v>
      </c>
      <c r="H456" s="11" t="s">
        <v>24</v>
      </c>
      <c r="I456" s="11" t="s">
        <v>115</v>
      </c>
      <c r="J456" s="11" t="s">
        <v>269</v>
      </c>
      <c r="K456" s="11" t="n">
        <v>1</v>
      </c>
      <c r="L456" s="15" t="n">
        <v>3184.81</v>
      </c>
      <c r="M456" s="11" t="n">
        <v>10</v>
      </c>
      <c r="N456" s="15" t="n">
        <v>3184.81</v>
      </c>
      <c r="O456" s="15" t="n">
        <v>318.48</v>
      </c>
      <c r="P456" s="15" t="n">
        <v>2866.33</v>
      </c>
      <c r="Q456" s="15" t="n">
        <v>0</v>
      </c>
      <c r="R456" s="11" t="n">
        <v>0</v>
      </c>
      <c r="S456" s="15" t="n">
        <f aca="false">P456-Q456</f>
        <v>2866.33</v>
      </c>
      <c r="T456" s="11" t="n">
        <f aca="false">IF(OR(J456="Completed",J456="Returned"),1,0)</f>
        <v>1</v>
      </c>
    </row>
    <row r="457" customFormat="false" ht="15" hidden="false" customHeight="false" outlineLevel="0" collapsed="false">
      <c r="A457" s="11" t="s">
        <v>1354</v>
      </c>
      <c r="B457" s="11" t="s">
        <v>563</v>
      </c>
      <c r="C457" s="24" t="n">
        <v>45821</v>
      </c>
      <c r="D457" s="11" t="s">
        <v>49</v>
      </c>
      <c r="E457" s="11" t="s">
        <v>95</v>
      </c>
      <c r="F457" s="11" t="s">
        <v>78</v>
      </c>
      <c r="G457" s="11" t="s">
        <v>619</v>
      </c>
      <c r="H457" s="11" t="s">
        <v>23</v>
      </c>
      <c r="I457" s="11" t="s">
        <v>115</v>
      </c>
      <c r="J457" s="11" t="s">
        <v>269</v>
      </c>
      <c r="K457" s="11" t="n">
        <v>5</v>
      </c>
      <c r="L457" s="15" t="n">
        <v>20550.39</v>
      </c>
      <c r="M457" s="11" t="n">
        <v>15</v>
      </c>
      <c r="N457" s="15" t="n">
        <v>102751.95</v>
      </c>
      <c r="O457" s="15" t="n">
        <v>15412.79</v>
      </c>
      <c r="P457" s="15" t="n">
        <v>87339.16</v>
      </c>
      <c r="Q457" s="15" t="n">
        <v>0</v>
      </c>
      <c r="R457" s="11" t="n">
        <v>0</v>
      </c>
      <c r="S457" s="15" t="n">
        <f aca="false">P457-Q457</f>
        <v>87339.16</v>
      </c>
      <c r="T457" s="11" t="n">
        <f aca="false">IF(OR(J457="Completed",J457="Returned"),1,0)</f>
        <v>1</v>
      </c>
    </row>
    <row r="458" customFormat="false" ht="15" hidden="false" customHeight="false" outlineLevel="0" collapsed="false">
      <c r="A458" s="11" t="s">
        <v>1355</v>
      </c>
      <c r="B458" s="11" t="s">
        <v>446</v>
      </c>
      <c r="C458" s="24" t="n">
        <v>45473</v>
      </c>
      <c r="D458" s="11" t="s">
        <v>37</v>
      </c>
      <c r="E458" s="11" t="s">
        <v>1356</v>
      </c>
      <c r="F458" s="11" t="s">
        <v>78</v>
      </c>
      <c r="G458" s="11" t="s">
        <v>939</v>
      </c>
      <c r="H458" s="11" t="s">
        <v>21</v>
      </c>
      <c r="I458" s="11" t="s">
        <v>113</v>
      </c>
      <c r="J458" s="11" t="s">
        <v>269</v>
      </c>
      <c r="K458" s="11" t="n">
        <v>5</v>
      </c>
      <c r="L458" s="15" t="n">
        <v>17637.28</v>
      </c>
      <c r="M458" s="11" t="n">
        <v>20</v>
      </c>
      <c r="N458" s="15" t="n">
        <v>88186.4</v>
      </c>
      <c r="O458" s="15" t="n">
        <v>17637.28</v>
      </c>
      <c r="P458" s="15" t="n">
        <v>70549.12</v>
      </c>
      <c r="Q458" s="15" t="n">
        <v>0</v>
      </c>
      <c r="R458" s="11" t="n">
        <v>0</v>
      </c>
      <c r="S458" s="15" t="n">
        <f aca="false">P458-Q458</f>
        <v>70549.12</v>
      </c>
      <c r="T458" s="11" t="n">
        <f aca="false">IF(OR(J458="Completed",J458="Returned"),1,0)</f>
        <v>1</v>
      </c>
    </row>
    <row r="459" customFormat="false" ht="15" hidden="false" customHeight="false" outlineLevel="0" collapsed="false">
      <c r="A459" s="11" t="s">
        <v>1357</v>
      </c>
      <c r="B459" s="11" t="s">
        <v>446</v>
      </c>
      <c r="C459" s="24" t="n">
        <v>45473</v>
      </c>
      <c r="D459" s="11" t="s">
        <v>37</v>
      </c>
      <c r="E459" s="11" t="s">
        <v>1356</v>
      </c>
      <c r="F459" s="11" t="s">
        <v>78</v>
      </c>
      <c r="G459" s="11" t="s">
        <v>141</v>
      </c>
      <c r="H459" s="11" t="s">
        <v>24</v>
      </c>
      <c r="I459" s="11" t="s">
        <v>113</v>
      </c>
      <c r="J459" s="11" t="s">
        <v>269</v>
      </c>
      <c r="K459" s="11" t="n">
        <v>5</v>
      </c>
      <c r="L459" s="15" t="n">
        <v>20481.04</v>
      </c>
      <c r="M459" s="11" t="n">
        <v>20</v>
      </c>
      <c r="N459" s="15" t="n">
        <v>102405.2</v>
      </c>
      <c r="O459" s="15" t="n">
        <v>20481.04</v>
      </c>
      <c r="P459" s="15" t="n">
        <v>81924.16</v>
      </c>
      <c r="Q459" s="15" t="n">
        <v>0</v>
      </c>
      <c r="R459" s="11" t="n">
        <v>0</v>
      </c>
      <c r="S459" s="15" t="n">
        <f aca="false">P459-Q459</f>
        <v>81924.16</v>
      </c>
      <c r="T459" s="11" t="n">
        <f aca="false">IF(OR(J459="Completed",J459="Returned"),1,0)</f>
        <v>1</v>
      </c>
    </row>
    <row r="460" customFormat="false" ht="15" hidden="false" customHeight="false" outlineLevel="0" collapsed="false">
      <c r="A460" s="11" t="s">
        <v>1358</v>
      </c>
      <c r="B460" s="11" t="s">
        <v>296</v>
      </c>
      <c r="C460" s="24" t="n">
        <v>45369</v>
      </c>
      <c r="D460" s="11" t="s">
        <v>34</v>
      </c>
      <c r="E460" s="11" t="s">
        <v>824</v>
      </c>
      <c r="F460" s="11" t="s">
        <v>78</v>
      </c>
      <c r="G460" s="11" t="s">
        <v>145</v>
      </c>
      <c r="H460" s="11" t="s">
        <v>20</v>
      </c>
      <c r="I460" s="11" t="s">
        <v>113</v>
      </c>
      <c r="J460" s="11" t="s">
        <v>242</v>
      </c>
      <c r="K460" s="11" t="n">
        <v>2</v>
      </c>
      <c r="L460" s="15" t="n">
        <v>20098.63</v>
      </c>
      <c r="M460" s="11" t="n">
        <v>20</v>
      </c>
      <c r="N460" s="15" t="n">
        <v>40197.26</v>
      </c>
      <c r="O460" s="15" t="n">
        <v>8039.45</v>
      </c>
      <c r="P460" s="15" t="n">
        <v>32157.81</v>
      </c>
      <c r="Q460" s="15" t="n">
        <v>0</v>
      </c>
      <c r="R460" s="11" t="n">
        <v>0</v>
      </c>
      <c r="S460" s="15" t="n">
        <f aca="false">P460-Q460</f>
        <v>32157.81</v>
      </c>
      <c r="T460" s="11" t="n">
        <f aca="false">IF(OR(J460="Completed",J460="Returned"),1,0)</f>
        <v>1</v>
      </c>
    </row>
    <row r="461" customFormat="false" ht="15" hidden="false" customHeight="false" outlineLevel="0" collapsed="false">
      <c r="A461" s="11" t="s">
        <v>1359</v>
      </c>
      <c r="B461" s="11" t="s">
        <v>297</v>
      </c>
      <c r="C461" s="24" t="n">
        <v>45337</v>
      </c>
      <c r="D461" s="11" t="s">
        <v>33</v>
      </c>
      <c r="E461" s="11" t="s">
        <v>1322</v>
      </c>
      <c r="F461" s="11" t="s">
        <v>78</v>
      </c>
      <c r="G461" s="11" t="s">
        <v>957</v>
      </c>
      <c r="H461" s="11" t="s">
        <v>23</v>
      </c>
      <c r="I461" s="11" t="s">
        <v>115</v>
      </c>
      <c r="J461" s="11" t="s">
        <v>242</v>
      </c>
      <c r="K461" s="11" t="n">
        <v>1</v>
      </c>
      <c r="L461" s="15" t="n">
        <v>1741.05</v>
      </c>
      <c r="M461" s="11" t="n">
        <v>10</v>
      </c>
      <c r="N461" s="15" t="n">
        <v>1741.05</v>
      </c>
      <c r="O461" s="15" t="n">
        <v>174.1</v>
      </c>
      <c r="P461" s="15" t="n">
        <v>1566.95</v>
      </c>
      <c r="Q461" s="15" t="n">
        <v>0</v>
      </c>
      <c r="R461" s="11" t="n">
        <v>0</v>
      </c>
      <c r="S461" s="15" t="n">
        <f aca="false">P461-Q461</f>
        <v>1566.95</v>
      </c>
      <c r="T461" s="11" t="n">
        <f aca="false">IF(OR(J461="Completed",J461="Returned"),1,0)</f>
        <v>1</v>
      </c>
    </row>
    <row r="462" customFormat="false" ht="15" hidden="false" customHeight="false" outlineLevel="0" collapsed="false">
      <c r="A462" s="11" t="s">
        <v>1360</v>
      </c>
      <c r="B462" s="11" t="s">
        <v>297</v>
      </c>
      <c r="C462" s="24" t="n">
        <v>45337</v>
      </c>
      <c r="D462" s="11" t="s">
        <v>33</v>
      </c>
      <c r="E462" s="11" t="s">
        <v>1322</v>
      </c>
      <c r="F462" s="11" t="s">
        <v>78</v>
      </c>
      <c r="G462" s="11" t="s">
        <v>133</v>
      </c>
      <c r="H462" s="11" t="s">
        <v>21</v>
      </c>
      <c r="I462" s="11" t="s">
        <v>115</v>
      </c>
      <c r="J462" s="11" t="s">
        <v>242</v>
      </c>
      <c r="K462" s="11" t="n">
        <v>4</v>
      </c>
      <c r="L462" s="15" t="n">
        <v>15706.03</v>
      </c>
      <c r="M462" s="11" t="n">
        <v>0</v>
      </c>
      <c r="N462" s="15" t="n">
        <v>62824.12</v>
      </c>
      <c r="O462" s="15" t="n">
        <v>0</v>
      </c>
      <c r="P462" s="15" t="n">
        <v>62824.12</v>
      </c>
      <c r="Q462" s="15" t="n">
        <v>0</v>
      </c>
      <c r="R462" s="11" t="n">
        <v>0</v>
      </c>
      <c r="S462" s="15" t="n">
        <f aca="false">P462-Q462</f>
        <v>62824.12</v>
      </c>
      <c r="T462" s="11" t="n">
        <f aca="false">IF(OR(J462="Completed",J462="Returned"),1,0)</f>
        <v>1</v>
      </c>
    </row>
    <row r="463" customFormat="false" ht="15" hidden="false" customHeight="false" outlineLevel="0" collapsed="false">
      <c r="A463" s="11" t="s">
        <v>1361</v>
      </c>
      <c r="B463" s="11" t="s">
        <v>297</v>
      </c>
      <c r="C463" s="24" t="n">
        <v>45337</v>
      </c>
      <c r="D463" s="11" t="s">
        <v>33</v>
      </c>
      <c r="E463" s="11" t="s">
        <v>1322</v>
      </c>
      <c r="F463" s="11" t="s">
        <v>78</v>
      </c>
      <c r="G463" s="11" t="s">
        <v>626</v>
      </c>
      <c r="H463" s="11" t="s">
        <v>24</v>
      </c>
      <c r="I463" s="11" t="s">
        <v>115</v>
      </c>
      <c r="J463" s="11" t="s">
        <v>242</v>
      </c>
      <c r="K463" s="11" t="n">
        <v>4</v>
      </c>
      <c r="L463" s="15" t="n">
        <v>11932.31</v>
      </c>
      <c r="M463" s="11" t="n">
        <v>15</v>
      </c>
      <c r="N463" s="15" t="n">
        <v>47729.24</v>
      </c>
      <c r="O463" s="15" t="n">
        <v>7159.39</v>
      </c>
      <c r="P463" s="15" t="n">
        <v>40569.85</v>
      </c>
      <c r="Q463" s="15" t="n">
        <v>0</v>
      </c>
      <c r="R463" s="11" t="n">
        <v>0</v>
      </c>
      <c r="S463" s="15" t="n">
        <f aca="false">P463-Q463</f>
        <v>40569.85</v>
      </c>
      <c r="T463" s="11" t="n">
        <f aca="false">IF(OR(J463="Completed",J463="Returned"),1,0)</f>
        <v>1</v>
      </c>
    </row>
    <row r="464" customFormat="false" ht="15" hidden="false" customHeight="false" outlineLevel="0" collapsed="false">
      <c r="A464" s="11" t="s">
        <v>1362</v>
      </c>
      <c r="B464" s="11" t="s">
        <v>297</v>
      </c>
      <c r="C464" s="24" t="n">
        <v>45337</v>
      </c>
      <c r="D464" s="11" t="s">
        <v>33</v>
      </c>
      <c r="E464" s="11" t="s">
        <v>1322</v>
      </c>
      <c r="F464" s="11" t="s">
        <v>78</v>
      </c>
      <c r="G464" s="11" t="s">
        <v>830</v>
      </c>
      <c r="H464" s="11" t="s">
        <v>22</v>
      </c>
      <c r="I464" s="11" t="s">
        <v>115</v>
      </c>
      <c r="J464" s="11" t="s">
        <v>242</v>
      </c>
      <c r="K464" s="11" t="n">
        <v>3</v>
      </c>
      <c r="L464" s="15" t="n">
        <v>1179.68</v>
      </c>
      <c r="M464" s="11" t="n">
        <v>15</v>
      </c>
      <c r="N464" s="15" t="n">
        <v>3539.04</v>
      </c>
      <c r="O464" s="15" t="n">
        <v>530.86</v>
      </c>
      <c r="P464" s="15" t="n">
        <v>3008.18</v>
      </c>
      <c r="Q464" s="15" t="n">
        <v>0</v>
      </c>
      <c r="R464" s="11" t="n">
        <v>0</v>
      </c>
      <c r="S464" s="15" t="n">
        <f aca="false">P464-Q464</f>
        <v>3008.18</v>
      </c>
      <c r="T464" s="11" t="n">
        <f aca="false">IF(OR(J464="Completed",J464="Returned"),1,0)</f>
        <v>1</v>
      </c>
    </row>
    <row r="465" customFormat="false" ht="15" hidden="false" customHeight="false" outlineLevel="0" collapsed="false">
      <c r="A465" s="11" t="s">
        <v>1363</v>
      </c>
      <c r="B465" s="11" t="s">
        <v>354</v>
      </c>
      <c r="C465" s="24" t="n">
        <v>45653</v>
      </c>
      <c r="D465" s="11" t="s">
        <v>43</v>
      </c>
      <c r="E465" s="11" t="s">
        <v>1212</v>
      </c>
      <c r="F465" s="11" t="s">
        <v>74</v>
      </c>
      <c r="G465" s="11" t="s">
        <v>162</v>
      </c>
      <c r="H465" s="11" t="s">
        <v>20</v>
      </c>
      <c r="I465" s="11" t="s">
        <v>115</v>
      </c>
      <c r="J465" s="11" t="s">
        <v>242</v>
      </c>
      <c r="K465" s="11" t="n">
        <v>4</v>
      </c>
      <c r="L465" s="15" t="n">
        <v>16084.14</v>
      </c>
      <c r="M465" s="11" t="n">
        <v>20</v>
      </c>
      <c r="N465" s="15" t="n">
        <v>64336.56</v>
      </c>
      <c r="O465" s="15" t="n">
        <v>12867.31</v>
      </c>
      <c r="P465" s="15" t="n">
        <v>51469.25</v>
      </c>
      <c r="Q465" s="15" t="n">
        <v>0</v>
      </c>
      <c r="R465" s="11" t="n">
        <v>0</v>
      </c>
      <c r="S465" s="15" t="n">
        <f aca="false">P465-Q465</f>
        <v>51469.25</v>
      </c>
      <c r="T465" s="11" t="n">
        <f aca="false">IF(OR(J465="Completed",J465="Returned"),1,0)</f>
        <v>1</v>
      </c>
    </row>
    <row r="466" customFormat="false" ht="15" hidden="false" customHeight="false" outlineLevel="0" collapsed="false">
      <c r="A466" s="11" t="s">
        <v>1364</v>
      </c>
      <c r="B466" s="11" t="s">
        <v>354</v>
      </c>
      <c r="C466" s="24" t="n">
        <v>45653</v>
      </c>
      <c r="D466" s="11" t="s">
        <v>43</v>
      </c>
      <c r="E466" s="11" t="s">
        <v>1212</v>
      </c>
      <c r="F466" s="11" t="s">
        <v>74</v>
      </c>
      <c r="G466" s="11" t="s">
        <v>641</v>
      </c>
      <c r="H466" s="11" t="s">
        <v>24</v>
      </c>
      <c r="I466" s="11" t="s">
        <v>115</v>
      </c>
      <c r="J466" s="11" t="s">
        <v>242</v>
      </c>
      <c r="K466" s="11" t="n">
        <v>2</v>
      </c>
      <c r="L466" s="15" t="n">
        <v>7313.65</v>
      </c>
      <c r="M466" s="11" t="n">
        <v>15</v>
      </c>
      <c r="N466" s="15" t="n">
        <v>14627.3</v>
      </c>
      <c r="O466" s="15" t="n">
        <v>2194.09</v>
      </c>
      <c r="P466" s="15" t="n">
        <v>12433.21</v>
      </c>
      <c r="Q466" s="15" t="n">
        <v>0</v>
      </c>
      <c r="R466" s="11" t="n">
        <v>0</v>
      </c>
      <c r="S466" s="15" t="n">
        <f aca="false">P466-Q466</f>
        <v>12433.21</v>
      </c>
      <c r="T466" s="11" t="n">
        <f aca="false">IF(OR(J466="Completed",J466="Returned"),1,0)</f>
        <v>1</v>
      </c>
    </row>
    <row r="467" customFormat="false" ht="15" hidden="false" customHeight="false" outlineLevel="0" collapsed="false">
      <c r="A467" s="11" t="s">
        <v>1365</v>
      </c>
      <c r="B467" s="11" t="s">
        <v>354</v>
      </c>
      <c r="C467" s="24" t="n">
        <v>45653</v>
      </c>
      <c r="D467" s="11" t="s">
        <v>43</v>
      </c>
      <c r="E467" s="11" t="s">
        <v>1212</v>
      </c>
      <c r="F467" s="11" t="s">
        <v>74</v>
      </c>
      <c r="G467" s="11" t="s">
        <v>133</v>
      </c>
      <c r="H467" s="11" t="s">
        <v>21</v>
      </c>
      <c r="I467" s="11" t="s">
        <v>115</v>
      </c>
      <c r="J467" s="11" t="s">
        <v>242</v>
      </c>
      <c r="K467" s="11" t="n">
        <v>4</v>
      </c>
      <c r="L467" s="15" t="n">
        <v>15706.03</v>
      </c>
      <c r="M467" s="11" t="n">
        <v>0</v>
      </c>
      <c r="N467" s="15" t="n">
        <v>62824.12</v>
      </c>
      <c r="O467" s="15" t="n">
        <v>0</v>
      </c>
      <c r="P467" s="15" t="n">
        <v>62824.12</v>
      </c>
      <c r="Q467" s="15" t="n">
        <v>0</v>
      </c>
      <c r="R467" s="11" t="n">
        <v>0</v>
      </c>
      <c r="S467" s="15" t="n">
        <f aca="false">P467-Q467</f>
        <v>62824.12</v>
      </c>
      <c r="T467" s="11" t="n">
        <f aca="false">IF(OR(J467="Completed",J467="Returned"),1,0)</f>
        <v>1</v>
      </c>
    </row>
    <row r="468" customFormat="false" ht="15" hidden="false" customHeight="false" outlineLevel="0" collapsed="false">
      <c r="A468" s="11" t="s">
        <v>1366</v>
      </c>
      <c r="B468" s="11" t="s">
        <v>354</v>
      </c>
      <c r="C468" s="24" t="n">
        <v>45653</v>
      </c>
      <c r="D468" s="11" t="s">
        <v>43</v>
      </c>
      <c r="E468" s="11" t="s">
        <v>1212</v>
      </c>
      <c r="F468" s="11" t="s">
        <v>74</v>
      </c>
      <c r="G468" s="11" t="s">
        <v>635</v>
      </c>
      <c r="H468" s="11" t="s">
        <v>22</v>
      </c>
      <c r="I468" s="11" t="s">
        <v>115</v>
      </c>
      <c r="J468" s="11" t="s">
        <v>242</v>
      </c>
      <c r="K468" s="11" t="n">
        <v>1</v>
      </c>
      <c r="L468" s="15" t="n">
        <v>7877.61</v>
      </c>
      <c r="M468" s="11" t="n">
        <v>20</v>
      </c>
      <c r="N468" s="15" t="n">
        <v>7877.61</v>
      </c>
      <c r="O468" s="15" t="n">
        <v>1575.52</v>
      </c>
      <c r="P468" s="15" t="n">
        <v>6302.09</v>
      </c>
      <c r="Q468" s="15" t="n">
        <v>0</v>
      </c>
      <c r="R468" s="11" t="n">
        <v>0</v>
      </c>
      <c r="S468" s="15" t="n">
        <f aca="false">P468-Q468</f>
        <v>6302.09</v>
      </c>
      <c r="T468" s="11" t="n">
        <f aca="false">IF(OR(J468="Completed",J468="Returned"),1,0)</f>
        <v>1</v>
      </c>
    </row>
    <row r="469" customFormat="false" ht="15" hidden="false" customHeight="false" outlineLevel="0" collapsed="false">
      <c r="A469" s="11" t="s">
        <v>1367</v>
      </c>
      <c r="B469" s="11" t="s">
        <v>382</v>
      </c>
      <c r="C469" s="24" t="n">
        <v>45677</v>
      </c>
      <c r="D469" s="11" t="s">
        <v>44</v>
      </c>
      <c r="E469" s="11" t="s">
        <v>934</v>
      </c>
      <c r="F469" s="11" t="s">
        <v>82</v>
      </c>
      <c r="G469" s="11" t="s">
        <v>158</v>
      </c>
      <c r="H469" s="11" t="s">
        <v>22</v>
      </c>
      <c r="I469" s="11" t="s">
        <v>114</v>
      </c>
      <c r="J469" s="11" t="s">
        <v>242</v>
      </c>
      <c r="K469" s="11" t="n">
        <v>2</v>
      </c>
      <c r="L469" s="15" t="n">
        <v>5471.28</v>
      </c>
      <c r="M469" s="11" t="n">
        <v>15</v>
      </c>
      <c r="N469" s="15" t="n">
        <v>10942.56</v>
      </c>
      <c r="O469" s="15" t="n">
        <v>1641.38</v>
      </c>
      <c r="P469" s="15" t="n">
        <v>9301.18</v>
      </c>
      <c r="Q469" s="15" t="n">
        <v>0</v>
      </c>
      <c r="R469" s="11" t="n">
        <v>0</v>
      </c>
      <c r="S469" s="15" t="n">
        <f aca="false">P469-Q469</f>
        <v>9301.18</v>
      </c>
      <c r="T469" s="11" t="n">
        <f aca="false">IF(OR(J469="Completed",J469="Returned"),1,0)</f>
        <v>1</v>
      </c>
    </row>
    <row r="470" customFormat="false" ht="15" hidden="false" customHeight="false" outlineLevel="0" collapsed="false">
      <c r="A470" s="11" t="s">
        <v>1368</v>
      </c>
      <c r="B470" s="11" t="s">
        <v>562</v>
      </c>
      <c r="C470" s="24" t="n">
        <v>45454</v>
      </c>
      <c r="D470" s="11" t="s">
        <v>37</v>
      </c>
      <c r="E470" s="11" t="s">
        <v>80</v>
      </c>
      <c r="F470" s="11" t="s">
        <v>82</v>
      </c>
      <c r="G470" s="11" t="s">
        <v>639</v>
      </c>
      <c r="H470" s="11" t="s">
        <v>23</v>
      </c>
      <c r="I470" s="11" t="s">
        <v>114</v>
      </c>
      <c r="J470" s="11" t="s">
        <v>242</v>
      </c>
      <c r="K470" s="11" t="n">
        <v>5</v>
      </c>
      <c r="L470" s="15" t="n">
        <v>8493.72</v>
      </c>
      <c r="M470" s="11" t="n">
        <v>5</v>
      </c>
      <c r="N470" s="15" t="n">
        <v>42468.6</v>
      </c>
      <c r="O470" s="15" t="n">
        <v>2123.43</v>
      </c>
      <c r="P470" s="15" t="n">
        <v>40345.17</v>
      </c>
      <c r="Q470" s="15" t="n">
        <v>0</v>
      </c>
      <c r="R470" s="11" t="n">
        <v>0</v>
      </c>
      <c r="S470" s="15" t="n">
        <f aca="false">P470-Q470</f>
        <v>40345.17</v>
      </c>
      <c r="T470" s="11" t="n">
        <f aca="false">IF(OR(J470="Completed",J470="Returned"),1,0)</f>
        <v>1</v>
      </c>
    </row>
    <row r="471" customFormat="false" ht="15" hidden="false" customHeight="false" outlineLevel="0" collapsed="false">
      <c r="A471" s="11" t="s">
        <v>1369</v>
      </c>
      <c r="B471" s="11" t="s">
        <v>562</v>
      </c>
      <c r="C471" s="24" t="n">
        <v>45454</v>
      </c>
      <c r="D471" s="11" t="s">
        <v>37</v>
      </c>
      <c r="E471" s="11" t="s">
        <v>80</v>
      </c>
      <c r="F471" s="11" t="s">
        <v>82</v>
      </c>
      <c r="G471" s="11" t="s">
        <v>643</v>
      </c>
      <c r="H471" s="11" t="s">
        <v>22</v>
      </c>
      <c r="I471" s="11" t="s">
        <v>114</v>
      </c>
      <c r="J471" s="11" t="s">
        <v>242</v>
      </c>
      <c r="K471" s="11" t="n">
        <v>1</v>
      </c>
      <c r="L471" s="15" t="n">
        <v>17935.95</v>
      </c>
      <c r="M471" s="11" t="n">
        <v>5</v>
      </c>
      <c r="N471" s="15" t="n">
        <v>17935.95</v>
      </c>
      <c r="O471" s="15" t="n">
        <v>896.8</v>
      </c>
      <c r="P471" s="15" t="n">
        <v>17039.15</v>
      </c>
      <c r="Q471" s="15" t="n">
        <v>0</v>
      </c>
      <c r="R471" s="11" t="n">
        <v>0</v>
      </c>
      <c r="S471" s="15" t="n">
        <f aca="false">P471-Q471</f>
        <v>17039.15</v>
      </c>
      <c r="T471" s="11" t="n">
        <f aca="false">IF(OR(J471="Completed",J471="Returned"),1,0)</f>
        <v>1</v>
      </c>
    </row>
    <row r="472" customFormat="false" ht="15" hidden="false" customHeight="false" outlineLevel="0" collapsed="false">
      <c r="A472" s="11" t="s">
        <v>1370</v>
      </c>
      <c r="B472" s="11" t="s">
        <v>562</v>
      </c>
      <c r="C472" s="24" t="n">
        <v>45454</v>
      </c>
      <c r="D472" s="11" t="s">
        <v>37</v>
      </c>
      <c r="E472" s="11" t="s">
        <v>80</v>
      </c>
      <c r="F472" s="11" t="s">
        <v>82</v>
      </c>
      <c r="G472" s="11" t="s">
        <v>986</v>
      </c>
      <c r="H472" s="11" t="s">
        <v>22</v>
      </c>
      <c r="I472" s="11" t="s">
        <v>114</v>
      </c>
      <c r="J472" s="11" t="s">
        <v>242</v>
      </c>
      <c r="K472" s="11" t="n">
        <v>3</v>
      </c>
      <c r="L472" s="15" t="n">
        <v>19639.31</v>
      </c>
      <c r="M472" s="11" t="n">
        <v>5</v>
      </c>
      <c r="N472" s="15" t="n">
        <v>58917.93</v>
      </c>
      <c r="O472" s="15" t="n">
        <v>2945.9</v>
      </c>
      <c r="P472" s="15" t="n">
        <v>55972.03</v>
      </c>
      <c r="Q472" s="15" t="n">
        <v>0</v>
      </c>
      <c r="R472" s="11" t="n">
        <v>0</v>
      </c>
      <c r="S472" s="15" t="n">
        <f aca="false">P472-Q472</f>
        <v>55972.03</v>
      </c>
      <c r="T472" s="11" t="n">
        <f aca="false">IF(OR(J472="Completed",J472="Returned"),1,0)</f>
        <v>1</v>
      </c>
    </row>
    <row r="473" customFormat="false" ht="15" hidden="false" customHeight="false" outlineLevel="0" collapsed="false">
      <c r="A473" s="11" t="s">
        <v>1371</v>
      </c>
      <c r="B473" s="11" t="s">
        <v>562</v>
      </c>
      <c r="C473" s="24" t="n">
        <v>45454</v>
      </c>
      <c r="D473" s="11" t="s">
        <v>37</v>
      </c>
      <c r="E473" s="11" t="s">
        <v>80</v>
      </c>
      <c r="F473" s="11" t="s">
        <v>82</v>
      </c>
      <c r="G473" s="11" t="s">
        <v>1054</v>
      </c>
      <c r="H473" s="11" t="s">
        <v>21</v>
      </c>
      <c r="I473" s="11" t="s">
        <v>114</v>
      </c>
      <c r="J473" s="11" t="s">
        <v>242</v>
      </c>
      <c r="K473" s="11" t="n">
        <v>2</v>
      </c>
      <c r="L473" s="15" t="n">
        <v>19632.52</v>
      </c>
      <c r="M473" s="11" t="n">
        <v>0</v>
      </c>
      <c r="N473" s="15" t="n">
        <v>39265.04</v>
      </c>
      <c r="O473" s="15" t="n">
        <v>0</v>
      </c>
      <c r="P473" s="15" t="n">
        <v>39265.04</v>
      </c>
      <c r="Q473" s="15" t="n">
        <v>0</v>
      </c>
      <c r="R473" s="11" t="n">
        <v>0</v>
      </c>
      <c r="S473" s="15" t="n">
        <f aca="false">P473-Q473</f>
        <v>39265.04</v>
      </c>
      <c r="T473" s="11" t="n">
        <f aca="false">IF(OR(J473="Completed",J473="Returned"),1,0)</f>
        <v>1</v>
      </c>
    </row>
    <row r="474" customFormat="false" ht="15" hidden="false" customHeight="false" outlineLevel="0" collapsed="false">
      <c r="A474" s="11" t="s">
        <v>1372</v>
      </c>
      <c r="B474" s="11" t="s">
        <v>502</v>
      </c>
      <c r="C474" s="24" t="n">
        <v>45536</v>
      </c>
      <c r="D474" s="11" t="s">
        <v>40</v>
      </c>
      <c r="E474" s="11" t="s">
        <v>98</v>
      </c>
      <c r="F474" s="11" t="s">
        <v>70</v>
      </c>
      <c r="G474" s="11" t="s">
        <v>835</v>
      </c>
      <c r="H474" s="11" t="s">
        <v>22</v>
      </c>
      <c r="I474" s="11" t="s">
        <v>114</v>
      </c>
      <c r="J474" s="11" t="s">
        <v>269</v>
      </c>
      <c r="K474" s="11" t="n">
        <v>3</v>
      </c>
      <c r="L474" s="15" t="n">
        <v>22572.25</v>
      </c>
      <c r="M474" s="11" t="n">
        <v>5</v>
      </c>
      <c r="N474" s="15" t="n">
        <v>67716.75</v>
      </c>
      <c r="O474" s="15" t="n">
        <v>3385.84</v>
      </c>
      <c r="P474" s="15" t="n">
        <v>64330.91</v>
      </c>
      <c r="Q474" s="15" t="n">
        <v>59773.61</v>
      </c>
      <c r="R474" s="11" t="n">
        <v>3</v>
      </c>
      <c r="S474" s="15" t="n">
        <f aca="false">P474-Q474</f>
        <v>4557.3</v>
      </c>
      <c r="T474" s="11" t="n">
        <f aca="false">IF(OR(J474="Completed",J474="Returned"),1,0)</f>
        <v>1</v>
      </c>
    </row>
    <row r="475" customFormat="false" ht="15" hidden="false" customHeight="false" outlineLevel="0" collapsed="false">
      <c r="A475" s="11" t="s">
        <v>1373</v>
      </c>
      <c r="B475" s="11" t="s">
        <v>502</v>
      </c>
      <c r="C475" s="24" t="n">
        <v>45536</v>
      </c>
      <c r="D475" s="11" t="s">
        <v>40</v>
      </c>
      <c r="E475" s="11" t="s">
        <v>98</v>
      </c>
      <c r="F475" s="11" t="s">
        <v>70</v>
      </c>
      <c r="G475" s="11" t="s">
        <v>623</v>
      </c>
      <c r="H475" s="11" t="s">
        <v>20</v>
      </c>
      <c r="I475" s="11" t="s">
        <v>114</v>
      </c>
      <c r="J475" s="11" t="s">
        <v>269</v>
      </c>
      <c r="K475" s="11" t="n">
        <v>4</v>
      </c>
      <c r="L475" s="15" t="n">
        <v>16535.66</v>
      </c>
      <c r="M475" s="11" t="n">
        <v>0</v>
      </c>
      <c r="N475" s="15" t="n">
        <v>66142.64</v>
      </c>
      <c r="O475" s="15" t="n">
        <v>0</v>
      </c>
      <c r="P475" s="15" t="n">
        <v>66142.64</v>
      </c>
      <c r="Q475" s="15" t="n">
        <v>0</v>
      </c>
      <c r="R475" s="11" t="n">
        <v>0</v>
      </c>
      <c r="S475" s="15" t="n">
        <f aca="false">P475-Q475</f>
        <v>66142.64</v>
      </c>
      <c r="T475" s="11" t="n">
        <f aca="false">IF(OR(J475="Completed",J475="Returned"),1,0)</f>
        <v>1</v>
      </c>
    </row>
    <row r="476" customFormat="false" ht="15" hidden="false" customHeight="false" outlineLevel="0" collapsed="false">
      <c r="A476" s="11" t="s">
        <v>1374</v>
      </c>
      <c r="B476" s="11" t="s">
        <v>502</v>
      </c>
      <c r="C476" s="24" t="n">
        <v>45536</v>
      </c>
      <c r="D476" s="11" t="s">
        <v>40</v>
      </c>
      <c r="E476" s="11" t="s">
        <v>98</v>
      </c>
      <c r="F476" s="11" t="s">
        <v>70</v>
      </c>
      <c r="G476" s="11" t="s">
        <v>611</v>
      </c>
      <c r="H476" s="11" t="s">
        <v>22</v>
      </c>
      <c r="I476" s="11" t="s">
        <v>114</v>
      </c>
      <c r="J476" s="11" t="s">
        <v>269</v>
      </c>
      <c r="K476" s="11" t="n">
        <v>1</v>
      </c>
      <c r="L476" s="15" t="n">
        <v>3634.57</v>
      </c>
      <c r="M476" s="11" t="n">
        <v>0</v>
      </c>
      <c r="N476" s="15" t="n">
        <v>3634.57</v>
      </c>
      <c r="O476" s="15" t="n">
        <v>0</v>
      </c>
      <c r="P476" s="15" t="n">
        <v>3634.57</v>
      </c>
      <c r="Q476" s="15" t="n">
        <v>0</v>
      </c>
      <c r="R476" s="11" t="n">
        <v>0</v>
      </c>
      <c r="S476" s="15" t="n">
        <f aca="false">P476-Q476</f>
        <v>3634.57</v>
      </c>
      <c r="T476" s="11" t="n">
        <f aca="false">IF(OR(J476="Completed",J476="Returned"),1,0)</f>
        <v>1</v>
      </c>
    </row>
    <row r="477" customFormat="false" ht="15" hidden="false" customHeight="false" outlineLevel="0" collapsed="false">
      <c r="A477" s="11" t="s">
        <v>1375</v>
      </c>
      <c r="B477" s="11" t="s">
        <v>502</v>
      </c>
      <c r="C477" s="24" t="n">
        <v>45536</v>
      </c>
      <c r="D477" s="11" t="s">
        <v>40</v>
      </c>
      <c r="E477" s="11" t="s">
        <v>98</v>
      </c>
      <c r="F477" s="11" t="s">
        <v>70</v>
      </c>
      <c r="G477" s="11" t="s">
        <v>641</v>
      </c>
      <c r="H477" s="11" t="s">
        <v>24</v>
      </c>
      <c r="I477" s="11" t="s">
        <v>114</v>
      </c>
      <c r="J477" s="11" t="s">
        <v>269</v>
      </c>
      <c r="K477" s="11" t="n">
        <v>3</v>
      </c>
      <c r="L477" s="15" t="n">
        <v>7313.65</v>
      </c>
      <c r="M477" s="11" t="n">
        <v>15</v>
      </c>
      <c r="N477" s="15" t="n">
        <v>21940.95</v>
      </c>
      <c r="O477" s="15" t="n">
        <v>3291.14</v>
      </c>
      <c r="P477" s="15" t="n">
        <v>18649.81</v>
      </c>
      <c r="Q477" s="15" t="n">
        <v>0</v>
      </c>
      <c r="R477" s="11" t="n">
        <v>0</v>
      </c>
      <c r="S477" s="15" t="n">
        <f aca="false">P477-Q477</f>
        <v>18649.81</v>
      </c>
      <c r="T477" s="11" t="n">
        <f aca="false">IF(OR(J477="Completed",J477="Returned"),1,0)</f>
        <v>1</v>
      </c>
    </row>
    <row r="478" customFormat="false" ht="15" hidden="false" customHeight="false" outlineLevel="0" collapsed="false">
      <c r="A478" s="11" t="s">
        <v>1376</v>
      </c>
      <c r="B478" s="11" t="s">
        <v>291</v>
      </c>
      <c r="C478" s="24" t="n">
        <v>45935</v>
      </c>
      <c r="D478" s="11" t="s">
        <v>53</v>
      </c>
      <c r="E478" s="11" t="s">
        <v>997</v>
      </c>
      <c r="F478" s="11" t="s">
        <v>70</v>
      </c>
      <c r="G478" s="11" t="s">
        <v>619</v>
      </c>
      <c r="H478" s="11" t="s">
        <v>23</v>
      </c>
      <c r="I478" s="11" t="s">
        <v>114</v>
      </c>
      <c r="J478" s="11" t="s">
        <v>250</v>
      </c>
      <c r="K478" s="11" t="n">
        <v>4</v>
      </c>
      <c r="L478" s="15" t="n">
        <v>20550.39</v>
      </c>
      <c r="M478" s="11" t="n">
        <v>20</v>
      </c>
      <c r="N478" s="15" t="n">
        <v>82201.56</v>
      </c>
      <c r="O478" s="15" t="n">
        <v>16440.31</v>
      </c>
      <c r="P478" s="15" t="n">
        <v>65761.25</v>
      </c>
      <c r="Q478" s="15" t="n">
        <v>0</v>
      </c>
      <c r="R478" s="11" t="n">
        <v>0</v>
      </c>
      <c r="S478" s="15" t="n">
        <f aca="false">P478-Q478</f>
        <v>65761.25</v>
      </c>
      <c r="T478" s="11" t="n">
        <f aca="false">IF(OR(J478="Completed",J478="Returned"),1,0)</f>
        <v>0</v>
      </c>
    </row>
    <row r="479" customFormat="false" ht="15" hidden="false" customHeight="false" outlineLevel="0" collapsed="false">
      <c r="A479" s="11" t="s">
        <v>1377</v>
      </c>
      <c r="B479" s="11" t="s">
        <v>291</v>
      </c>
      <c r="C479" s="24" t="n">
        <v>45935</v>
      </c>
      <c r="D479" s="11" t="s">
        <v>53</v>
      </c>
      <c r="E479" s="11" t="s">
        <v>997</v>
      </c>
      <c r="F479" s="11" t="s">
        <v>70</v>
      </c>
      <c r="G479" s="11" t="s">
        <v>133</v>
      </c>
      <c r="H479" s="11" t="s">
        <v>21</v>
      </c>
      <c r="I479" s="11" t="s">
        <v>114</v>
      </c>
      <c r="J479" s="11" t="s">
        <v>250</v>
      </c>
      <c r="K479" s="11" t="n">
        <v>5</v>
      </c>
      <c r="L479" s="15" t="n">
        <v>15706.03</v>
      </c>
      <c r="M479" s="11" t="n">
        <v>20</v>
      </c>
      <c r="N479" s="15" t="n">
        <v>78530.15</v>
      </c>
      <c r="O479" s="15" t="n">
        <v>15706.03</v>
      </c>
      <c r="P479" s="15" t="n">
        <v>62824.12</v>
      </c>
      <c r="Q479" s="15" t="n">
        <v>0</v>
      </c>
      <c r="R479" s="11" t="n">
        <v>0</v>
      </c>
      <c r="S479" s="15" t="n">
        <f aca="false">P479-Q479</f>
        <v>62824.12</v>
      </c>
      <c r="T479" s="11" t="n">
        <f aca="false">IF(OR(J479="Completed",J479="Returned"),1,0)</f>
        <v>0</v>
      </c>
    </row>
    <row r="480" customFormat="false" ht="15" hidden="false" customHeight="false" outlineLevel="0" collapsed="false">
      <c r="A480" s="11" t="s">
        <v>1378</v>
      </c>
      <c r="B480" s="11" t="s">
        <v>291</v>
      </c>
      <c r="C480" s="24" t="n">
        <v>45935</v>
      </c>
      <c r="D480" s="11" t="s">
        <v>53</v>
      </c>
      <c r="E480" s="11" t="s">
        <v>997</v>
      </c>
      <c r="F480" s="11" t="s">
        <v>70</v>
      </c>
      <c r="G480" s="11" t="s">
        <v>158</v>
      </c>
      <c r="H480" s="11" t="s">
        <v>22</v>
      </c>
      <c r="I480" s="11" t="s">
        <v>114</v>
      </c>
      <c r="J480" s="11" t="s">
        <v>250</v>
      </c>
      <c r="K480" s="11" t="n">
        <v>4</v>
      </c>
      <c r="L480" s="15" t="n">
        <v>5471.28</v>
      </c>
      <c r="M480" s="11" t="n">
        <v>0</v>
      </c>
      <c r="N480" s="15" t="n">
        <v>21885.12</v>
      </c>
      <c r="O480" s="15" t="n">
        <v>0</v>
      </c>
      <c r="P480" s="15" t="n">
        <v>21885.12</v>
      </c>
      <c r="Q480" s="15" t="n">
        <v>0</v>
      </c>
      <c r="R480" s="11" t="n">
        <v>0</v>
      </c>
      <c r="S480" s="15" t="n">
        <f aca="false">P480-Q480</f>
        <v>21885.12</v>
      </c>
      <c r="T480" s="11" t="n">
        <f aca="false">IF(OR(J480="Completed",J480="Returned"),1,0)</f>
        <v>0</v>
      </c>
    </row>
    <row r="481" customFormat="false" ht="15" hidden="false" customHeight="false" outlineLevel="0" collapsed="false">
      <c r="A481" s="11" t="s">
        <v>1379</v>
      </c>
      <c r="B481" s="11" t="s">
        <v>291</v>
      </c>
      <c r="C481" s="24" t="n">
        <v>45935</v>
      </c>
      <c r="D481" s="11" t="s">
        <v>53</v>
      </c>
      <c r="E481" s="11" t="s">
        <v>997</v>
      </c>
      <c r="F481" s="11" t="s">
        <v>70</v>
      </c>
      <c r="G481" s="11" t="s">
        <v>631</v>
      </c>
      <c r="H481" s="11" t="s">
        <v>24</v>
      </c>
      <c r="I481" s="11" t="s">
        <v>114</v>
      </c>
      <c r="J481" s="11" t="s">
        <v>250</v>
      </c>
      <c r="K481" s="11" t="n">
        <v>5</v>
      </c>
      <c r="L481" s="15" t="n">
        <v>11518.86</v>
      </c>
      <c r="M481" s="11" t="n">
        <v>20</v>
      </c>
      <c r="N481" s="15" t="n">
        <v>57594.3</v>
      </c>
      <c r="O481" s="15" t="n">
        <v>11518.86</v>
      </c>
      <c r="P481" s="15" t="n">
        <v>46075.44</v>
      </c>
      <c r="Q481" s="15" t="n">
        <v>0</v>
      </c>
      <c r="R481" s="11" t="n">
        <v>0</v>
      </c>
      <c r="S481" s="15" t="n">
        <f aca="false">P481-Q481</f>
        <v>46075.44</v>
      </c>
      <c r="T481" s="11" t="n">
        <f aca="false">IF(OR(J481="Completed",J481="Returned"),1,0)</f>
        <v>0</v>
      </c>
    </row>
    <row r="482" customFormat="false" ht="15" hidden="false" customHeight="false" outlineLevel="0" collapsed="false">
      <c r="A482" s="11" t="s">
        <v>1380</v>
      </c>
      <c r="B482" s="11" t="s">
        <v>443</v>
      </c>
      <c r="C482" s="24" t="n">
        <v>45486</v>
      </c>
      <c r="D482" s="11" t="s">
        <v>38</v>
      </c>
      <c r="E482" s="11" t="s">
        <v>1179</v>
      </c>
      <c r="F482" s="11" t="s">
        <v>78</v>
      </c>
      <c r="G482" s="11" t="s">
        <v>156</v>
      </c>
      <c r="H482" s="11" t="s">
        <v>23</v>
      </c>
      <c r="I482" s="11" t="s">
        <v>115</v>
      </c>
      <c r="J482" s="11" t="s">
        <v>242</v>
      </c>
      <c r="K482" s="11" t="n">
        <v>4</v>
      </c>
      <c r="L482" s="15" t="n">
        <v>11992.92</v>
      </c>
      <c r="M482" s="11" t="n">
        <v>5</v>
      </c>
      <c r="N482" s="15" t="n">
        <v>47971.68</v>
      </c>
      <c r="O482" s="15" t="n">
        <v>2398.58</v>
      </c>
      <c r="P482" s="15" t="n">
        <v>45573.1</v>
      </c>
      <c r="Q482" s="15" t="n">
        <v>0</v>
      </c>
      <c r="R482" s="11" t="n">
        <v>0</v>
      </c>
      <c r="S482" s="15" t="n">
        <f aca="false">P482-Q482</f>
        <v>45573.1</v>
      </c>
      <c r="T482" s="11" t="n">
        <f aca="false">IF(OR(J482="Completed",J482="Returned"),1,0)</f>
        <v>1</v>
      </c>
    </row>
    <row r="483" customFormat="false" ht="15" hidden="false" customHeight="false" outlineLevel="0" collapsed="false">
      <c r="A483" s="11" t="s">
        <v>1381</v>
      </c>
      <c r="B483" s="11" t="s">
        <v>443</v>
      </c>
      <c r="C483" s="24" t="n">
        <v>45486</v>
      </c>
      <c r="D483" s="11" t="s">
        <v>38</v>
      </c>
      <c r="E483" s="11" t="s">
        <v>1179</v>
      </c>
      <c r="F483" s="11" t="s">
        <v>78</v>
      </c>
      <c r="G483" s="11" t="s">
        <v>833</v>
      </c>
      <c r="H483" s="11" t="s">
        <v>23</v>
      </c>
      <c r="I483" s="11" t="s">
        <v>115</v>
      </c>
      <c r="J483" s="11" t="s">
        <v>242</v>
      </c>
      <c r="K483" s="11" t="n">
        <v>4</v>
      </c>
      <c r="L483" s="15" t="n">
        <v>14595.44</v>
      </c>
      <c r="M483" s="11" t="n">
        <v>20</v>
      </c>
      <c r="N483" s="15" t="n">
        <v>58381.76</v>
      </c>
      <c r="O483" s="15" t="n">
        <v>11676.35</v>
      </c>
      <c r="P483" s="15" t="n">
        <v>46705.41</v>
      </c>
      <c r="Q483" s="15" t="n">
        <v>0</v>
      </c>
      <c r="R483" s="11" t="n">
        <v>0</v>
      </c>
      <c r="S483" s="15" t="n">
        <f aca="false">P483-Q483</f>
        <v>46705.41</v>
      </c>
      <c r="T483" s="11" t="n">
        <f aca="false">IF(OR(J483="Completed",J483="Returned"),1,0)</f>
        <v>1</v>
      </c>
    </row>
    <row r="484" customFormat="false" ht="15" hidden="false" customHeight="false" outlineLevel="0" collapsed="false">
      <c r="A484" s="11" t="s">
        <v>1382</v>
      </c>
      <c r="B484" s="11" t="s">
        <v>443</v>
      </c>
      <c r="C484" s="24" t="n">
        <v>45486</v>
      </c>
      <c r="D484" s="11" t="s">
        <v>38</v>
      </c>
      <c r="E484" s="11" t="s">
        <v>1179</v>
      </c>
      <c r="F484" s="11" t="s">
        <v>78</v>
      </c>
      <c r="G484" s="11" t="s">
        <v>803</v>
      </c>
      <c r="H484" s="11" t="s">
        <v>25</v>
      </c>
      <c r="I484" s="11" t="s">
        <v>115</v>
      </c>
      <c r="J484" s="11" t="s">
        <v>242</v>
      </c>
      <c r="K484" s="11" t="n">
        <v>2</v>
      </c>
      <c r="L484" s="15" t="n">
        <v>11175.62</v>
      </c>
      <c r="M484" s="11" t="n">
        <v>15</v>
      </c>
      <c r="N484" s="15" t="n">
        <v>22351.24</v>
      </c>
      <c r="O484" s="15" t="n">
        <v>3352.69</v>
      </c>
      <c r="P484" s="15" t="n">
        <v>18998.55</v>
      </c>
      <c r="Q484" s="15" t="n">
        <v>0</v>
      </c>
      <c r="R484" s="11" t="n">
        <v>0</v>
      </c>
      <c r="S484" s="15" t="n">
        <f aca="false">P484-Q484</f>
        <v>18998.55</v>
      </c>
      <c r="T484" s="11" t="n">
        <f aca="false">IF(OR(J484="Completed",J484="Returned"),1,0)</f>
        <v>1</v>
      </c>
    </row>
    <row r="485" customFormat="false" ht="15" hidden="false" customHeight="false" outlineLevel="0" collapsed="false">
      <c r="A485" s="11" t="s">
        <v>1383</v>
      </c>
      <c r="B485" s="11" t="s">
        <v>443</v>
      </c>
      <c r="C485" s="24" t="n">
        <v>45486</v>
      </c>
      <c r="D485" s="11" t="s">
        <v>38</v>
      </c>
      <c r="E485" s="11" t="s">
        <v>1179</v>
      </c>
      <c r="F485" s="11" t="s">
        <v>78</v>
      </c>
      <c r="G485" s="11" t="s">
        <v>615</v>
      </c>
      <c r="H485" s="11" t="s">
        <v>23</v>
      </c>
      <c r="I485" s="11" t="s">
        <v>115</v>
      </c>
      <c r="J485" s="11" t="s">
        <v>242</v>
      </c>
      <c r="K485" s="11" t="n">
        <v>3</v>
      </c>
      <c r="L485" s="15" t="n">
        <v>2863.09</v>
      </c>
      <c r="M485" s="11" t="n">
        <v>15</v>
      </c>
      <c r="N485" s="15" t="n">
        <v>8589.27</v>
      </c>
      <c r="O485" s="15" t="n">
        <v>1288.39</v>
      </c>
      <c r="P485" s="15" t="n">
        <v>7300.88</v>
      </c>
      <c r="Q485" s="15" t="n">
        <v>0</v>
      </c>
      <c r="R485" s="11" t="n">
        <v>0</v>
      </c>
      <c r="S485" s="15" t="n">
        <f aca="false">P485-Q485</f>
        <v>7300.88</v>
      </c>
      <c r="T485" s="11" t="n">
        <f aca="false">IF(OR(J485="Completed",J485="Returned"),1,0)</f>
        <v>1</v>
      </c>
    </row>
    <row r="486" customFormat="false" ht="15" hidden="false" customHeight="false" outlineLevel="0" collapsed="false">
      <c r="A486" s="11" t="s">
        <v>1384</v>
      </c>
      <c r="B486" s="11" t="s">
        <v>542</v>
      </c>
      <c r="C486" s="24" t="n">
        <v>45705</v>
      </c>
      <c r="D486" s="11" t="s">
        <v>45</v>
      </c>
      <c r="E486" s="11" t="s">
        <v>1385</v>
      </c>
      <c r="F486" s="11" t="s">
        <v>78</v>
      </c>
      <c r="G486" s="11" t="s">
        <v>827</v>
      </c>
      <c r="H486" s="11" t="s">
        <v>23</v>
      </c>
      <c r="I486" s="11" t="s">
        <v>113</v>
      </c>
      <c r="J486" s="11" t="s">
        <v>242</v>
      </c>
      <c r="K486" s="11" t="n">
        <v>5</v>
      </c>
      <c r="L486" s="15" t="n">
        <v>7855.79</v>
      </c>
      <c r="M486" s="11" t="n">
        <v>15</v>
      </c>
      <c r="N486" s="15" t="n">
        <v>39278.95</v>
      </c>
      <c r="O486" s="15" t="n">
        <v>5891.84</v>
      </c>
      <c r="P486" s="15" t="n">
        <v>33387.11</v>
      </c>
      <c r="Q486" s="15" t="n">
        <v>0</v>
      </c>
      <c r="R486" s="11" t="n">
        <v>0</v>
      </c>
      <c r="S486" s="15" t="n">
        <f aca="false">P486-Q486</f>
        <v>33387.11</v>
      </c>
      <c r="T486" s="11" t="n">
        <f aca="false">IF(OR(J486="Completed",J486="Returned"),1,0)</f>
        <v>1</v>
      </c>
    </row>
    <row r="487" customFormat="false" ht="15" hidden="false" customHeight="false" outlineLevel="0" collapsed="false">
      <c r="A487" s="11" t="s">
        <v>1386</v>
      </c>
      <c r="B487" s="11" t="s">
        <v>312</v>
      </c>
      <c r="C487" s="24" t="n">
        <v>45841</v>
      </c>
      <c r="D487" s="11" t="s">
        <v>50</v>
      </c>
      <c r="E487" s="11" t="s">
        <v>1079</v>
      </c>
      <c r="F487" s="11" t="s">
        <v>78</v>
      </c>
      <c r="G487" s="11" t="s">
        <v>830</v>
      </c>
      <c r="H487" s="11" t="s">
        <v>22</v>
      </c>
      <c r="I487" s="11" t="s">
        <v>114</v>
      </c>
      <c r="J487" s="11" t="s">
        <v>250</v>
      </c>
      <c r="K487" s="11" t="n">
        <v>4</v>
      </c>
      <c r="L487" s="15" t="n">
        <v>1179.68</v>
      </c>
      <c r="M487" s="11" t="n">
        <v>15</v>
      </c>
      <c r="N487" s="15" t="n">
        <v>4718.72</v>
      </c>
      <c r="O487" s="15" t="n">
        <v>707.81</v>
      </c>
      <c r="P487" s="15" t="n">
        <v>4010.91</v>
      </c>
      <c r="Q487" s="15" t="n">
        <v>0</v>
      </c>
      <c r="R487" s="11" t="n">
        <v>0</v>
      </c>
      <c r="S487" s="15" t="n">
        <f aca="false">P487-Q487</f>
        <v>4010.91</v>
      </c>
      <c r="T487" s="11" t="n">
        <f aca="false">IF(OR(J487="Completed",J487="Returned"),1,0)</f>
        <v>0</v>
      </c>
    </row>
    <row r="488" customFormat="false" ht="15" hidden="false" customHeight="false" outlineLevel="0" collapsed="false">
      <c r="A488" s="11" t="s">
        <v>1387</v>
      </c>
      <c r="B488" s="11" t="s">
        <v>484</v>
      </c>
      <c r="C488" s="24" t="n">
        <v>45944</v>
      </c>
      <c r="D488" s="11" t="s">
        <v>53</v>
      </c>
      <c r="E488" s="11" t="s">
        <v>922</v>
      </c>
      <c r="F488" s="11" t="s">
        <v>74</v>
      </c>
      <c r="G488" s="11" t="s">
        <v>611</v>
      </c>
      <c r="H488" s="11" t="s">
        <v>22</v>
      </c>
      <c r="I488" s="11" t="s">
        <v>115</v>
      </c>
      <c r="J488" s="11" t="s">
        <v>242</v>
      </c>
      <c r="K488" s="11" t="n">
        <v>5</v>
      </c>
      <c r="L488" s="15" t="n">
        <v>3634.57</v>
      </c>
      <c r="M488" s="11" t="n">
        <v>0</v>
      </c>
      <c r="N488" s="15" t="n">
        <v>18172.85</v>
      </c>
      <c r="O488" s="15" t="n">
        <v>0</v>
      </c>
      <c r="P488" s="15" t="n">
        <v>18172.85</v>
      </c>
      <c r="Q488" s="15" t="n">
        <v>0</v>
      </c>
      <c r="R488" s="11" t="n">
        <v>0</v>
      </c>
      <c r="S488" s="15" t="n">
        <f aca="false">P488-Q488</f>
        <v>18172.85</v>
      </c>
      <c r="T488" s="11" t="n">
        <f aca="false">IF(OR(J488="Completed",J488="Returned"),1,0)</f>
        <v>1</v>
      </c>
    </row>
    <row r="489" customFormat="false" ht="15" hidden="false" customHeight="false" outlineLevel="0" collapsed="false">
      <c r="A489" s="11" t="s">
        <v>1388</v>
      </c>
      <c r="B489" s="11" t="s">
        <v>256</v>
      </c>
      <c r="C489" s="24" t="n">
        <v>45337</v>
      </c>
      <c r="D489" s="11" t="s">
        <v>33</v>
      </c>
      <c r="E489" s="11" t="s">
        <v>1098</v>
      </c>
      <c r="F489" s="11" t="s">
        <v>82</v>
      </c>
      <c r="G489" s="11" t="s">
        <v>883</v>
      </c>
      <c r="H489" s="11" t="s">
        <v>21</v>
      </c>
      <c r="I489" s="11" t="s">
        <v>114</v>
      </c>
      <c r="J489" s="11" t="s">
        <v>242</v>
      </c>
      <c r="K489" s="11" t="n">
        <v>2</v>
      </c>
      <c r="L489" s="15" t="n">
        <v>11175.62</v>
      </c>
      <c r="M489" s="11" t="n">
        <v>20</v>
      </c>
      <c r="N489" s="15" t="n">
        <v>22351.24</v>
      </c>
      <c r="O489" s="15" t="n">
        <v>4470.25</v>
      </c>
      <c r="P489" s="15" t="n">
        <v>17880.99</v>
      </c>
      <c r="Q489" s="15" t="n">
        <v>0</v>
      </c>
      <c r="R489" s="11" t="n">
        <v>0</v>
      </c>
      <c r="S489" s="15" t="n">
        <f aca="false">P489-Q489</f>
        <v>17880.99</v>
      </c>
      <c r="T489" s="11" t="n">
        <f aca="false">IF(OR(J489="Completed",J489="Returned"),1,0)</f>
        <v>1</v>
      </c>
    </row>
    <row r="490" customFormat="false" ht="15" hidden="false" customHeight="false" outlineLevel="0" collapsed="false">
      <c r="A490" s="11" t="s">
        <v>1389</v>
      </c>
      <c r="B490" s="11" t="s">
        <v>344</v>
      </c>
      <c r="C490" s="24" t="n">
        <v>45755</v>
      </c>
      <c r="D490" s="11" t="s">
        <v>47</v>
      </c>
      <c r="E490" s="11" t="s">
        <v>913</v>
      </c>
      <c r="F490" s="11" t="s">
        <v>74</v>
      </c>
      <c r="G490" s="11" t="s">
        <v>827</v>
      </c>
      <c r="H490" s="11" t="s">
        <v>23</v>
      </c>
      <c r="I490" s="11" t="s">
        <v>113</v>
      </c>
      <c r="J490" s="11" t="s">
        <v>242</v>
      </c>
      <c r="K490" s="11" t="n">
        <v>5</v>
      </c>
      <c r="L490" s="15" t="n">
        <v>7855.79</v>
      </c>
      <c r="M490" s="11" t="n">
        <v>5</v>
      </c>
      <c r="N490" s="15" t="n">
        <v>39278.95</v>
      </c>
      <c r="O490" s="15" t="n">
        <v>1963.95</v>
      </c>
      <c r="P490" s="15" t="n">
        <v>37315</v>
      </c>
      <c r="Q490" s="15" t="n">
        <v>0</v>
      </c>
      <c r="R490" s="11" t="n">
        <v>0</v>
      </c>
      <c r="S490" s="15" t="n">
        <f aca="false">P490-Q490</f>
        <v>37315</v>
      </c>
      <c r="T490" s="11" t="n">
        <f aca="false">IF(OR(J490="Completed",J490="Returned"),1,0)</f>
        <v>1</v>
      </c>
    </row>
    <row r="491" customFormat="false" ht="15" hidden="false" customHeight="false" outlineLevel="0" collapsed="false">
      <c r="A491" s="11" t="s">
        <v>1390</v>
      </c>
      <c r="B491" s="11" t="s">
        <v>344</v>
      </c>
      <c r="C491" s="24" t="n">
        <v>45755</v>
      </c>
      <c r="D491" s="11" t="s">
        <v>47</v>
      </c>
      <c r="E491" s="11" t="s">
        <v>913</v>
      </c>
      <c r="F491" s="11" t="s">
        <v>74</v>
      </c>
      <c r="G491" s="11" t="s">
        <v>152</v>
      </c>
      <c r="H491" s="11" t="s">
        <v>23</v>
      </c>
      <c r="I491" s="11" t="s">
        <v>113</v>
      </c>
      <c r="J491" s="11" t="s">
        <v>242</v>
      </c>
      <c r="K491" s="11" t="n">
        <v>4</v>
      </c>
      <c r="L491" s="15" t="n">
        <v>9953.59</v>
      </c>
      <c r="M491" s="11" t="n">
        <v>0</v>
      </c>
      <c r="N491" s="15" t="n">
        <v>39814.36</v>
      </c>
      <c r="O491" s="15" t="n">
        <v>0</v>
      </c>
      <c r="P491" s="15" t="n">
        <v>39814.36</v>
      </c>
      <c r="Q491" s="15" t="n">
        <v>0</v>
      </c>
      <c r="R491" s="11" t="n">
        <v>0</v>
      </c>
      <c r="S491" s="15" t="n">
        <f aca="false">P491-Q491</f>
        <v>39814.36</v>
      </c>
      <c r="T491" s="11" t="n">
        <f aca="false">IF(OR(J491="Completed",J491="Returned"),1,0)</f>
        <v>1</v>
      </c>
    </row>
    <row r="492" customFormat="false" ht="15" hidden="false" customHeight="false" outlineLevel="0" collapsed="false">
      <c r="A492" s="11" t="s">
        <v>1391</v>
      </c>
      <c r="B492" s="11" t="s">
        <v>344</v>
      </c>
      <c r="C492" s="24" t="n">
        <v>45755</v>
      </c>
      <c r="D492" s="11" t="s">
        <v>47</v>
      </c>
      <c r="E492" s="11" t="s">
        <v>913</v>
      </c>
      <c r="F492" s="11" t="s">
        <v>74</v>
      </c>
      <c r="G492" s="11" t="s">
        <v>619</v>
      </c>
      <c r="H492" s="11" t="s">
        <v>23</v>
      </c>
      <c r="I492" s="11" t="s">
        <v>113</v>
      </c>
      <c r="J492" s="11" t="s">
        <v>242</v>
      </c>
      <c r="K492" s="11" t="n">
        <v>4</v>
      </c>
      <c r="L492" s="15" t="n">
        <v>20550.39</v>
      </c>
      <c r="M492" s="11" t="n">
        <v>0</v>
      </c>
      <c r="N492" s="15" t="n">
        <v>82201.56</v>
      </c>
      <c r="O492" s="15" t="n">
        <v>0</v>
      </c>
      <c r="P492" s="15" t="n">
        <v>82201.56</v>
      </c>
      <c r="Q492" s="15" t="n">
        <v>0</v>
      </c>
      <c r="R492" s="11" t="n">
        <v>0</v>
      </c>
      <c r="S492" s="15" t="n">
        <f aca="false">P492-Q492</f>
        <v>82201.56</v>
      </c>
      <c r="T492" s="11" t="n">
        <f aca="false">IF(OR(J492="Completed",J492="Returned"),1,0)</f>
        <v>1</v>
      </c>
    </row>
    <row r="493" customFormat="false" ht="15" hidden="false" customHeight="false" outlineLevel="0" collapsed="false">
      <c r="A493" s="11" t="s">
        <v>1392</v>
      </c>
      <c r="B493" s="11" t="s">
        <v>344</v>
      </c>
      <c r="C493" s="24" t="n">
        <v>45755</v>
      </c>
      <c r="D493" s="11" t="s">
        <v>47</v>
      </c>
      <c r="E493" s="11" t="s">
        <v>913</v>
      </c>
      <c r="F493" s="11" t="s">
        <v>74</v>
      </c>
      <c r="G493" s="11" t="s">
        <v>981</v>
      </c>
      <c r="H493" s="11" t="s">
        <v>21</v>
      </c>
      <c r="I493" s="11" t="s">
        <v>113</v>
      </c>
      <c r="J493" s="11" t="s">
        <v>242</v>
      </c>
      <c r="K493" s="11" t="n">
        <v>3</v>
      </c>
      <c r="L493" s="15" t="n">
        <v>19552.29</v>
      </c>
      <c r="M493" s="11" t="n">
        <v>0</v>
      </c>
      <c r="N493" s="15" t="n">
        <v>58656.87</v>
      </c>
      <c r="O493" s="15" t="n">
        <v>0</v>
      </c>
      <c r="P493" s="15" t="n">
        <v>58656.87</v>
      </c>
      <c r="Q493" s="15" t="n">
        <v>0</v>
      </c>
      <c r="R493" s="11" t="n">
        <v>0</v>
      </c>
      <c r="S493" s="15" t="n">
        <f aca="false">P493-Q493</f>
        <v>58656.87</v>
      </c>
      <c r="T493" s="11" t="n">
        <f aca="false">IF(OR(J493="Completed",J493="Returned"),1,0)</f>
        <v>1</v>
      </c>
    </row>
    <row r="494" customFormat="false" ht="15" hidden="false" customHeight="false" outlineLevel="0" collapsed="false">
      <c r="A494" s="11" t="s">
        <v>1393</v>
      </c>
      <c r="B494" s="11" t="s">
        <v>490</v>
      </c>
      <c r="C494" s="24" t="n">
        <v>45410</v>
      </c>
      <c r="D494" s="11" t="s">
        <v>35</v>
      </c>
      <c r="E494" s="11" t="s">
        <v>922</v>
      </c>
      <c r="F494" s="11" t="s">
        <v>74</v>
      </c>
      <c r="G494" s="11" t="s">
        <v>628</v>
      </c>
      <c r="H494" s="11" t="s">
        <v>22</v>
      </c>
      <c r="I494" s="11" t="s">
        <v>115</v>
      </c>
      <c r="J494" s="11" t="s">
        <v>246</v>
      </c>
      <c r="K494" s="11" t="n">
        <v>3</v>
      </c>
      <c r="L494" s="15" t="n">
        <v>9269.43</v>
      </c>
      <c r="M494" s="11" t="n">
        <v>0</v>
      </c>
      <c r="N494" s="15" t="n">
        <v>27808.29</v>
      </c>
      <c r="O494" s="15" t="n">
        <v>0</v>
      </c>
      <c r="P494" s="15" t="n">
        <v>27808.29</v>
      </c>
      <c r="Q494" s="15" t="n">
        <v>0</v>
      </c>
      <c r="R494" s="11" t="n">
        <v>0</v>
      </c>
      <c r="S494" s="15" t="n">
        <f aca="false">P494-Q494</f>
        <v>27808.29</v>
      </c>
      <c r="T494" s="11" t="n">
        <f aca="false">IF(OR(J494="Completed",J494="Returned"),1,0)</f>
        <v>0</v>
      </c>
    </row>
    <row r="495" customFormat="false" ht="15" hidden="false" customHeight="false" outlineLevel="0" collapsed="false">
      <c r="A495" s="11" t="s">
        <v>1394</v>
      </c>
      <c r="B495" s="11" t="s">
        <v>503</v>
      </c>
      <c r="C495" s="24" t="n">
        <v>45465</v>
      </c>
      <c r="D495" s="11" t="s">
        <v>37</v>
      </c>
      <c r="E495" s="11" t="s">
        <v>848</v>
      </c>
      <c r="F495" s="11" t="s">
        <v>70</v>
      </c>
      <c r="G495" s="11" t="s">
        <v>1166</v>
      </c>
      <c r="H495" s="11" t="s">
        <v>21</v>
      </c>
      <c r="I495" s="11" t="s">
        <v>115</v>
      </c>
      <c r="J495" s="11" t="s">
        <v>250</v>
      </c>
      <c r="K495" s="11" t="n">
        <v>2</v>
      </c>
      <c r="L495" s="15" t="n">
        <v>27280.24</v>
      </c>
      <c r="M495" s="11" t="n">
        <v>5</v>
      </c>
      <c r="N495" s="15" t="n">
        <v>54560.48</v>
      </c>
      <c r="O495" s="15" t="n">
        <v>2728.02</v>
      </c>
      <c r="P495" s="15" t="n">
        <v>51832.46</v>
      </c>
      <c r="Q495" s="15" t="n">
        <v>0</v>
      </c>
      <c r="R495" s="11" t="n">
        <v>0</v>
      </c>
      <c r="S495" s="15" t="n">
        <f aca="false">P495-Q495</f>
        <v>51832.46</v>
      </c>
      <c r="T495" s="11" t="n">
        <f aca="false">IF(OR(J495="Completed",J495="Returned"),1,0)</f>
        <v>0</v>
      </c>
    </row>
    <row r="496" customFormat="false" ht="15" hidden="false" customHeight="false" outlineLevel="0" collapsed="false">
      <c r="A496" s="11" t="s">
        <v>1395</v>
      </c>
      <c r="B496" s="11" t="s">
        <v>503</v>
      </c>
      <c r="C496" s="24" t="n">
        <v>45465</v>
      </c>
      <c r="D496" s="11" t="s">
        <v>37</v>
      </c>
      <c r="E496" s="11" t="s">
        <v>848</v>
      </c>
      <c r="F496" s="11" t="s">
        <v>70</v>
      </c>
      <c r="G496" s="11" t="s">
        <v>957</v>
      </c>
      <c r="H496" s="11" t="s">
        <v>23</v>
      </c>
      <c r="I496" s="11" t="s">
        <v>115</v>
      </c>
      <c r="J496" s="11" t="s">
        <v>250</v>
      </c>
      <c r="K496" s="11" t="n">
        <v>1</v>
      </c>
      <c r="L496" s="15" t="n">
        <v>1741.05</v>
      </c>
      <c r="M496" s="11" t="n">
        <v>15</v>
      </c>
      <c r="N496" s="15" t="n">
        <v>1741.05</v>
      </c>
      <c r="O496" s="15" t="n">
        <v>261.16</v>
      </c>
      <c r="P496" s="15" t="n">
        <v>1479.89</v>
      </c>
      <c r="Q496" s="15" t="n">
        <v>0</v>
      </c>
      <c r="R496" s="11" t="n">
        <v>0</v>
      </c>
      <c r="S496" s="15" t="n">
        <f aca="false">P496-Q496</f>
        <v>1479.89</v>
      </c>
      <c r="T496" s="11" t="n">
        <f aca="false">IF(OR(J496="Completed",J496="Returned"),1,0)</f>
        <v>0</v>
      </c>
    </row>
    <row r="497" customFormat="false" ht="15" hidden="false" customHeight="false" outlineLevel="0" collapsed="false">
      <c r="A497" s="11" t="s">
        <v>1396</v>
      </c>
      <c r="B497" s="11" t="s">
        <v>264</v>
      </c>
      <c r="C497" s="24" t="n">
        <v>45524</v>
      </c>
      <c r="D497" s="11" t="s">
        <v>39</v>
      </c>
      <c r="E497" s="11" t="s">
        <v>1385</v>
      </c>
      <c r="F497" s="11" t="s">
        <v>78</v>
      </c>
      <c r="G497" s="11" t="s">
        <v>609</v>
      </c>
      <c r="H497" s="11" t="s">
        <v>20</v>
      </c>
      <c r="I497" s="11" t="s">
        <v>115</v>
      </c>
      <c r="J497" s="11" t="s">
        <v>242</v>
      </c>
      <c r="K497" s="11" t="n">
        <v>1</v>
      </c>
      <c r="L497" s="15" t="n">
        <v>10660.79</v>
      </c>
      <c r="M497" s="11" t="n">
        <v>5</v>
      </c>
      <c r="N497" s="15" t="n">
        <v>10660.79</v>
      </c>
      <c r="O497" s="15" t="n">
        <v>533.04</v>
      </c>
      <c r="P497" s="15" t="n">
        <v>10127.75</v>
      </c>
      <c r="Q497" s="15" t="n">
        <v>0</v>
      </c>
      <c r="R497" s="11" t="n">
        <v>0</v>
      </c>
      <c r="S497" s="15" t="n">
        <f aca="false">P497-Q497</f>
        <v>10127.75</v>
      </c>
      <c r="T497" s="11" t="n">
        <f aca="false">IF(OR(J497="Completed",J497="Returned"),1,0)</f>
        <v>1</v>
      </c>
    </row>
    <row r="498" customFormat="false" ht="15" hidden="false" customHeight="false" outlineLevel="0" collapsed="false">
      <c r="A498" s="11" t="s">
        <v>1397</v>
      </c>
      <c r="B498" s="11" t="s">
        <v>264</v>
      </c>
      <c r="C498" s="24" t="n">
        <v>45524</v>
      </c>
      <c r="D498" s="11" t="s">
        <v>39</v>
      </c>
      <c r="E498" s="11" t="s">
        <v>1385</v>
      </c>
      <c r="F498" s="11" t="s">
        <v>78</v>
      </c>
      <c r="G498" s="11" t="s">
        <v>156</v>
      </c>
      <c r="H498" s="11" t="s">
        <v>23</v>
      </c>
      <c r="I498" s="11" t="s">
        <v>115</v>
      </c>
      <c r="J498" s="11" t="s">
        <v>242</v>
      </c>
      <c r="K498" s="11" t="n">
        <v>2</v>
      </c>
      <c r="L498" s="15" t="n">
        <v>11992.92</v>
      </c>
      <c r="M498" s="11" t="n">
        <v>10</v>
      </c>
      <c r="N498" s="15" t="n">
        <v>23985.84</v>
      </c>
      <c r="O498" s="15" t="n">
        <v>2398.58</v>
      </c>
      <c r="P498" s="15" t="n">
        <v>21587.26</v>
      </c>
      <c r="Q498" s="15" t="n">
        <v>0</v>
      </c>
      <c r="R498" s="11" t="n">
        <v>0</v>
      </c>
      <c r="S498" s="15" t="n">
        <f aca="false">P498-Q498</f>
        <v>21587.26</v>
      </c>
      <c r="T498" s="11" t="n">
        <f aca="false">IF(OR(J498="Completed",J498="Returned"),1,0)</f>
        <v>1</v>
      </c>
    </row>
    <row r="499" customFormat="false" ht="15" hidden="false" customHeight="false" outlineLevel="0" collapsed="false">
      <c r="A499" s="11" t="s">
        <v>1398</v>
      </c>
      <c r="B499" s="11" t="s">
        <v>264</v>
      </c>
      <c r="C499" s="24" t="n">
        <v>45524</v>
      </c>
      <c r="D499" s="11" t="s">
        <v>39</v>
      </c>
      <c r="E499" s="11" t="s">
        <v>1385</v>
      </c>
      <c r="F499" s="11" t="s">
        <v>78</v>
      </c>
      <c r="G499" s="11" t="s">
        <v>631</v>
      </c>
      <c r="H499" s="11" t="s">
        <v>24</v>
      </c>
      <c r="I499" s="11" t="s">
        <v>115</v>
      </c>
      <c r="J499" s="11" t="s">
        <v>242</v>
      </c>
      <c r="K499" s="11" t="n">
        <v>1</v>
      </c>
      <c r="L499" s="15" t="n">
        <v>11518.86</v>
      </c>
      <c r="M499" s="11" t="n">
        <v>0</v>
      </c>
      <c r="N499" s="15" t="n">
        <v>11518.86</v>
      </c>
      <c r="O499" s="15" t="n">
        <v>0</v>
      </c>
      <c r="P499" s="15" t="n">
        <v>11518.86</v>
      </c>
      <c r="Q499" s="15" t="n">
        <v>0</v>
      </c>
      <c r="R499" s="11" t="n">
        <v>0</v>
      </c>
      <c r="S499" s="15" t="n">
        <f aca="false">P499-Q499</f>
        <v>11518.86</v>
      </c>
      <c r="T499" s="11" t="n">
        <f aca="false">IF(OR(J499="Completed",J499="Returned"),1,0)</f>
        <v>1</v>
      </c>
    </row>
    <row r="500" customFormat="false" ht="15" hidden="false" customHeight="false" outlineLevel="0" collapsed="false">
      <c r="A500" s="11" t="s">
        <v>1399</v>
      </c>
      <c r="B500" s="11" t="s">
        <v>373</v>
      </c>
      <c r="C500" s="24" t="n">
        <v>45536</v>
      </c>
      <c r="D500" s="11" t="s">
        <v>40</v>
      </c>
      <c r="E500" s="11" t="s">
        <v>1400</v>
      </c>
      <c r="F500" s="11" t="s">
        <v>74</v>
      </c>
      <c r="G500" s="11" t="s">
        <v>907</v>
      </c>
      <c r="H500" s="11" t="s">
        <v>22</v>
      </c>
      <c r="I500" s="11" t="s">
        <v>115</v>
      </c>
      <c r="J500" s="11" t="s">
        <v>242</v>
      </c>
      <c r="K500" s="11" t="n">
        <v>5</v>
      </c>
      <c r="L500" s="15" t="n">
        <v>25643.17</v>
      </c>
      <c r="M500" s="11" t="n">
        <v>0</v>
      </c>
      <c r="N500" s="15" t="n">
        <v>128215.85</v>
      </c>
      <c r="O500" s="15" t="n">
        <v>0</v>
      </c>
      <c r="P500" s="15" t="n">
        <v>128215.85</v>
      </c>
      <c r="Q500" s="15" t="n">
        <v>0</v>
      </c>
      <c r="R500" s="11" t="n">
        <v>0</v>
      </c>
      <c r="S500" s="15" t="n">
        <f aca="false">P500-Q500</f>
        <v>128215.85</v>
      </c>
      <c r="T500" s="11" t="n">
        <f aca="false">IF(OR(J500="Completed",J500="Returned"),1,0)</f>
        <v>1</v>
      </c>
    </row>
    <row r="501" customFormat="false" ht="15" hidden="false" customHeight="false" outlineLevel="0" collapsed="false">
      <c r="A501" s="11" t="s">
        <v>1401</v>
      </c>
      <c r="B501" s="11" t="s">
        <v>373</v>
      </c>
      <c r="C501" s="24" t="n">
        <v>45536</v>
      </c>
      <c r="D501" s="11" t="s">
        <v>40</v>
      </c>
      <c r="E501" s="11" t="s">
        <v>1400</v>
      </c>
      <c r="F501" s="11" t="s">
        <v>74</v>
      </c>
      <c r="G501" s="11" t="s">
        <v>139</v>
      </c>
      <c r="H501" s="11" t="s">
        <v>24</v>
      </c>
      <c r="I501" s="11" t="s">
        <v>115</v>
      </c>
      <c r="J501" s="11" t="s">
        <v>242</v>
      </c>
      <c r="K501" s="11" t="n">
        <v>5</v>
      </c>
      <c r="L501" s="15" t="n">
        <v>20278.89</v>
      </c>
      <c r="M501" s="11" t="n">
        <v>10</v>
      </c>
      <c r="N501" s="15" t="n">
        <v>101394.45</v>
      </c>
      <c r="O501" s="15" t="n">
        <v>10139.44</v>
      </c>
      <c r="P501" s="15" t="n">
        <v>91255.01</v>
      </c>
      <c r="Q501" s="15" t="n">
        <v>0</v>
      </c>
      <c r="R501" s="11" t="n">
        <v>0</v>
      </c>
      <c r="S501" s="15" t="n">
        <f aca="false">P501-Q501</f>
        <v>91255.01</v>
      </c>
      <c r="T501" s="11" t="n">
        <f aca="false">IF(OR(J501="Completed",J501="Returned"),1,0)</f>
        <v>1</v>
      </c>
    </row>
    <row r="502" customFormat="false" ht="15" hidden="false" customHeight="false" outlineLevel="0" collapsed="false">
      <c r="A502" s="11" t="s">
        <v>1402</v>
      </c>
      <c r="B502" s="11" t="s">
        <v>422</v>
      </c>
      <c r="C502" s="24" t="n">
        <v>45408</v>
      </c>
      <c r="D502" s="11" t="s">
        <v>35</v>
      </c>
      <c r="E502" s="11" t="s">
        <v>1073</v>
      </c>
      <c r="F502" s="11" t="s">
        <v>70</v>
      </c>
      <c r="G502" s="11" t="s">
        <v>625</v>
      </c>
      <c r="H502" s="11" t="s">
        <v>21</v>
      </c>
      <c r="I502" s="11" t="s">
        <v>113</v>
      </c>
      <c r="J502" s="11" t="s">
        <v>242</v>
      </c>
      <c r="K502" s="11" t="n">
        <v>4</v>
      </c>
      <c r="L502" s="15" t="n">
        <v>15176.98</v>
      </c>
      <c r="M502" s="11" t="n">
        <v>15</v>
      </c>
      <c r="N502" s="15" t="n">
        <v>60707.92</v>
      </c>
      <c r="O502" s="15" t="n">
        <v>9106.19</v>
      </c>
      <c r="P502" s="15" t="n">
        <v>51601.73</v>
      </c>
      <c r="Q502" s="15" t="n">
        <v>0</v>
      </c>
      <c r="R502" s="11" t="n">
        <v>0</v>
      </c>
      <c r="S502" s="15" t="n">
        <f aca="false">P502-Q502</f>
        <v>51601.73</v>
      </c>
      <c r="T502" s="11" t="n">
        <f aca="false">IF(OR(J502="Completed",J502="Returned"),1,0)</f>
        <v>1</v>
      </c>
    </row>
    <row r="503" customFormat="false" ht="15" hidden="false" customHeight="false" outlineLevel="0" collapsed="false">
      <c r="A503" s="11" t="s">
        <v>1403</v>
      </c>
      <c r="B503" s="11" t="s">
        <v>318</v>
      </c>
      <c r="C503" s="24" t="n">
        <v>45472</v>
      </c>
      <c r="D503" s="11" t="s">
        <v>37</v>
      </c>
      <c r="E503" s="11" t="s">
        <v>837</v>
      </c>
      <c r="F503" s="11" t="s">
        <v>82</v>
      </c>
      <c r="G503" s="11" t="s">
        <v>137</v>
      </c>
      <c r="H503" s="11" t="s">
        <v>22</v>
      </c>
      <c r="I503" s="11" t="s">
        <v>114</v>
      </c>
      <c r="J503" s="11" t="s">
        <v>269</v>
      </c>
      <c r="K503" s="11" t="n">
        <v>4</v>
      </c>
      <c r="L503" s="15" t="n">
        <v>12393.99</v>
      </c>
      <c r="M503" s="11" t="n">
        <v>20</v>
      </c>
      <c r="N503" s="15" t="n">
        <v>49575.96</v>
      </c>
      <c r="O503" s="15" t="n">
        <v>9915.19</v>
      </c>
      <c r="P503" s="15" t="n">
        <v>39660.77</v>
      </c>
      <c r="Q503" s="15" t="n">
        <v>0</v>
      </c>
      <c r="R503" s="11" t="n">
        <v>0</v>
      </c>
      <c r="S503" s="15" t="n">
        <f aca="false">P503-Q503</f>
        <v>39660.77</v>
      </c>
      <c r="T503" s="11" t="n">
        <f aca="false">IF(OR(J503="Completed",J503="Returned"),1,0)</f>
        <v>1</v>
      </c>
    </row>
    <row r="504" customFormat="false" ht="15" hidden="false" customHeight="false" outlineLevel="0" collapsed="false">
      <c r="A504" s="11" t="s">
        <v>1404</v>
      </c>
      <c r="B504" s="11" t="s">
        <v>318</v>
      </c>
      <c r="C504" s="24" t="n">
        <v>45472</v>
      </c>
      <c r="D504" s="11" t="s">
        <v>37</v>
      </c>
      <c r="E504" s="11" t="s">
        <v>837</v>
      </c>
      <c r="F504" s="11" t="s">
        <v>82</v>
      </c>
      <c r="G504" s="11" t="s">
        <v>607</v>
      </c>
      <c r="H504" s="11" t="s">
        <v>22</v>
      </c>
      <c r="I504" s="11" t="s">
        <v>114</v>
      </c>
      <c r="J504" s="11" t="s">
        <v>269</v>
      </c>
      <c r="K504" s="11" t="n">
        <v>1</v>
      </c>
      <c r="L504" s="15" t="n">
        <v>11569.57</v>
      </c>
      <c r="M504" s="11" t="n">
        <v>5</v>
      </c>
      <c r="N504" s="15" t="n">
        <v>11569.57</v>
      </c>
      <c r="O504" s="15" t="n">
        <v>578.48</v>
      </c>
      <c r="P504" s="15" t="n">
        <v>10991.09</v>
      </c>
      <c r="Q504" s="15" t="n">
        <v>0</v>
      </c>
      <c r="R504" s="11" t="n">
        <v>0</v>
      </c>
      <c r="S504" s="15" t="n">
        <f aca="false">P504-Q504</f>
        <v>10991.09</v>
      </c>
      <c r="T504" s="11" t="n">
        <f aca="false">IF(OR(J504="Completed",J504="Returned"),1,0)</f>
        <v>1</v>
      </c>
    </row>
    <row r="505" customFormat="false" ht="15" hidden="false" customHeight="false" outlineLevel="0" collapsed="false">
      <c r="A505" s="11" t="s">
        <v>1405</v>
      </c>
      <c r="B505" s="11" t="s">
        <v>318</v>
      </c>
      <c r="C505" s="24" t="n">
        <v>45472</v>
      </c>
      <c r="D505" s="11" t="s">
        <v>37</v>
      </c>
      <c r="E505" s="11" t="s">
        <v>837</v>
      </c>
      <c r="F505" s="11" t="s">
        <v>82</v>
      </c>
      <c r="G505" s="11" t="s">
        <v>628</v>
      </c>
      <c r="H505" s="11" t="s">
        <v>22</v>
      </c>
      <c r="I505" s="11" t="s">
        <v>114</v>
      </c>
      <c r="J505" s="11" t="s">
        <v>269</v>
      </c>
      <c r="K505" s="11" t="n">
        <v>5</v>
      </c>
      <c r="L505" s="15" t="n">
        <v>9269.43</v>
      </c>
      <c r="M505" s="11" t="n">
        <v>20</v>
      </c>
      <c r="N505" s="15" t="n">
        <v>46347.15</v>
      </c>
      <c r="O505" s="15" t="n">
        <v>9269.43</v>
      </c>
      <c r="P505" s="15" t="n">
        <v>37077.72</v>
      </c>
      <c r="Q505" s="15" t="n">
        <v>0</v>
      </c>
      <c r="R505" s="11" t="n">
        <v>0</v>
      </c>
      <c r="S505" s="15" t="n">
        <f aca="false">P505-Q505</f>
        <v>37077.72</v>
      </c>
      <c r="T505" s="11" t="n">
        <f aca="false">IF(OR(J505="Completed",J505="Returned"),1,0)</f>
        <v>1</v>
      </c>
    </row>
    <row r="506" customFormat="false" ht="15" hidden="false" customHeight="false" outlineLevel="0" collapsed="false">
      <c r="A506" s="11" t="s">
        <v>1406</v>
      </c>
      <c r="B506" s="11" t="s">
        <v>318</v>
      </c>
      <c r="C506" s="24" t="n">
        <v>45472</v>
      </c>
      <c r="D506" s="11" t="s">
        <v>37</v>
      </c>
      <c r="E506" s="11" t="s">
        <v>837</v>
      </c>
      <c r="F506" s="11" t="s">
        <v>82</v>
      </c>
      <c r="G506" s="11" t="s">
        <v>133</v>
      </c>
      <c r="H506" s="11" t="s">
        <v>21</v>
      </c>
      <c r="I506" s="11" t="s">
        <v>114</v>
      </c>
      <c r="J506" s="11" t="s">
        <v>269</v>
      </c>
      <c r="K506" s="11" t="n">
        <v>4</v>
      </c>
      <c r="L506" s="15" t="n">
        <v>15706.03</v>
      </c>
      <c r="M506" s="11" t="n">
        <v>10</v>
      </c>
      <c r="N506" s="15" t="n">
        <v>62824.12</v>
      </c>
      <c r="O506" s="15" t="n">
        <v>6282.41</v>
      </c>
      <c r="P506" s="15" t="n">
        <v>56541.71</v>
      </c>
      <c r="Q506" s="15" t="n">
        <v>0</v>
      </c>
      <c r="R506" s="11" t="n">
        <v>0</v>
      </c>
      <c r="S506" s="15" t="n">
        <f aca="false">P506-Q506</f>
        <v>56541.71</v>
      </c>
      <c r="T506" s="11" t="n">
        <f aca="false">IF(OR(J506="Completed",J506="Returned"),1,0)</f>
        <v>1</v>
      </c>
    </row>
    <row r="507" customFormat="false" ht="15" hidden="false" customHeight="false" outlineLevel="0" collapsed="false">
      <c r="A507" s="11" t="s">
        <v>1407</v>
      </c>
      <c r="B507" s="11" t="s">
        <v>413</v>
      </c>
      <c r="C507" s="24" t="n">
        <v>45915</v>
      </c>
      <c r="D507" s="11" t="s">
        <v>52</v>
      </c>
      <c r="E507" s="11" t="s">
        <v>980</v>
      </c>
      <c r="F507" s="11" t="s">
        <v>70</v>
      </c>
      <c r="G507" s="11" t="s">
        <v>822</v>
      </c>
      <c r="H507" s="11" t="s">
        <v>21</v>
      </c>
      <c r="I507" s="11" t="s">
        <v>113</v>
      </c>
      <c r="J507" s="11" t="s">
        <v>242</v>
      </c>
      <c r="K507" s="11" t="n">
        <v>2</v>
      </c>
      <c r="L507" s="15" t="n">
        <v>11089.19</v>
      </c>
      <c r="M507" s="11" t="n">
        <v>5</v>
      </c>
      <c r="N507" s="15" t="n">
        <v>22178.38</v>
      </c>
      <c r="O507" s="15" t="n">
        <v>1108.92</v>
      </c>
      <c r="P507" s="15" t="n">
        <v>21069.46</v>
      </c>
      <c r="Q507" s="15" t="n">
        <v>0</v>
      </c>
      <c r="R507" s="11" t="n">
        <v>0</v>
      </c>
      <c r="S507" s="15" t="n">
        <f aca="false">P507-Q507</f>
        <v>21069.46</v>
      </c>
      <c r="T507" s="11" t="n">
        <f aca="false">IF(OR(J507="Completed",J507="Returned"),1,0)</f>
        <v>1</v>
      </c>
    </row>
    <row r="508" customFormat="false" ht="15" hidden="false" customHeight="false" outlineLevel="0" collapsed="false">
      <c r="A508" s="11" t="s">
        <v>1408</v>
      </c>
      <c r="B508" s="11" t="s">
        <v>370</v>
      </c>
      <c r="C508" s="24" t="n">
        <v>45479</v>
      </c>
      <c r="D508" s="11" t="s">
        <v>38</v>
      </c>
      <c r="E508" s="11" t="s">
        <v>1215</v>
      </c>
      <c r="F508" s="11" t="s">
        <v>74</v>
      </c>
      <c r="G508" s="11" t="s">
        <v>781</v>
      </c>
      <c r="H508" s="11" t="s">
        <v>21</v>
      </c>
      <c r="I508" s="11" t="s">
        <v>113</v>
      </c>
      <c r="J508" s="11" t="s">
        <v>242</v>
      </c>
      <c r="K508" s="11" t="n">
        <v>4</v>
      </c>
      <c r="L508" s="15" t="n">
        <v>3962.52</v>
      </c>
      <c r="M508" s="11" t="n">
        <v>15</v>
      </c>
      <c r="N508" s="15" t="n">
        <v>15850.08</v>
      </c>
      <c r="O508" s="15" t="n">
        <v>2377.51</v>
      </c>
      <c r="P508" s="15" t="n">
        <v>13472.57</v>
      </c>
      <c r="Q508" s="15" t="n">
        <v>0</v>
      </c>
      <c r="R508" s="11" t="n">
        <v>0</v>
      </c>
      <c r="S508" s="15" t="n">
        <f aca="false">P508-Q508</f>
        <v>13472.57</v>
      </c>
      <c r="T508" s="11" t="n">
        <f aca="false">IF(OR(J508="Completed",J508="Returned"),1,0)</f>
        <v>1</v>
      </c>
    </row>
    <row r="509" customFormat="false" ht="15" hidden="false" customHeight="false" outlineLevel="0" collapsed="false">
      <c r="A509" s="11" t="s">
        <v>1409</v>
      </c>
      <c r="B509" s="11" t="s">
        <v>370</v>
      </c>
      <c r="C509" s="24" t="n">
        <v>45479</v>
      </c>
      <c r="D509" s="11" t="s">
        <v>38</v>
      </c>
      <c r="E509" s="11" t="s">
        <v>1215</v>
      </c>
      <c r="F509" s="11" t="s">
        <v>74</v>
      </c>
      <c r="G509" s="11" t="s">
        <v>127</v>
      </c>
      <c r="H509" s="11" t="s">
        <v>21</v>
      </c>
      <c r="I509" s="11" t="s">
        <v>113</v>
      </c>
      <c r="J509" s="11" t="s">
        <v>242</v>
      </c>
      <c r="K509" s="11" t="n">
        <v>5</v>
      </c>
      <c r="L509" s="15" t="n">
        <v>4081.95</v>
      </c>
      <c r="M509" s="11" t="n">
        <v>5</v>
      </c>
      <c r="N509" s="15" t="n">
        <v>20409.75</v>
      </c>
      <c r="O509" s="15" t="n">
        <v>1020.49</v>
      </c>
      <c r="P509" s="15" t="n">
        <v>19389.26</v>
      </c>
      <c r="Q509" s="15" t="n">
        <v>18739.92</v>
      </c>
      <c r="R509" s="11" t="n">
        <v>5</v>
      </c>
      <c r="S509" s="15" t="n">
        <f aca="false">P509-Q509</f>
        <v>649.34</v>
      </c>
      <c r="T509" s="11" t="n">
        <f aca="false">IF(OR(J509="Completed",J509="Returned"),1,0)</f>
        <v>1</v>
      </c>
    </row>
    <row r="510" customFormat="false" ht="15" hidden="false" customHeight="false" outlineLevel="0" collapsed="false">
      <c r="A510" s="11" t="s">
        <v>1410</v>
      </c>
      <c r="B510" s="11" t="s">
        <v>252</v>
      </c>
      <c r="C510" s="24" t="n">
        <v>45638</v>
      </c>
      <c r="D510" s="11" t="s">
        <v>43</v>
      </c>
      <c r="E510" s="11" t="s">
        <v>1096</v>
      </c>
      <c r="F510" s="11" t="s">
        <v>78</v>
      </c>
      <c r="G510" s="11" t="s">
        <v>794</v>
      </c>
      <c r="H510" s="11" t="s">
        <v>23</v>
      </c>
      <c r="I510" s="11" t="s">
        <v>114</v>
      </c>
      <c r="J510" s="11" t="s">
        <v>242</v>
      </c>
      <c r="K510" s="11" t="n">
        <v>4</v>
      </c>
      <c r="L510" s="15" t="n">
        <v>20253.93</v>
      </c>
      <c r="M510" s="11" t="n">
        <v>5</v>
      </c>
      <c r="N510" s="15" t="n">
        <v>81015.72</v>
      </c>
      <c r="O510" s="15" t="n">
        <v>4050.79</v>
      </c>
      <c r="P510" s="15" t="n">
        <v>76964.93</v>
      </c>
      <c r="Q510" s="15" t="n">
        <v>0</v>
      </c>
      <c r="R510" s="11" t="n">
        <v>0</v>
      </c>
      <c r="S510" s="15" t="n">
        <f aca="false">P510-Q510</f>
        <v>76964.93</v>
      </c>
      <c r="T510" s="11" t="n">
        <f aca="false">IF(OR(J510="Completed",J510="Returned"),1,0)</f>
        <v>1</v>
      </c>
    </row>
    <row r="511" customFormat="false" ht="15" hidden="false" customHeight="false" outlineLevel="0" collapsed="false">
      <c r="A511" s="11" t="s">
        <v>1411</v>
      </c>
      <c r="B511" s="11" t="s">
        <v>252</v>
      </c>
      <c r="C511" s="24" t="n">
        <v>45638</v>
      </c>
      <c r="D511" s="11" t="s">
        <v>43</v>
      </c>
      <c r="E511" s="11" t="s">
        <v>1096</v>
      </c>
      <c r="F511" s="11" t="s">
        <v>78</v>
      </c>
      <c r="G511" s="11" t="s">
        <v>1166</v>
      </c>
      <c r="H511" s="11" t="s">
        <v>21</v>
      </c>
      <c r="I511" s="11" t="s">
        <v>114</v>
      </c>
      <c r="J511" s="11" t="s">
        <v>242</v>
      </c>
      <c r="K511" s="11" t="n">
        <v>4</v>
      </c>
      <c r="L511" s="15" t="n">
        <v>27280.24</v>
      </c>
      <c r="M511" s="11" t="n">
        <v>5</v>
      </c>
      <c r="N511" s="15" t="n">
        <v>109120.96</v>
      </c>
      <c r="O511" s="15" t="n">
        <v>5456.05</v>
      </c>
      <c r="P511" s="15" t="n">
        <v>103664.91</v>
      </c>
      <c r="Q511" s="15" t="n">
        <v>0</v>
      </c>
      <c r="R511" s="11" t="n">
        <v>0</v>
      </c>
      <c r="S511" s="15" t="n">
        <f aca="false">P511-Q511</f>
        <v>103664.91</v>
      </c>
      <c r="T511" s="11" t="n">
        <f aca="false">IF(OR(J511="Completed",J511="Returned"),1,0)</f>
        <v>1</v>
      </c>
    </row>
    <row r="512" customFormat="false" ht="15" hidden="false" customHeight="false" outlineLevel="0" collapsed="false">
      <c r="A512" s="11" t="s">
        <v>1412</v>
      </c>
      <c r="B512" s="11" t="s">
        <v>566</v>
      </c>
      <c r="C512" s="24" t="n">
        <v>45928</v>
      </c>
      <c r="D512" s="11" t="s">
        <v>52</v>
      </c>
      <c r="E512" s="11" t="s">
        <v>844</v>
      </c>
      <c r="F512" s="11" t="s">
        <v>82</v>
      </c>
      <c r="G512" s="11" t="s">
        <v>635</v>
      </c>
      <c r="H512" s="11" t="s">
        <v>22</v>
      </c>
      <c r="I512" s="11" t="s">
        <v>114</v>
      </c>
      <c r="J512" s="11" t="s">
        <v>242</v>
      </c>
      <c r="K512" s="11" t="n">
        <v>2</v>
      </c>
      <c r="L512" s="15" t="n">
        <v>7877.61</v>
      </c>
      <c r="M512" s="11" t="n">
        <v>20</v>
      </c>
      <c r="N512" s="15" t="n">
        <v>15755.22</v>
      </c>
      <c r="O512" s="15" t="n">
        <v>3151.04</v>
      </c>
      <c r="P512" s="15" t="n">
        <v>12604.18</v>
      </c>
      <c r="Q512" s="15" t="n">
        <v>0</v>
      </c>
      <c r="R512" s="11" t="n">
        <v>0</v>
      </c>
      <c r="S512" s="15" t="n">
        <f aca="false">P512-Q512</f>
        <v>12604.18</v>
      </c>
      <c r="T512" s="11" t="n">
        <f aca="false">IF(OR(J512="Completed",J512="Returned"),1,0)</f>
        <v>1</v>
      </c>
    </row>
    <row r="513" customFormat="false" ht="15" hidden="false" customHeight="false" outlineLevel="0" collapsed="false">
      <c r="A513" s="11" t="s">
        <v>1413</v>
      </c>
      <c r="B513" s="11" t="s">
        <v>566</v>
      </c>
      <c r="C513" s="24" t="n">
        <v>45928</v>
      </c>
      <c r="D513" s="11" t="s">
        <v>52</v>
      </c>
      <c r="E513" s="11" t="s">
        <v>844</v>
      </c>
      <c r="F513" s="11" t="s">
        <v>82</v>
      </c>
      <c r="G513" s="11" t="s">
        <v>637</v>
      </c>
      <c r="H513" s="11" t="s">
        <v>21</v>
      </c>
      <c r="I513" s="11" t="s">
        <v>114</v>
      </c>
      <c r="J513" s="11" t="s">
        <v>242</v>
      </c>
      <c r="K513" s="11" t="n">
        <v>3</v>
      </c>
      <c r="L513" s="15" t="n">
        <v>3019.36</v>
      </c>
      <c r="M513" s="11" t="n">
        <v>0</v>
      </c>
      <c r="N513" s="15" t="n">
        <v>9058.08</v>
      </c>
      <c r="O513" s="15" t="n">
        <v>0</v>
      </c>
      <c r="P513" s="15" t="n">
        <v>9058.08</v>
      </c>
      <c r="Q513" s="15" t="n">
        <v>0</v>
      </c>
      <c r="R513" s="11" t="n">
        <v>0</v>
      </c>
      <c r="S513" s="15" t="n">
        <f aca="false">P513-Q513</f>
        <v>9058.08</v>
      </c>
      <c r="T513" s="11" t="n">
        <f aca="false">IF(OR(J513="Completed",J513="Returned"),1,0)</f>
        <v>1</v>
      </c>
    </row>
    <row r="514" customFormat="false" ht="15" hidden="false" customHeight="false" outlineLevel="0" collapsed="false">
      <c r="A514" s="11" t="s">
        <v>1414</v>
      </c>
      <c r="B514" s="11" t="s">
        <v>479</v>
      </c>
      <c r="C514" s="24" t="n">
        <v>44611</v>
      </c>
      <c r="D514" s="11" t="s">
        <v>1415</v>
      </c>
      <c r="E514" s="11" t="s">
        <v>842</v>
      </c>
      <c r="F514" s="11" t="s">
        <v>70</v>
      </c>
      <c r="G514" s="11" t="s">
        <v>611</v>
      </c>
      <c r="H514" s="11" t="s">
        <v>22</v>
      </c>
      <c r="I514" s="11" t="s">
        <v>114</v>
      </c>
      <c r="J514" s="11" t="s">
        <v>250</v>
      </c>
      <c r="K514" s="11" t="n">
        <v>5</v>
      </c>
      <c r="L514" s="15" t="n">
        <v>3634.57</v>
      </c>
      <c r="M514" s="11" t="n">
        <v>5</v>
      </c>
      <c r="N514" s="15" t="n">
        <v>18172.85</v>
      </c>
      <c r="O514" s="15" t="n">
        <v>908.64</v>
      </c>
      <c r="P514" s="15" t="n">
        <v>17264.21</v>
      </c>
      <c r="Q514" s="15" t="n">
        <v>0</v>
      </c>
      <c r="R514" s="11" t="n">
        <v>0</v>
      </c>
      <c r="S514" s="15" t="n">
        <f aca="false">P514-Q514</f>
        <v>17264.21</v>
      </c>
      <c r="T514" s="11" t="n">
        <f aca="false">IF(OR(J514="Completed",J514="Returned"),1,0)</f>
        <v>0</v>
      </c>
    </row>
    <row r="515" customFormat="false" ht="15" hidden="false" customHeight="false" outlineLevel="0" collapsed="false">
      <c r="A515" s="11" t="s">
        <v>1416</v>
      </c>
      <c r="B515" s="11" t="s">
        <v>479</v>
      </c>
      <c r="C515" s="24" t="n">
        <v>44611</v>
      </c>
      <c r="D515" s="11" t="s">
        <v>1415</v>
      </c>
      <c r="E515" s="11" t="s">
        <v>842</v>
      </c>
      <c r="F515" s="11" t="s">
        <v>70</v>
      </c>
      <c r="G515" s="11" t="s">
        <v>805</v>
      </c>
      <c r="H515" s="11" t="s">
        <v>21</v>
      </c>
      <c r="I515" s="11" t="s">
        <v>114</v>
      </c>
      <c r="J515" s="11" t="s">
        <v>250</v>
      </c>
      <c r="K515" s="11" t="n">
        <v>5</v>
      </c>
      <c r="L515" s="15" t="n">
        <v>23243.35</v>
      </c>
      <c r="M515" s="11" t="n">
        <v>5</v>
      </c>
      <c r="N515" s="15" t="n">
        <v>116216.75</v>
      </c>
      <c r="O515" s="15" t="n">
        <v>5810.84</v>
      </c>
      <c r="P515" s="15" t="n">
        <v>110405.91</v>
      </c>
      <c r="Q515" s="15" t="n">
        <v>0</v>
      </c>
      <c r="R515" s="11" t="n">
        <v>0</v>
      </c>
      <c r="S515" s="15" t="n">
        <f aca="false">P515-Q515</f>
        <v>110405.91</v>
      </c>
      <c r="T515" s="11" t="n">
        <f aca="false">IF(OR(J515="Completed",J515="Returned"),1,0)</f>
        <v>0</v>
      </c>
    </row>
    <row r="516" customFormat="false" ht="15" hidden="false" customHeight="false" outlineLevel="0" collapsed="false">
      <c r="A516" s="11" t="s">
        <v>1417</v>
      </c>
      <c r="B516" s="11" t="s">
        <v>479</v>
      </c>
      <c r="C516" s="24" t="n">
        <v>44611</v>
      </c>
      <c r="D516" s="11" t="s">
        <v>1415</v>
      </c>
      <c r="E516" s="11" t="s">
        <v>842</v>
      </c>
      <c r="F516" s="11" t="s">
        <v>70</v>
      </c>
      <c r="G516" s="11" t="s">
        <v>619</v>
      </c>
      <c r="H516" s="11" t="s">
        <v>23</v>
      </c>
      <c r="I516" s="11" t="s">
        <v>114</v>
      </c>
      <c r="J516" s="11" t="s">
        <v>250</v>
      </c>
      <c r="K516" s="11" t="n">
        <v>4</v>
      </c>
      <c r="L516" s="15" t="n">
        <v>20550.39</v>
      </c>
      <c r="M516" s="11" t="n">
        <v>5</v>
      </c>
      <c r="N516" s="15" t="n">
        <v>82201.56</v>
      </c>
      <c r="O516" s="15" t="n">
        <v>4110.08</v>
      </c>
      <c r="P516" s="15" t="n">
        <v>78091.48</v>
      </c>
      <c r="Q516" s="15" t="n">
        <v>0</v>
      </c>
      <c r="R516" s="11" t="n">
        <v>0</v>
      </c>
      <c r="S516" s="15" t="n">
        <f aca="false">P516-Q516</f>
        <v>78091.48</v>
      </c>
      <c r="T516" s="11" t="n">
        <f aca="false">IF(OR(J516="Completed",J516="Returned"),1,0)</f>
        <v>0</v>
      </c>
    </row>
    <row r="517" customFormat="false" ht="15" hidden="false" customHeight="false" outlineLevel="0" collapsed="false">
      <c r="A517" s="11" t="s">
        <v>1418</v>
      </c>
      <c r="B517" s="11" t="s">
        <v>479</v>
      </c>
      <c r="C517" s="24" t="n">
        <v>44611</v>
      </c>
      <c r="D517" s="11" t="s">
        <v>1415</v>
      </c>
      <c r="E517" s="11" t="s">
        <v>842</v>
      </c>
      <c r="F517" s="11" t="s">
        <v>70</v>
      </c>
      <c r="G517" s="11" t="s">
        <v>781</v>
      </c>
      <c r="H517" s="11" t="s">
        <v>21</v>
      </c>
      <c r="I517" s="11" t="s">
        <v>114</v>
      </c>
      <c r="J517" s="11" t="s">
        <v>250</v>
      </c>
      <c r="K517" s="11" t="n">
        <v>3</v>
      </c>
      <c r="L517" s="15" t="n">
        <v>3962.52</v>
      </c>
      <c r="M517" s="11" t="n">
        <v>5</v>
      </c>
      <c r="N517" s="15" t="n">
        <v>11887.56</v>
      </c>
      <c r="O517" s="15" t="n">
        <v>594.38</v>
      </c>
      <c r="P517" s="15" t="n">
        <v>11293.18</v>
      </c>
      <c r="Q517" s="15" t="n">
        <v>0</v>
      </c>
      <c r="R517" s="11" t="n">
        <v>0</v>
      </c>
      <c r="S517" s="15" t="n">
        <f aca="false">P517-Q517</f>
        <v>11293.18</v>
      </c>
      <c r="T517" s="11" t="n">
        <f aca="false">IF(OR(J517="Completed",J517="Returned"),1,0)</f>
        <v>0</v>
      </c>
    </row>
    <row r="518" customFormat="false" ht="15" hidden="false" customHeight="false" outlineLevel="0" collapsed="false">
      <c r="A518" s="11" t="s">
        <v>1419</v>
      </c>
      <c r="B518" s="11" t="s">
        <v>427</v>
      </c>
      <c r="C518" s="24" t="n">
        <v>45843</v>
      </c>
      <c r="D518" s="11" t="s">
        <v>50</v>
      </c>
      <c r="E518" s="11" t="s">
        <v>1420</v>
      </c>
      <c r="F518" s="11" t="s">
        <v>70</v>
      </c>
      <c r="G518" s="11" t="s">
        <v>158</v>
      </c>
      <c r="H518" s="11" t="s">
        <v>22</v>
      </c>
      <c r="I518" s="11" t="s">
        <v>114</v>
      </c>
      <c r="J518" s="11" t="s">
        <v>242</v>
      </c>
      <c r="K518" s="11" t="n">
        <v>3</v>
      </c>
      <c r="L518" s="15" t="n">
        <v>5471.28</v>
      </c>
      <c r="M518" s="11" t="n">
        <v>0</v>
      </c>
      <c r="N518" s="15" t="n">
        <v>16413.84</v>
      </c>
      <c r="O518" s="15" t="n">
        <v>0</v>
      </c>
      <c r="P518" s="15" t="n">
        <v>16413.84</v>
      </c>
      <c r="Q518" s="15" t="n">
        <v>0</v>
      </c>
      <c r="R518" s="11" t="n">
        <v>0</v>
      </c>
      <c r="S518" s="15" t="n">
        <f aca="false">P518-Q518</f>
        <v>16413.84</v>
      </c>
      <c r="T518" s="11" t="n">
        <f aca="false">IF(OR(J518="Completed",J518="Returned"),1,0)</f>
        <v>1</v>
      </c>
    </row>
    <row r="519" customFormat="false" ht="15" hidden="false" customHeight="false" outlineLevel="0" collapsed="false">
      <c r="A519" s="11" t="s">
        <v>1421</v>
      </c>
      <c r="B519" s="11" t="s">
        <v>427</v>
      </c>
      <c r="C519" s="24" t="n">
        <v>45843</v>
      </c>
      <c r="D519" s="11" t="s">
        <v>50</v>
      </c>
      <c r="E519" s="11" t="s">
        <v>1420</v>
      </c>
      <c r="F519" s="11" t="s">
        <v>70</v>
      </c>
      <c r="G519" s="11" t="s">
        <v>141</v>
      </c>
      <c r="H519" s="11" t="s">
        <v>24</v>
      </c>
      <c r="I519" s="11" t="s">
        <v>114</v>
      </c>
      <c r="J519" s="11" t="s">
        <v>242</v>
      </c>
      <c r="K519" s="11" t="n">
        <v>1</v>
      </c>
      <c r="L519" s="15" t="n">
        <v>20481.04</v>
      </c>
      <c r="M519" s="11" t="n">
        <v>15</v>
      </c>
      <c r="N519" s="15" t="n">
        <v>20481.04</v>
      </c>
      <c r="O519" s="15" t="n">
        <v>3072.16</v>
      </c>
      <c r="P519" s="15" t="n">
        <v>17408.88</v>
      </c>
      <c r="Q519" s="15" t="n">
        <v>0</v>
      </c>
      <c r="R519" s="11" t="n">
        <v>0</v>
      </c>
      <c r="S519" s="15" t="n">
        <f aca="false">P519-Q519</f>
        <v>17408.88</v>
      </c>
      <c r="T519" s="11" t="n">
        <f aca="false">IF(OR(J519="Completed",J519="Returned"),1,0)</f>
        <v>1</v>
      </c>
    </row>
    <row r="520" customFormat="false" ht="15" hidden="false" customHeight="false" outlineLevel="0" collapsed="false">
      <c r="A520" s="11" t="s">
        <v>1422</v>
      </c>
      <c r="B520" s="11" t="s">
        <v>488</v>
      </c>
      <c r="C520" s="24" t="n">
        <v>45940</v>
      </c>
      <c r="D520" s="11" t="s">
        <v>53</v>
      </c>
      <c r="E520" s="11" t="s">
        <v>1103</v>
      </c>
      <c r="F520" s="11" t="s">
        <v>70</v>
      </c>
      <c r="G520" s="11" t="s">
        <v>794</v>
      </c>
      <c r="H520" s="11" t="s">
        <v>23</v>
      </c>
      <c r="I520" s="11" t="s">
        <v>114</v>
      </c>
      <c r="J520" s="11" t="s">
        <v>246</v>
      </c>
      <c r="K520" s="11" t="n">
        <v>2</v>
      </c>
      <c r="L520" s="15" t="n">
        <v>20253.93</v>
      </c>
      <c r="M520" s="11" t="n">
        <v>10</v>
      </c>
      <c r="N520" s="15" t="n">
        <v>40507.86</v>
      </c>
      <c r="O520" s="15" t="n">
        <v>4050.79</v>
      </c>
      <c r="P520" s="15" t="n">
        <v>36457.07</v>
      </c>
      <c r="Q520" s="15" t="n">
        <v>0</v>
      </c>
      <c r="R520" s="11" t="n">
        <v>0</v>
      </c>
      <c r="S520" s="15" t="n">
        <f aca="false">P520-Q520</f>
        <v>36457.07</v>
      </c>
      <c r="T520" s="11" t="n">
        <f aca="false">IF(OR(J520="Completed",J520="Returned"),1,0)</f>
        <v>0</v>
      </c>
    </row>
    <row r="521" customFormat="false" ht="15" hidden="false" customHeight="false" outlineLevel="0" collapsed="false">
      <c r="A521" s="11" t="s">
        <v>1423</v>
      </c>
      <c r="B521" s="11" t="s">
        <v>488</v>
      </c>
      <c r="C521" s="24" t="n">
        <v>45940</v>
      </c>
      <c r="D521" s="11" t="s">
        <v>53</v>
      </c>
      <c r="E521" s="11" t="s">
        <v>1103</v>
      </c>
      <c r="F521" s="11" t="s">
        <v>70</v>
      </c>
      <c r="G521" s="11" t="s">
        <v>1054</v>
      </c>
      <c r="H521" s="11" t="s">
        <v>21</v>
      </c>
      <c r="I521" s="11" t="s">
        <v>114</v>
      </c>
      <c r="J521" s="11" t="s">
        <v>246</v>
      </c>
      <c r="K521" s="11" t="n">
        <v>5</v>
      </c>
      <c r="L521" s="15" t="n">
        <v>19632.52</v>
      </c>
      <c r="M521" s="11" t="n">
        <v>0</v>
      </c>
      <c r="N521" s="15" t="n">
        <v>98162.6</v>
      </c>
      <c r="O521" s="15" t="n">
        <v>0</v>
      </c>
      <c r="P521" s="15" t="n">
        <v>98162.6</v>
      </c>
      <c r="Q521" s="15" t="n">
        <v>0</v>
      </c>
      <c r="R521" s="11" t="n">
        <v>0</v>
      </c>
      <c r="S521" s="15" t="n">
        <f aca="false">P521-Q521</f>
        <v>98162.6</v>
      </c>
      <c r="T521" s="11" t="n">
        <f aca="false">IF(OR(J521="Completed",J521="Returned"),1,0)</f>
        <v>0</v>
      </c>
    </row>
    <row r="522" customFormat="false" ht="15" hidden="false" customHeight="false" outlineLevel="0" collapsed="false">
      <c r="A522" s="11" t="s">
        <v>1424</v>
      </c>
      <c r="B522" s="11" t="s">
        <v>488</v>
      </c>
      <c r="C522" s="24" t="n">
        <v>45940</v>
      </c>
      <c r="D522" s="11" t="s">
        <v>53</v>
      </c>
      <c r="E522" s="11" t="s">
        <v>1103</v>
      </c>
      <c r="F522" s="11" t="s">
        <v>70</v>
      </c>
      <c r="G522" s="11" t="s">
        <v>786</v>
      </c>
      <c r="H522" s="11" t="s">
        <v>24</v>
      </c>
      <c r="I522" s="11" t="s">
        <v>114</v>
      </c>
      <c r="J522" s="11" t="s">
        <v>246</v>
      </c>
      <c r="K522" s="11" t="n">
        <v>4</v>
      </c>
      <c r="L522" s="15" t="n">
        <v>17477.91</v>
      </c>
      <c r="M522" s="11" t="n">
        <v>20</v>
      </c>
      <c r="N522" s="15" t="n">
        <v>69911.64</v>
      </c>
      <c r="O522" s="15" t="n">
        <v>13982.33</v>
      </c>
      <c r="P522" s="15" t="n">
        <v>55929.31</v>
      </c>
      <c r="Q522" s="15" t="n">
        <v>0</v>
      </c>
      <c r="R522" s="11" t="n">
        <v>0</v>
      </c>
      <c r="S522" s="15" t="n">
        <f aca="false">P522-Q522</f>
        <v>55929.31</v>
      </c>
      <c r="T522" s="11" t="n">
        <f aca="false">IF(OR(J522="Completed",J522="Returned"),1,0)</f>
        <v>0</v>
      </c>
    </row>
    <row r="523" customFormat="false" ht="15" hidden="false" customHeight="false" outlineLevel="0" collapsed="false">
      <c r="A523" s="11" t="s">
        <v>1425</v>
      </c>
      <c r="B523" s="11" t="s">
        <v>488</v>
      </c>
      <c r="C523" s="24" t="n">
        <v>45940</v>
      </c>
      <c r="D523" s="11" t="s">
        <v>53</v>
      </c>
      <c r="E523" s="11" t="s">
        <v>1103</v>
      </c>
      <c r="F523" s="11" t="s">
        <v>70</v>
      </c>
      <c r="G523" s="11" t="s">
        <v>611</v>
      </c>
      <c r="H523" s="11" t="s">
        <v>22</v>
      </c>
      <c r="I523" s="11" t="s">
        <v>114</v>
      </c>
      <c r="J523" s="11" t="s">
        <v>246</v>
      </c>
      <c r="K523" s="11" t="n">
        <v>4</v>
      </c>
      <c r="L523" s="15" t="n">
        <v>3634.57</v>
      </c>
      <c r="M523" s="11" t="n">
        <v>15</v>
      </c>
      <c r="N523" s="15" t="n">
        <v>14538.28</v>
      </c>
      <c r="O523" s="15" t="n">
        <v>2180.74</v>
      </c>
      <c r="P523" s="15" t="n">
        <v>12357.54</v>
      </c>
      <c r="Q523" s="15" t="n">
        <v>0</v>
      </c>
      <c r="R523" s="11" t="n">
        <v>0</v>
      </c>
      <c r="S523" s="15" t="n">
        <f aca="false">P523-Q523</f>
        <v>12357.54</v>
      </c>
      <c r="T523" s="11" t="n">
        <f aca="false">IF(OR(J523="Completed",J523="Returned"),1,0)</f>
        <v>0</v>
      </c>
    </row>
    <row r="524" customFormat="false" ht="15" hidden="false" customHeight="false" outlineLevel="0" collapsed="false">
      <c r="A524" s="11" t="s">
        <v>1426</v>
      </c>
      <c r="B524" s="11" t="s">
        <v>515</v>
      </c>
      <c r="C524" s="24" t="n">
        <v>45579</v>
      </c>
      <c r="D524" s="11" t="s">
        <v>41</v>
      </c>
      <c r="E524" s="11" t="s">
        <v>98</v>
      </c>
      <c r="F524" s="11" t="s">
        <v>70</v>
      </c>
      <c r="G524" s="11" t="s">
        <v>156</v>
      </c>
      <c r="H524" s="11" t="s">
        <v>23</v>
      </c>
      <c r="I524" s="11" t="s">
        <v>114</v>
      </c>
      <c r="J524" s="11" t="s">
        <v>242</v>
      </c>
      <c r="K524" s="11" t="n">
        <v>1</v>
      </c>
      <c r="L524" s="15" t="n">
        <v>11992.92</v>
      </c>
      <c r="M524" s="11" t="n">
        <v>0</v>
      </c>
      <c r="N524" s="15" t="n">
        <v>11992.92</v>
      </c>
      <c r="O524" s="15" t="n">
        <v>0</v>
      </c>
      <c r="P524" s="15" t="n">
        <v>11992.92</v>
      </c>
      <c r="Q524" s="15" t="n">
        <v>0</v>
      </c>
      <c r="R524" s="11" t="n">
        <v>0</v>
      </c>
      <c r="S524" s="15" t="n">
        <f aca="false">P524-Q524</f>
        <v>11992.92</v>
      </c>
      <c r="T524" s="11" t="n">
        <f aca="false">IF(OR(J524="Completed",J524="Returned"),1,0)</f>
        <v>1</v>
      </c>
    </row>
    <row r="525" customFormat="false" ht="15" hidden="false" customHeight="false" outlineLevel="0" collapsed="false">
      <c r="A525" s="11" t="s">
        <v>1427</v>
      </c>
      <c r="B525" s="11" t="s">
        <v>515</v>
      </c>
      <c r="C525" s="24" t="n">
        <v>45579</v>
      </c>
      <c r="D525" s="11" t="s">
        <v>41</v>
      </c>
      <c r="E525" s="11" t="s">
        <v>98</v>
      </c>
      <c r="F525" s="11" t="s">
        <v>70</v>
      </c>
      <c r="G525" s="11" t="s">
        <v>775</v>
      </c>
      <c r="H525" s="11" t="s">
        <v>23</v>
      </c>
      <c r="I525" s="11" t="s">
        <v>114</v>
      </c>
      <c r="J525" s="11" t="s">
        <v>242</v>
      </c>
      <c r="K525" s="11" t="n">
        <v>2</v>
      </c>
      <c r="L525" s="15" t="n">
        <v>26274.11</v>
      </c>
      <c r="M525" s="11" t="n">
        <v>10</v>
      </c>
      <c r="N525" s="15" t="n">
        <v>52548.22</v>
      </c>
      <c r="O525" s="15" t="n">
        <v>5254.82</v>
      </c>
      <c r="P525" s="15" t="n">
        <v>47293.4</v>
      </c>
      <c r="Q525" s="15" t="n">
        <v>0</v>
      </c>
      <c r="R525" s="11" t="n">
        <v>0</v>
      </c>
      <c r="S525" s="15" t="n">
        <f aca="false">P525-Q525</f>
        <v>47293.4</v>
      </c>
      <c r="T525" s="11" t="n">
        <f aca="false">IF(OR(J525="Completed",J525="Returned"),1,0)</f>
        <v>1</v>
      </c>
    </row>
    <row r="526" customFormat="false" ht="15" hidden="false" customHeight="false" outlineLevel="0" collapsed="false">
      <c r="A526" s="11" t="s">
        <v>1428</v>
      </c>
      <c r="B526" s="11" t="s">
        <v>515</v>
      </c>
      <c r="C526" s="24" t="n">
        <v>45579</v>
      </c>
      <c r="D526" s="11" t="s">
        <v>41</v>
      </c>
      <c r="E526" s="11" t="s">
        <v>98</v>
      </c>
      <c r="F526" s="11" t="s">
        <v>70</v>
      </c>
      <c r="G526" s="11" t="s">
        <v>131</v>
      </c>
      <c r="H526" s="11" t="s">
        <v>22</v>
      </c>
      <c r="I526" s="11" t="s">
        <v>114</v>
      </c>
      <c r="J526" s="11" t="s">
        <v>242</v>
      </c>
      <c r="K526" s="11" t="n">
        <v>1</v>
      </c>
      <c r="L526" s="15" t="n">
        <v>11284.39</v>
      </c>
      <c r="M526" s="11" t="n">
        <v>5</v>
      </c>
      <c r="N526" s="15" t="n">
        <v>11284.39</v>
      </c>
      <c r="O526" s="15" t="n">
        <v>564.22</v>
      </c>
      <c r="P526" s="15" t="n">
        <v>10720.17</v>
      </c>
      <c r="Q526" s="15" t="n">
        <v>0</v>
      </c>
      <c r="R526" s="11" t="n">
        <v>0</v>
      </c>
      <c r="S526" s="15" t="n">
        <f aca="false">P526-Q526</f>
        <v>10720.17</v>
      </c>
      <c r="T526" s="11" t="n">
        <f aca="false">IF(OR(J526="Completed",J526="Returned"),1,0)</f>
        <v>1</v>
      </c>
    </row>
    <row r="527" customFormat="false" ht="15" hidden="false" customHeight="false" outlineLevel="0" collapsed="false">
      <c r="A527" s="11" t="s">
        <v>1429</v>
      </c>
      <c r="B527" s="11" t="s">
        <v>404</v>
      </c>
      <c r="C527" s="24" t="n">
        <v>45812</v>
      </c>
      <c r="D527" s="11" t="s">
        <v>49</v>
      </c>
      <c r="E527" s="11" t="s">
        <v>990</v>
      </c>
      <c r="F527" s="11" t="s">
        <v>70</v>
      </c>
      <c r="G527" s="11" t="s">
        <v>143</v>
      </c>
      <c r="H527" s="11" t="s">
        <v>23</v>
      </c>
      <c r="I527" s="11" t="s">
        <v>113</v>
      </c>
      <c r="J527" s="11" t="s">
        <v>242</v>
      </c>
      <c r="K527" s="11" t="n">
        <v>5</v>
      </c>
      <c r="L527" s="15" t="n">
        <v>8318.56</v>
      </c>
      <c r="M527" s="11" t="n">
        <v>20</v>
      </c>
      <c r="N527" s="15" t="n">
        <v>41592.8</v>
      </c>
      <c r="O527" s="15" t="n">
        <v>8318.56</v>
      </c>
      <c r="P527" s="15" t="n">
        <v>33274.24</v>
      </c>
      <c r="Q527" s="15" t="n">
        <v>0</v>
      </c>
      <c r="R527" s="11" t="n">
        <v>0</v>
      </c>
      <c r="S527" s="15" t="n">
        <f aca="false">P527-Q527</f>
        <v>33274.24</v>
      </c>
      <c r="T527" s="11" t="n">
        <f aca="false">IF(OR(J527="Completed",J527="Returned"),1,0)</f>
        <v>1</v>
      </c>
    </row>
    <row r="528" customFormat="false" ht="15" hidden="false" customHeight="false" outlineLevel="0" collapsed="false">
      <c r="A528" s="11" t="s">
        <v>1430</v>
      </c>
      <c r="B528" s="11" t="s">
        <v>404</v>
      </c>
      <c r="C528" s="24" t="n">
        <v>45812</v>
      </c>
      <c r="D528" s="11" t="s">
        <v>49</v>
      </c>
      <c r="E528" s="11" t="s">
        <v>990</v>
      </c>
      <c r="F528" s="11" t="s">
        <v>70</v>
      </c>
      <c r="G528" s="11" t="s">
        <v>129</v>
      </c>
      <c r="H528" s="11" t="s">
        <v>24</v>
      </c>
      <c r="I528" s="11" t="s">
        <v>113</v>
      </c>
      <c r="J528" s="11" t="s">
        <v>242</v>
      </c>
      <c r="K528" s="11" t="n">
        <v>2</v>
      </c>
      <c r="L528" s="15" t="n">
        <v>3184.81</v>
      </c>
      <c r="M528" s="11" t="n">
        <v>0</v>
      </c>
      <c r="N528" s="15" t="n">
        <v>6369.62</v>
      </c>
      <c r="O528" s="15" t="n">
        <v>0</v>
      </c>
      <c r="P528" s="15" t="n">
        <v>6369.62</v>
      </c>
      <c r="Q528" s="15" t="n">
        <v>0</v>
      </c>
      <c r="R528" s="11" t="n">
        <v>0</v>
      </c>
      <c r="S528" s="15" t="n">
        <f aca="false">P528-Q528</f>
        <v>6369.62</v>
      </c>
      <c r="T528" s="11" t="n">
        <f aca="false">IF(OR(J528="Completed",J528="Returned"),1,0)</f>
        <v>1</v>
      </c>
    </row>
    <row r="529" customFormat="false" ht="15" hidden="false" customHeight="false" outlineLevel="0" collapsed="false">
      <c r="A529" s="11" t="s">
        <v>1431</v>
      </c>
      <c r="B529" s="11" t="s">
        <v>404</v>
      </c>
      <c r="C529" s="24" t="n">
        <v>45812</v>
      </c>
      <c r="D529" s="11" t="s">
        <v>49</v>
      </c>
      <c r="E529" s="11" t="s">
        <v>990</v>
      </c>
      <c r="F529" s="11" t="s">
        <v>70</v>
      </c>
      <c r="G529" s="11" t="s">
        <v>139</v>
      </c>
      <c r="H529" s="11" t="s">
        <v>24</v>
      </c>
      <c r="I529" s="11" t="s">
        <v>113</v>
      </c>
      <c r="J529" s="11" t="s">
        <v>242</v>
      </c>
      <c r="K529" s="11" t="n">
        <v>1</v>
      </c>
      <c r="L529" s="15" t="n">
        <v>20278.89</v>
      </c>
      <c r="M529" s="11" t="n">
        <v>5</v>
      </c>
      <c r="N529" s="15" t="n">
        <v>20278.89</v>
      </c>
      <c r="O529" s="15" t="n">
        <v>1013.94</v>
      </c>
      <c r="P529" s="15" t="n">
        <v>19264.95</v>
      </c>
      <c r="Q529" s="15" t="n">
        <v>18753.51</v>
      </c>
      <c r="R529" s="11" t="n">
        <v>1</v>
      </c>
      <c r="S529" s="15" t="n">
        <f aca="false">P529-Q529</f>
        <v>511.440000000002</v>
      </c>
      <c r="T529" s="11" t="n">
        <f aca="false">IF(OR(J529="Completed",J529="Returned"),1,0)</f>
        <v>1</v>
      </c>
    </row>
    <row r="530" customFormat="false" ht="15" hidden="false" customHeight="false" outlineLevel="0" collapsed="false">
      <c r="A530" s="11" t="s">
        <v>1432</v>
      </c>
      <c r="B530" s="11" t="s">
        <v>360</v>
      </c>
      <c r="C530" s="24" t="n">
        <v>45759</v>
      </c>
      <c r="D530" s="11" t="s">
        <v>47</v>
      </c>
      <c r="E530" s="11" t="s">
        <v>803</v>
      </c>
      <c r="F530" s="11" t="s">
        <v>25</v>
      </c>
      <c r="G530" s="11" t="s">
        <v>883</v>
      </c>
      <c r="H530" s="11" t="s">
        <v>21</v>
      </c>
      <c r="I530" s="11" t="s">
        <v>114</v>
      </c>
      <c r="J530" s="11" t="s">
        <v>269</v>
      </c>
      <c r="K530" s="11" t="n">
        <v>4</v>
      </c>
      <c r="L530" s="15" t="n">
        <v>11175.62</v>
      </c>
      <c r="M530" s="11" t="n">
        <v>0</v>
      </c>
      <c r="N530" s="15" t="n">
        <v>44702.48</v>
      </c>
      <c r="O530" s="15" t="n">
        <v>0</v>
      </c>
      <c r="P530" s="15" t="n">
        <v>44702.48</v>
      </c>
      <c r="Q530" s="15" t="n">
        <v>0</v>
      </c>
      <c r="R530" s="11" t="n">
        <v>0</v>
      </c>
      <c r="S530" s="15" t="n">
        <f aca="false">P530-Q530</f>
        <v>44702.48</v>
      </c>
      <c r="T530" s="11" t="n">
        <f aca="false">IF(OR(J530="Completed",J530="Returned"),1,0)</f>
        <v>1</v>
      </c>
    </row>
    <row r="531" customFormat="false" ht="15" hidden="false" customHeight="false" outlineLevel="0" collapsed="false">
      <c r="A531" s="11" t="s">
        <v>1433</v>
      </c>
      <c r="B531" s="11" t="s">
        <v>360</v>
      </c>
      <c r="C531" s="24" t="n">
        <v>45759</v>
      </c>
      <c r="D531" s="11" t="s">
        <v>47</v>
      </c>
      <c r="E531" s="11" t="s">
        <v>803</v>
      </c>
      <c r="F531" s="11" t="s">
        <v>25</v>
      </c>
      <c r="G531" s="11" t="s">
        <v>143</v>
      </c>
      <c r="H531" s="11" t="s">
        <v>23</v>
      </c>
      <c r="I531" s="11" t="s">
        <v>114</v>
      </c>
      <c r="J531" s="11" t="s">
        <v>269</v>
      </c>
      <c r="K531" s="11" t="n">
        <v>5</v>
      </c>
      <c r="L531" s="15" t="n">
        <v>8318.56</v>
      </c>
      <c r="M531" s="11" t="n">
        <v>20</v>
      </c>
      <c r="N531" s="15" t="n">
        <v>41592.8</v>
      </c>
      <c r="O531" s="15" t="n">
        <v>8318.56</v>
      </c>
      <c r="P531" s="15" t="n">
        <v>33274.24</v>
      </c>
      <c r="Q531" s="15" t="n">
        <v>0</v>
      </c>
      <c r="R531" s="11" t="n">
        <v>0</v>
      </c>
      <c r="S531" s="15" t="n">
        <f aca="false">P531-Q531</f>
        <v>33274.24</v>
      </c>
      <c r="T531" s="11" t="n">
        <f aca="false">IF(OR(J531="Completed",J531="Returned"),1,0)</f>
        <v>1</v>
      </c>
    </row>
    <row r="532" customFormat="false" ht="15" hidden="false" customHeight="false" outlineLevel="0" collapsed="false">
      <c r="A532" s="11" t="s">
        <v>1434</v>
      </c>
      <c r="B532" s="11" t="s">
        <v>360</v>
      </c>
      <c r="C532" s="24" t="n">
        <v>45759</v>
      </c>
      <c r="D532" s="11" t="s">
        <v>47</v>
      </c>
      <c r="E532" s="11" t="s">
        <v>803</v>
      </c>
      <c r="F532" s="11" t="s">
        <v>25</v>
      </c>
      <c r="G532" s="11" t="s">
        <v>809</v>
      </c>
      <c r="H532" s="11" t="s">
        <v>22</v>
      </c>
      <c r="I532" s="11" t="s">
        <v>114</v>
      </c>
      <c r="J532" s="11" t="s">
        <v>269</v>
      </c>
      <c r="K532" s="11" t="n">
        <v>2</v>
      </c>
      <c r="L532" s="15" t="n">
        <v>22582.54</v>
      </c>
      <c r="M532" s="11" t="n">
        <v>20</v>
      </c>
      <c r="N532" s="15" t="n">
        <v>45165.08</v>
      </c>
      <c r="O532" s="15" t="n">
        <v>9033.02</v>
      </c>
      <c r="P532" s="15" t="n">
        <v>36132.06</v>
      </c>
      <c r="Q532" s="15" t="n">
        <v>0</v>
      </c>
      <c r="R532" s="11" t="n">
        <v>0</v>
      </c>
      <c r="S532" s="15" t="n">
        <f aca="false">P532-Q532</f>
        <v>36132.06</v>
      </c>
      <c r="T532" s="11" t="n">
        <f aca="false">IF(OR(J532="Completed",J532="Returned"),1,0)</f>
        <v>1</v>
      </c>
    </row>
    <row r="533" customFormat="false" ht="15" hidden="false" customHeight="false" outlineLevel="0" collapsed="false">
      <c r="A533" s="11" t="s">
        <v>1435</v>
      </c>
      <c r="B533" s="11" t="s">
        <v>346</v>
      </c>
      <c r="C533" s="24" t="n">
        <v>45950</v>
      </c>
      <c r="D533" s="11" t="s">
        <v>53</v>
      </c>
      <c r="E533" s="11" t="s">
        <v>848</v>
      </c>
      <c r="F533" s="11" t="s">
        <v>70</v>
      </c>
      <c r="G533" s="11" t="s">
        <v>133</v>
      </c>
      <c r="H533" s="11" t="s">
        <v>21</v>
      </c>
      <c r="I533" s="11" t="s">
        <v>115</v>
      </c>
      <c r="J533" s="11" t="s">
        <v>242</v>
      </c>
      <c r="K533" s="11" t="n">
        <v>5</v>
      </c>
      <c r="L533" s="15" t="n">
        <v>15706.03</v>
      </c>
      <c r="M533" s="11" t="n">
        <v>0</v>
      </c>
      <c r="N533" s="15" t="n">
        <v>78530.15</v>
      </c>
      <c r="O533" s="15" t="n">
        <v>0</v>
      </c>
      <c r="P533" s="15" t="n">
        <v>78530.15</v>
      </c>
      <c r="Q533" s="15" t="n">
        <v>0</v>
      </c>
      <c r="R533" s="11" t="n">
        <v>0</v>
      </c>
      <c r="S533" s="15" t="n">
        <f aca="false">P533-Q533</f>
        <v>78530.15</v>
      </c>
      <c r="T533" s="11" t="n">
        <f aca="false">IF(OR(J533="Completed",J533="Returned"),1,0)</f>
        <v>1</v>
      </c>
    </row>
    <row r="534" customFormat="false" ht="15" hidden="false" customHeight="false" outlineLevel="0" collapsed="false">
      <c r="A534" s="11" t="s">
        <v>1436</v>
      </c>
      <c r="B534" s="11" t="s">
        <v>426</v>
      </c>
      <c r="C534" s="24" t="n">
        <v>45618</v>
      </c>
      <c r="D534" s="11" t="s">
        <v>42</v>
      </c>
      <c r="E534" s="11" t="s">
        <v>1437</v>
      </c>
      <c r="F534" s="11" t="s">
        <v>78</v>
      </c>
      <c r="G534" s="11" t="s">
        <v>143</v>
      </c>
      <c r="H534" s="11" t="s">
        <v>23</v>
      </c>
      <c r="I534" s="11" t="s">
        <v>113</v>
      </c>
      <c r="J534" s="11" t="s">
        <v>242</v>
      </c>
      <c r="K534" s="11" t="n">
        <v>1</v>
      </c>
      <c r="L534" s="15" t="n">
        <v>8318.56</v>
      </c>
      <c r="M534" s="11" t="n">
        <v>20</v>
      </c>
      <c r="N534" s="15" t="n">
        <v>8318.56</v>
      </c>
      <c r="O534" s="15" t="n">
        <v>1663.71</v>
      </c>
      <c r="P534" s="15" t="n">
        <v>6654.85</v>
      </c>
      <c r="Q534" s="15" t="n">
        <v>0</v>
      </c>
      <c r="R534" s="11" t="n">
        <v>0</v>
      </c>
      <c r="S534" s="15" t="n">
        <f aca="false">P534-Q534</f>
        <v>6654.85</v>
      </c>
      <c r="T534" s="11" t="n">
        <f aca="false">IF(OR(J534="Completed",J534="Returned"),1,0)</f>
        <v>1</v>
      </c>
    </row>
    <row r="535" customFormat="false" ht="15" hidden="false" customHeight="false" outlineLevel="0" collapsed="false">
      <c r="A535" s="11" t="s">
        <v>1438</v>
      </c>
      <c r="B535" s="11" t="s">
        <v>426</v>
      </c>
      <c r="C535" s="24" t="n">
        <v>45618</v>
      </c>
      <c r="D535" s="11" t="s">
        <v>42</v>
      </c>
      <c r="E535" s="11" t="s">
        <v>1437</v>
      </c>
      <c r="F535" s="11" t="s">
        <v>78</v>
      </c>
      <c r="G535" s="11" t="s">
        <v>637</v>
      </c>
      <c r="H535" s="11" t="s">
        <v>21</v>
      </c>
      <c r="I535" s="11" t="s">
        <v>113</v>
      </c>
      <c r="J535" s="11" t="s">
        <v>242</v>
      </c>
      <c r="K535" s="11" t="n">
        <v>5</v>
      </c>
      <c r="L535" s="15" t="n">
        <v>3019.36</v>
      </c>
      <c r="M535" s="11" t="n">
        <v>10</v>
      </c>
      <c r="N535" s="15" t="n">
        <v>15096.8</v>
      </c>
      <c r="O535" s="15" t="n">
        <v>1509.68</v>
      </c>
      <c r="P535" s="15" t="n">
        <v>13587.12</v>
      </c>
      <c r="Q535" s="15" t="n">
        <v>0</v>
      </c>
      <c r="R535" s="11" t="n">
        <v>0</v>
      </c>
      <c r="S535" s="15" t="n">
        <f aca="false">P535-Q535</f>
        <v>13587.12</v>
      </c>
      <c r="T535" s="11" t="n">
        <f aca="false">IF(OR(J535="Completed",J535="Returned"),1,0)</f>
        <v>1</v>
      </c>
    </row>
    <row r="536" customFormat="false" ht="15" hidden="false" customHeight="false" outlineLevel="0" collapsed="false">
      <c r="A536" s="11" t="s">
        <v>1439</v>
      </c>
      <c r="B536" s="11" t="s">
        <v>426</v>
      </c>
      <c r="C536" s="24" t="n">
        <v>45618</v>
      </c>
      <c r="D536" s="11" t="s">
        <v>42</v>
      </c>
      <c r="E536" s="11" t="s">
        <v>1437</v>
      </c>
      <c r="F536" s="11" t="s">
        <v>78</v>
      </c>
      <c r="G536" s="11" t="s">
        <v>794</v>
      </c>
      <c r="H536" s="11" t="s">
        <v>23</v>
      </c>
      <c r="I536" s="11" t="s">
        <v>113</v>
      </c>
      <c r="J536" s="11" t="s">
        <v>242</v>
      </c>
      <c r="K536" s="11" t="n">
        <v>1</v>
      </c>
      <c r="L536" s="15" t="n">
        <v>20253.93</v>
      </c>
      <c r="M536" s="11" t="n">
        <v>5</v>
      </c>
      <c r="N536" s="15" t="n">
        <v>20253.93</v>
      </c>
      <c r="O536" s="15" t="n">
        <v>1012.7</v>
      </c>
      <c r="P536" s="15" t="n">
        <v>19241.23</v>
      </c>
      <c r="Q536" s="15" t="n">
        <v>0</v>
      </c>
      <c r="R536" s="11" t="n">
        <v>0</v>
      </c>
      <c r="S536" s="15" t="n">
        <f aca="false">P536-Q536</f>
        <v>19241.23</v>
      </c>
      <c r="T536" s="11" t="n">
        <f aca="false">IF(OR(J536="Completed",J536="Returned"),1,0)</f>
        <v>1</v>
      </c>
    </row>
    <row r="537" customFormat="false" ht="15" hidden="false" customHeight="false" outlineLevel="0" collapsed="false">
      <c r="A537" s="11" t="s">
        <v>1440</v>
      </c>
      <c r="B537" s="11" t="s">
        <v>442</v>
      </c>
      <c r="C537" s="24" t="n">
        <v>45503</v>
      </c>
      <c r="D537" s="11" t="s">
        <v>38</v>
      </c>
      <c r="E537" s="11" t="s">
        <v>1103</v>
      </c>
      <c r="F537" s="11" t="s">
        <v>70</v>
      </c>
      <c r="G537" s="11" t="s">
        <v>957</v>
      </c>
      <c r="H537" s="11" t="s">
        <v>23</v>
      </c>
      <c r="I537" s="11" t="s">
        <v>113</v>
      </c>
      <c r="J537" s="11" t="s">
        <v>250</v>
      </c>
      <c r="K537" s="11" t="n">
        <v>5</v>
      </c>
      <c r="L537" s="15" t="n">
        <v>1741.05</v>
      </c>
      <c r="M537" s="11" t="n">
        <v>10</v>
      </c>
      <c r="N537" s="15" t="n">
        <v>8705.25</v>
      </c>
      <c r="O537" s="15" t="n">
        <v>870.52</v>
      </c>
      <c r="P537" s="15" t="n">
        <v>7834.73</v>
      </c>
      <c r="Q537" s="15" t="n">
        <v>0</v>
      </c>
      <c r="R537" s="11" t="n">
        <v>0</v>
      </c>
      <c r="S537" s="15" t="n">
        <f aca="false">P537-Q537</f>
        <v>7834.73</v>
      </c>
      <c r="T537" s="11" t="n">
        <f aca="false">IF(OR(J537="Completed",J537="Returned"),1,0)</f>
        <v>0</v>
      </c>
    </row>
    <row r="538" customFormat="false" ht="15" hidden="false" customHeight="false" outlineLevel="0" collapsed="false">
      <c r="A538" s="11" t="s">
        <v>1441</v>
      </c>
      <c r="B538" s="11" t="s">
        <v>442</v>
      </c>
      <c r="C538" s="24" t="n">
        <v>45503</v>
      </c>
      <c r="D538" s="11" t="s">
        <v>38</v>
      </c>
      <c r="E538" s="11" t="s">
        <v>1103</v>
      </c>
      <c r="F538" s="11" t="s">
        <v>70</v>
      </c>
      <c r="G538" s="11" t="s">
        <v>139</v>
      </c>
      <c r="H538" s="11" t="s">
        <v>24</v>
      </c>
      <c r="I538" s="11" t="s">
        <v>113</v>
      </c>
      <c r="J538" s="11" t="s">
        <v>250</v>
      </c>
      <c r="K538" s="11" t="n">
        <v>1</v>
      </c>
      <c r="L538" s="15" t="n">
        <v>20278.89</v>
      </c>
      <c r="M538" s="11" t="n">
        <v>20</v>
      </c>
      <c r="N538" s="15" t="n">
        <v>20278.89</v>
      </c>
      <c r="O538" s="15" t="n">
        <v>4055.78</v>
      </c>
      <c r="P538" s="15" t="n">
        <v>16223.11</v>
      </c>
      <c r="Q538" s="15" t="n">
        <v>0</v>
      </c>
      <c r="R538" s="11" t="n">
        <v>0</v>
      </c>
      <c r="S538" s="15" t="n">
        <f aca="false">P538-Q538</f>
        <v>16223.11</v>
      </c>
      <c r="T538" s="11" t="n">
        <f aca="false">IF(OR(J538="Completed",J538="Returned"),1,0)</f>
        <v>0</v>
      </c>
    </row>
    <row r="539" customFormat="false" ht="15" hidden="false" customHeight="false" outlineLevel="0" collapsed="false">
      <c r="A539" s="11" t="s">
        <v>1442</v>
      </c>
      <c r="B539" s="11" t="s">
        <v>442</v>
      </c>
      <c r="C539" s="24" t="n">
        <v>45503</v>
      </c>
      <c r="D539" s="11" t="s">
        <v>38</v>
      </c>
      <c r="E539" s="11" t="s">
        <v>1103</v>
      </c>
      <c r="F539" s="11" t="s">
        <v>70</v>
      </c>
      <c r="G539" s="11" t="s">
        <v>621</v>
      </c>
      <c r="H539" s="11" t="s">
        <v>20</v>
      </c>
      <c r="I539" s="11" t="s">
        <v>113</v>
      </c>
      <c r="J539" s="11" t="s">
        <v>250</v>
      </c>
      <c r="K539" s="11" t="n">
        <v>4</v>
      </c>
      <c r="L539" s="15" t="n">
        <v>1165.83</v>
      </c>
      <c r="M539" s="11" t="n">
        <v>15</v>
      </c>
      <c r="N539" s="15" t="n">
        <v>4663.32</v>
      </c>
      <c r="O539" s="15" t="n">
        <v>699.5</v>
      </c>
      <c r="P539" s="15" t="n">
        <v>3963.82</v>
      </c>
      <c r="Q539" s="15" t="n">
        <v>0</v>
      </c>
      <c r="R539" s="11" t="n">
        <v>0</v>
      </c>
      <c r="S539" s="15" t="n">
        <f aca="false">P539-Q539</f>
        <v>3963.82</v>
      </c>
      <c r="T539" s="11" t="n">
        <f aca="false">IF(OR(J539="Completed",J539="Returned"),1,0)</f>
        <v>0</v>
      </c>
    </row>
    <row r="540" customFormat="false" ht="15" hidden="false" customHeight="false" outlineLevel="0" collapsed="false">
      <c r="A540" s="11" t="s">
        <v>1443</v>
      </c>
      <c r="B540" s="11" t="s">
        <v>442</v>
      </c>
      <c r="C540" s="24" t="n">
        <v>45503</v>
      </c>
      <c r="D540" s="11" t="s">
        <v>38</v>
      </c>
      <c r="E540" s="11" t="s">
        <v>1103</v>
      </c>
      <c r="F540" s="11" t="s">
        <v>70</v>
      </c>
      <c r="G540" s="11" t="s">
        <v>127</v>
      </c>
      <c r="H540" s="11" t="s">
        <v>21</v>
      </c>
      <c r="I540" s="11" t="s">
        <v>113</v>
      </c>
      <c r="J540" s="11" t="s">
        <v>250</v>
      </c>
      <c r="K540" s="11" t="n">
        <v>3</v>
      </c>
      <c r="L540" s="15" t="n">
        <v>0</v>
      </c>
      <c r="M540" s="11" t="n">
        <v>0</v>
      </c>
      <c r="N540" s="15" t="n">
        <v>0</v>
      </c>
      <c r="O540" s="15" t="n">
        <v>0</v>
      </c>
      <c r="P540" s="15" t="n">
        <v>0</v>
      </c>
      <c r="Q540" s="15" t="n">
        <v>0</v>
      </c>
      <c r="R540" s="11" t="n">
        <v>0</v>
      </c>
      <c r="S540" s="15" t="n">
        <f aca="false">P540-Q540</f>
        <v>0</v>
      </c>
      <c r="T540" s="11" t="n">
        <f aca="false">IF(OR(J540="Completed",J540="Returned"),1,0)</f>
        <v>0</v>
      </c>
    </row>
    <row r="541" customFormat="false" ht="15" hidden="false" customHeight="false" outlineLevel="0" collapsed="false">
      <c r="A541" s="11" t="s">
        <v>1444</v>
      </c>
      <c r="B541" s="11" t="s">
        <v>526</v>
      </c>
      <c r="C541" s="24" t="n">
        <v>45574</v>
      </c>
      <c r="D541" s="11" t="s">
        <v>41</v>
      </c>
      <c r="E541" s="11" t="s">
        <v>1445</v>
      </c>
      <c r="F541" s="11" t="s">
        <v>78</v>
      </c>
      <c r="G541" s="11" t="s">
        <v>621</v>
      </c>
      <c r="H541" s="11" t="s">
        <v>20</v>
      </c>
      <c r="I541" s="11" t="s">
        <v>115</v>
      </c>
      <c r="J541" s="11" t="s">
        <v>269</v>
      </c>
      <c r="K541" s="11" t="n">
        <v>4</v>
      </c>
      <c r="L541" s="15" t="n">
        <v>1165.83</v>
      </c>
      <c r="M541" s="11" t="n">
        <v>0</v>
      </c>
      <c r="N541" s="15" t="n">
        <v>4663.32</v>
      </c>
      <c r="O541" s="15" t="n">
        <v>0</v>
      </c>
      <c r="P541" s="15" t="n">
        <v>4663.32</v>
      </c>
      <c r="Q541" s="15" t="n">
        <v>0</v>
      </c>
      <c r="R541" s="11" t="n">
        <v>0</v>
      </c>
      <c r="S541" s="15" t="n">
        <f aca="false">P541-Q541</f>
        <v>4663.32</v>
      </c>
      <c r="T541" s="11" t="n">
        <f aca="false">IF(OR(J541="Completed",J541="Returned"),1,0)</f>
        <v>1</v>
      </c>
    </row>
    <row r="542" customFormat="false" ht="15" hidden="false" customHeight="false" outlineLevel="0" collapsed="false">
      <c r="A542" s="11" t="s">
        <v>1446</v>
      </c>
      <c r="B542" s="11" t="s">
        <v>535</v>
      </c>
      <c r="C542" s="24" t="n">
        <v>45789</v>
      </c>
      <c r="D542" s="11" t="s">
        <v>48</v>
      </c>
      <c r="E542" s="11" t="s">
        <v>1447</v>
      </c>
      <c r="F542" s="11" t="s">
        <v>74</v>
      </c>
      <c r="G542" s="11" t="s">
        <v>923</v>
      </c>
      <c r="H542" s="11" t="s">
        <v>22</v>
      </c>
      <c r="I542" s="11" t="s">
        <v>113</v>
      </c>
      <c r="J542" s="11" t="s">
        <v>242</v>
      </c>
      <c r="K542" s="11" t="n">
        <v>3</v>
      </c>
      <c r="L542" s="15" t="n">
        <v>5145.55</v>
      </c>
      <c r="M542" s="11" t="n">
        <v>0</v>
      </c>
      <c r="N542" s="15" t="n">
        <v>15436.65</v>
      </c>
      <c r="O542" s="15" t="n">
        <v>0</v>
      </c>
      <c r="P542" s="15" t="n">
        <v>15436.65</v>
      </c>
      <c r="Q542" s="15" t="n">
        <v>0</v>
      </c>
      <c r="R542" s="11" t="n">
        <v>0</v>
      </c>
      <c r="S542" s="15" t="n">
        <f aca="false">P542-Q542</f>
        <v>15436.65</v>
      </c>
      <c r="T542" s="11" t="n">
        <f aca="false">IF(OR(J542="Completed",J542="Returned"),1,0)</f>
        <v>1</v>
      </c>
    </row>
    <row r="543" customFormat="false" ht="15" hidden="false" customHeight="false" outlineLevel="0" collapsed="false">
      <c r="A543" s="11" t="s">
        <v>1448</v>
      </c>
      <c r="B543" s="11" t="s">
        <v>535</v>
      </c>
      <c r="C543" s="24" t="n">
        <v>45789</v>
      </c>
      <c r="D543" s="11" t="s">
        <v>48</v>
      </c>
      <c r="E543" s="11" t="s">
        <v>1447</v>
      </c>
      <c r="F543" s="11" t="s">
        <v>74</v>
      </c>
      <c r="G543" s="11" t="s">
        <v>628</v>
      </c>
      <c r="H543" s="11" t="s">
        <v>22</v>
      </c>
      <c r="I543" s="11" t="s">
        <v>113</v>
      </c>
      <c r="J543" s="11" t="s">
        <v>242</v>
      </c>
      <c r="K543" s="11" t="n">
        <v>4</v>
      </c>
      <c r="L543" s="15" t="n">
        <v>9269.43</v>
      </c>
      <c r="M543" s="11" t="n">
        <v>0</v>
      </c>
      <c r="N543" s="15" t="n">
        <v>37077.72</v>
      </c>
      <c r="O543" s="15" t="n">
        <v>0</v>
      </c>
      <c r="P543" s="15" t="n">
        <v>37077.72</v>
      </c>
      <c r="Q543" s="15" t="n">
        <v>0</v>
      </c>
      <c r="R543" s="11" t="n">
        <v>0</v>
      </c>
      <c r="S543" s="15" t="n">
        <f aca="false">P543-Q543</f>
        <v>37077.72</v>
      </c>
      <c r="T543" s="11" t="n">
        <f aca="false">IF(OR(J543="Completed",J543="Returned"),1,0)</f>
        <v>1</v>
      </c>
    </row>
    <row r="544" customFormat="false" ht="15" hidden="false" customHeight="false" outlineLevel="0" collapsed="false">
      <c r="A544" s="11" t="s">
        <v>1449</v>
      </c>
      <c r="B544" s="11" t="s">
        <v>405</v>
      </c>
      <c r="C544" s="24" t="n">
        <v>45332</v>
      </c>
      <c r="D544" s="11" t="s">
        <v>33</v>
      </c>
      <c r="E544" s="11" t="s">
        <v>972</v>
      </c>
      <c r="F544" s="11" t="s">
        <v>78</v>
      </c>
      <c r="G544" s="11" t="s">
        <v>1166</v>
      </c>
      <c r="H544" s="11" t="s">
        <v>21</v>
      </c>
      <c r="I544" s="11" t="s">
        <v>114</v>
      </c>
      <c r="J544" s="11" t="s">
        <v>250</v>
      </c>
      <c r="K544" s="11" t="n">
        <v>4</v>
      </c>
      <c r="L544" s="15" t="n">
        <v>27280.24</v>
      </c>
      <c r="M544" s="11" t="n">
        <v>0</v>
      </c>
      <c r="N544" s="15" t="n">
        <v>109120.96</v>
      </c>
      <c r="O544" s="15" t="n">
        <v>0</v>
      </c>
      <c r="P544" s="15" t="n">
        <v>109120.96</v>
      </c>
      <c r="Q544" s="15" t="n">
        <v>0</v>
      </c>
      <c r="R544" s="11" t="n">
        <v>0</v>
      </c>
      <c r="S544" s="15" t="n">
        <f aca="false">P544-Q544</f>
        <v>109120.96</v>
      </c>
      <c r="T544" s="11" t="n">
        <f aca="false">IF(OR(J544="Completed",J544="Returned"),1,0)</f>
        <v>0</v>
      </c>
    </row>
    <row r="545" customFormat="false" ht="15" hidden="false" customHeight="false" outlineLevel="0" collapsed="false">
      <c r="A545" s="11" t="s">
        <v>1450</v>
      </c>
      <c r="B545" s="11" t="s">
        <v>405</v>
      </c>
      <c r="C545" s="24" t="n">
        <v>45332</v>
      </c>
      <c r="D545" s="11" t="s">
        <v>33</v>
      </c>
      <c r="E545" s="11" t="s">
        <v>972</v>
      </c>
      <c r="F545" s="11" t="s">
        <v>78</v>
      </c>
      <c r="G545" s="11" t="s">
        <v>619</v>
      </c>
      <c r="H545" s="11" t="s">
        <v>23</v>
      </c>
      <c r="I545" s="11" t="s">
        <v>114</v>
      </c>
      <c r="J545" s="11" t="s">
        <v>250</v>
      </c>
      <c r="K545" s="11" t="n">
        <v>3</v>
      </c>
      <c r="L545" s="15" t="n">
        <v>20550.39</v>
      </c>
      <c r="M545" s="11" t="n">
        <v>15</v>
      </c>
      <c r="N545" s="15" t="n">
        <v>61651.17</v>
      </c>
      <c r="O545" s="15" t="n">
        <v>9247.68</v>
      </c>
      <c r="P545" s="15" t="n">
        <v>52403.49</v>
      </c>
      <c r="Q545" s="15" t="n">
        <v>0</v>
      </c>
      <c r="R545" s="11" t="n">
        <v>0</v>
      </c>
      <c r="S545" s="15" t="n">
        <f aca="false">P545-Q545</f>
        <v>52403.49</v>
      </c>
      <c r="T545" s="11" t="n">
        <f aca="false">IF(OR(J545="Completed",J545="Returned"),1,0)</f>
        <v>0</v>
      </c>
    </row>
    <row r="546" customFormat="false" ht="15" hidden="false" customHeight="false" outlineLevel="0" collapsed="false">
      <c r="A546" s="11" t="s">
        <v>1451</v>
      </c>
      <c r="B546" s="11" t="s">
        <v>405</v>
      </c>
      <c r="C546" s="24" t="n">
        <v>45332</v>
      </c>
      <c r="D546" s="11" t="s">
        <v>33</v>
      </c>
      <c r="E546" s="11" t="s">
        <v>972</v>
      </c>
      <c r="F546" s="11" t="s">
        <v>78</v>
      </c>
      <c r="G546" s="11" t="s">
        <v>907</v>
      </c>
      <c r="H546" s="11" t="s">
        <v>22</v>
      </c>
      <c r="I546" s="11" t="s">
        <v>114</v>
      </c>
      <c r="J546" s="11" t="s">
        <v>250</v>
      </c>
      <c r="K546" s="11" t="n">
        <v>5</v>
      </c>
      <c r="L546" s="15" t="n">
        <v>25643.17</v>
      </c>
      <c r="M546" s="11" t="n">
        <v>15</v>
      </c>
      <c r="N546" s="15" t="n">
        <v>128215.85</v>
      </c>
      <c r="O546" s="15" t="n">
        <v>19232.38</v>
      </c>
      <c r="P546" s="15" t="n">
        <v>108983.47</v>
      </c>
      <c r="Q546" s="15" t="n">
        <v>0</v>
      </c>
      <c r="R546" s="11" t="n">
        <v>0</v>
      </c>
      <c r="S546" s="15" t="n">
        <f aca="false">P546-Q546</f>
        <v>108983.47</v>
      </c>
      <c r="T546" s="11" t="n">
        <f aca="false">IF(OR(J546="Completed",J546="Returned"),1,0)</f>
        <v>0</v>
      </c>
    </row>
    <row r="547" customFormat="false" ht="15" hidden="false" customHeight="false" outlineLevel="0" collapsed="false">
      <c r="A547" s="11" t="s">
        <v>1452</v>
      </c>
      <c r="B547" s="11" t="s">
        <v>420</v>
      </c>
      <c r="C547" s="24" t="n">
        <v>45677</v>
      </c>
      <c r="D547" s="11" t="s">
        <v>44</v>
      </c>
      <c r="E547" s="11" t="s">
        <v>1236</v>
      </c>
      <c r="F547" s="11" t="s">
        <v>70</v>
      </c>
      <c r="G547" s="11" t="s">
        <v>628</v>
      </c>
      <c r="H547" s="11" t="s">
        <v>22</v>
      </c>
      <c r="I547" s="11" t="s">
        <v>114</v>
      </c>
      <c r="J547" s="11" t="s">
        <v>250</v>
      </c>
      <c r="K547" s="11" t="n">
        <v>5</v>
      </c>
      <c r="L547" s="15" t="n">
        <v>9269.43</v>
      </c>
      <c r="M547" s="11" t="n">
        <v>0</v>
      </c>
      <c r="N547" s="15" t="n">
        <v>46347.15</v>
      </c>
      <c r="O547" s="15" t="n">
        <v>0</v>
      </c>
      <c r="P547" s="15" t="n">
        <v>46347.15</v>
      </c>
      <c r="Q547" s="15" t="n">
        <v>0</v>
      </c>
      <c r="R547" s="11" t="n">
        <v>0</v>
      </c>
      <c r="S547" s="15" t="n">
        <f aca="false">P547-Q547</f>
        <v>46347.15</v>
      </c>
      <c r="T547" s="11" t="n">
        <f aca="false">IF(OR(J547="Completed",J547="Returned"),1,0)</f>
        <v>0</v>
      </c>
    </row>
    <row r="548" customFormat="false" ht="15" hidden="false" customHeight="false" outlineLevel="0" collapsed="false">
      <c r="A548" s="11" t="s">
        <v>1453</v>
      </c>
      <c r="B548" s="11" t="s">
        <v>420</v>
      </c>
      <c r="C548" s="24" t="n">
        <v>45677</v>
      </c>
      <c r="D548" s="11" t="s">
        <v>44</v>
      </c>
      <c r="E548" s="11" t="s">
        <v>1236</v>
      </c>
      <c r="F548" s="11" t="s">
        <v>70</v>
      </c>
      <c r="G548" s="11" t="s">
        <v>827</v>
      </c>
      <c r="H548" s="11" t="s">
        <v>23</v>
      </c>
      <c r="I548" s="11" t="s">
        <v>114</v>
      </c>
      <c r="J548" s="11" t="s">
        <v>250</v>
      </c>
      <c r="K548" s="11" t="n">
        <v>1</v>
      </c>
      <c r="L548" s="15" t="n">
        <v>7855.79</v>
      </c>
      <c r="M548" s="11" t="n">
        <v>10</v>
      </c>
      <c r="N548" s="15" t="n">
        <v>7855.79</v>
      </c>
      <c r="O548" s="15" t="n">
        <v>785.58</v>
      </c>
      <c r="P548" s="15" t="n">
        <v>7070.21</v>
      </c>
      <c r="Q548" s="15" t="n">
        <v>0</v>
      </c>
      <c r="R548" s="11" t="n">
        <v>0</v>
      </c>
      <c r="S548" s="15" t="n">
        <f aca="false">P548-Q548</f>
        <v>7070.21</v>
      </c>
      <c r="T548" s="11" t="n">
        <f aca="false">IF(OR(J548="Completed",J548="Returned"),1,0)</f>
        <v>0</v>
      </c>
    </row>
    <row r="549" customFormat="false" ht="15" hidden="false" customHeight="false" outlineLevel="0" collapsed="false">
      <c r="A549" s="11" t="s">
        <v>1454</v>
      </c>
      <c r="B549" s="11" t="s">
        <v>420</v>
      </c>
      <c r="C549" s="24" t="n">
        <v>45677</v>
      </c>
      <c r="D549" s="11" t="s">
        <v>44</v>
      </c>
      <c r="E549" s="11" t="s">
        <v>1236</v>
      </c>
      <c r="F549" s="11" t="s">
        <v>70</v>
      </c>
      <c r="G549" s="11" t="s">
        <v>617</v>
      </c>
      <c r="H549" s="11" t="s">
        <v>21</v>
      </c>
      <c r="I549" s="11" t="s">
        <v>114</v>
      </c>
      <c r="J549" s="11" t="s">
        <v>250</v>
      </c>
      <c r="K549" s="11" t="n">
        <v>2</v>
      </c>
      <c r="L549" s="15" t="n">
        <v>3497.48</v>
      </c>
      <c r="M549" s="11" t="n">
        <v>0</v>
      </c>
      <c r="N549" s="15" t="n">
        <v>6994.96</v>
      </c>
      <c r="O549" s="15" t="n">
        <v>0</v>
      </c>
      <c r="P549" s="15" t="n">
        <v>6994.96</v>
      </c>
      <c r="Q549" s="15" t="n">
        <v>0</v>
      </c>
      <c r="R549" s="11" t="n">
        <v>0</v>
      </c>
      <c r="S549" s="15" t="n">
        <f aca="false">P549-Q549</f>
        <v>6994.96</v>
      </c>
      <c r="T549" s="11" t="n">
        <f aca="false">IF(OR(J549="Completed",J549="Returned"),1,0)</f>
        <v>0</v>
      </c>
    </row>
    <row r="550" customFormat="false" ht="15" hidden="false" customHeight="false" outlineLevel="0" collapsed="false">
      <c r="A550" s="11" t="s">
        <v>1455</v>
      </c>
      <c r="B550" s="11" t="s">
        <v>420</v>
      </c>
      <c r="C550" s="24" t="n">
        <v>45677</v>
      </c>
      <c r="D550" s="11" t="s">
        <v>44</v>
      </c>
      <c r="E550" s="11" t="s">
        <v>1236</v>
      </c>
      <c r="F550" s="11" t="s">
        <v>70</v>
      </c>
      <c r="G550" s="11" t="s">
        <v>160</v>
      </c>
      <c r="H550" s="11" t="s">
        <v>23</v>
      </c>
      <c r="I550" s="11" t="s">
        <v>114</v>
      </c>
      <c r="J550" s="11" t="s">
        <v>250</v>
      </c>
      <c r="K550" s="11" t="n">
        <v>5</v>
      </c>
      <c r="L550" s="15" t="n">
        <v>21122.18</v>
      </c>
      <c r="M550" s="11" t="n">
        <v>20</v>
      </c>
      <c r="N550" s="15" t="n">
        <v>105610.9</v>
      </c>
      <c r="O550" s="15" t="n">
        <v>21122.18</v>
      </c>
      <c r="P550" s="15" t="n">
        <v>84488.72</v>
      </c>
      <c r="Q550" s="15" t="n">
        <v>0</v>
      </c>
      <c r="R550" s="11" t="n">
        <v>0</v>
      </c>
      <c r="S550" s="15" t="n">
        <f aca="false">P550-Q550</f>
        <v>84488.72</v>
      </c>
      <c r="T550" s="11" t="n">
        <f aca="false">IF(OR(J550="Completed",J550="Returned"),1,0)</f>
        <v>0</v>
      </c>
    </row>
    <row r="551" customFormat="false" ht="15" hidden="false" customHeight="false" outlineLevel="0" collapsed="false">
      <c r="A551" s="11" t="s">
        <v>1456</v>
      </c>
      <c r="B551" s="11" t="s">
        <v>570</v>
      </c>
      <c r="C551" s="24" t="n">
        <v>45606</v>
      </c>
      <c r="D551" s="11" t="s">
        <v>42</v>
      </c>
      <c r="E551" s="11" t="s">
        <v>1257</v>
      </c>
      <c r="F551" s="11" t="s">
        <v>78</v>
      </c>
      <c r="G551" s="11" t="s">
        <v>137</v>
      </c>
      <c r="H551" s="11" t="s">
        <v>22</v>
      </c>
      <c r="I551" s="11" t="s">
        <v>114</v>
      </c>
      <c r="J551" s="11" t="s">
        <v>269</v>
      </c>
      <c r="K551" s="11" t="n">
        <v>1</v>
      </c>
      <c r="L551" s="15" t="n">
        <v>12393.99</v>
      </c>
      <c r="M551" s="11" t="n">
        <v>15</v>
      </c>
      <c r="N551" s="15" t="n">
        <v>12393.99</v>
      </c>
      <c r="O551" s="15" t="n">
        <v>1859.1</v>
      </c>
      <c r="P551" s="15" t="n">
        <v>10534.89</v>
      </c>
      <c r="Q551" s="15" t="n">
        <v>10420.55</v>
      </c>
      <c r="R551" s="11" t="n">
        <v>1</v>
      </c>
      <c r="S551" s="15" t="n">
        <f aca="false">P551-Q551</f>
        <v>114.34</v>
      </c>
      <c r="T551" s="11" t="n">
        <f aca="false">IF(OR(J551="Completed",J551="Returned"),1,0)</f>
        <v>1</v>
      </c>
    </row>
    <row r="552" customFormat="false" ht="15" hidden="false" customHeight="false" outlineLevel="0" collapsed="false">
      <c r="A552" s="11" t="s">
        <v>1457</v>
      </c>
      <c r="B552" s="11" t="s">
        <v>570</v>
      </c>
      <c r="C552" s="24" t="n">
        <v>45606</v>
      </c>
      <c r="D552" s="11" t="s">
        <v>42</v>
      </c>
      <c r="E552" s="11" t="s">
        <v>1257</v>
      </c>
      <c r="F552" s="11" t="s">
        <v>78</v>
      </c>
      <c r="G552" s="11" t="s">
        <v>835</v>
      </c>
      <c r="H552" s="11" t="s">
        <v>22</v>
      </c>
      <c r="I552" s="11" t="s">
        <v>114</v>
      </c>
      <c r="J552" s="11" t="s">
        <v>269</v>
      </c>
      <c r="K552" s="11" t="n">
        <v>4</v>
      </c>
      <c r="L552" s="15" t="n">
        <v>22572.25</v>
      </c>
      <c r="M552" s="11" t="n">
        <v>10</v>
      </c>
      <c r="N552" s="15" t="n">
        <v>90289</v>
      </c>
      <c r="O552" s="15" t="n">
        <v>9028.9</v>
      </c>
      <c r="P552" s="15" t="n">
        <v>81260.1</v>
      </c>
      <c r="Q552" s="15" t="n">
        <v>0</v>
      </c>
      <c r="R552" s="11" t="n">
        <v>0</v>
      </c>
      <c r="S552" s="15" t="n">
        <f aca="false">P552-Q552</f>
        <v>81260.1</v>
      </c>
      <c r="T552" s="11" t="n">
        <f aca="false">IF(OR(J552="Completed",J552="Returned"),1,0)</f>
        <v>1</v>
      </c>
    </row>
    <row r="553" customFormat="false" ht="15" hidden="false" customHeight="false" outlineLevel="0" collapsed="false">
      <c r="A553" s="11" t="s">
        <v>1458</v>
      </c>
      <c r="B553" s="11" t="s">
        <v>570</v>
      </c>
      <c r="C553" s="24" t="n">
        <v>45606</v>
      </c>
      <c r="D553" s="11" t="s">
        <v>42</v>
      </c>
      <c r="E553" s="11" t="s">
        <v>1257</v>
      </c>
      <c r="F553" s="11" t="s">
        <v>78</v>
      </c>
      <c r="G553" s="11" t="s">
        <v>628</v>
      </c>
      <c r="H553" s="11" t="s">
        <v>22</v>
      </c>
      <c r="I553" s="11" t="s">
        <v>114</v>
      </c>
      <c r="J553" s="11" t="s">
        <v>269</v>
      </c>
      <c r="K553" s="11" t="n">
        <v>4</v>
      </c>
      <c r="L553" s="15" t="n">
        <v>9269.43</v>
      </c>
      <c r="M553" s="11" t="n">
        <v>0</v>
      </c>
      <c r="N553" s="15" t="n">
        <v>37077.72</v>
      </c>
      <c r="O553" s="15" t="n">
        <v>0</v>
      </c>
      <c r="P553" s="15" t="n">
        <v>37077.72</v>
      </c>
      <c r="Q553" s="15" t="n">
        <v>0</v>
      </c>
      <c r="R553" s="11" t="n">
        <v>0</v>
      </c>
      <c r="S553" s="15" t="n">
        <f aca="false">P553-Q553</f>
        <v>37077.72</v>
      </c>
      <c r="T553" s="11" t="n">
        <f aca="false">IF(OR(J553="Completed",J553="Returned"),1,0)</f>
        <v>1</v>
      </c>
    </row>
    <row r="554" customFormat="false" ht="15" hidden="false" customHeight="false" outlineLevel="0" collapsed="false">
      <c r="A554" s="11" t="s">
        <v>1459</v>
      </c>
      <c r="B554" s="11" t="s">
        <v>570</v>
      </c>
      <c r="C554" s="24" t="n">
        <v>45606</v>
      </c>
      <c r="D554" s="11" t="s">
        <v>42</v>
      </c>
      <c r="E554" s="11" t="s">
        <v>1257</v>
      </c>
      <c r="F554" s="11" t="s">
        <v>78</v>
      </c>
      <c r="G554" s="11" t="s">
        <v>131</v>
      </c>
      <c r="H554" s="11" t="s">
        <v>22</v>
      </c>
      <c r="I554" s="11" t="s">
        <v>114</v>
      </c>
      <c r="J554" s="11" t="s">
        <v>269</v>
      </c>
      <c r="K554" s="11" t="n">
        <v>4</v>
      </c>
      <c r="L554" s="15" t="n">
        <v>11284.39</v>
      </c>
      <c r="M554" s="11" t="n">
        <v>10</v>
      </c>
      <c r="N554" s="15" t="n">
        <v>45137.56</v>
      </c>
      <c r="O554" s="15" t="n">
        <v>4513.76</v>
      </c>
      <c r="P554" s="15" t="n">
        <v>40623.8</v>
      </c>
      <c r="Q554" s="15" t="n">
        <v>0</v>
      </c>
      <c r="R554" s="11" t="n">
        <v>0</v>
      </c>
      <c r="S554" s="15" t="n">
        <f aca="false">P554-Q554</f>
        <v>40623.8</v>
      </c>
      <c r="T554" s="11" t="n">
        <f aca="false">IF(OR(J554="Completed",J554="Returned"),1,0)</f>
        <v>1</v>
      </c>
    </row>
    <row r="555" customFormat="false" ht="15" hidden="false" customHeight="false" outlineLevel="0" collapsed="false">
      <c r="A555" s="11" t="s">
        <v>1460</v>
      </c>
      <c r="B555" s="11" t="s">
        <v>390</v>
      </c>
      <c r="C555" s="24" t="n">
        <v>45726</v>
      </c>
      <c r="D555" s="11" t="s">
        <v>46</v>
      </c>
      <c r="E555" s="11" t="s">
        <v>1461</v>
      </c>
      <c r="F555" s="11" t="s">
        <v>82</v>
      </c>
      <c r="G555" s="11" t="s">
        <v>619</v>
      </c>
      <c r="H555" s="11" t="s">
        <v>23</v>
      </c>
      <c r="I555" s="11" t="s">
        <v>115</v>
      </c>
      <c r="J555" s="11" t="s">
        <v>242</v>
      </c>
      <c r="K555" s="11" t="n">
        <v>1</v>
      </c>
      <c r="L555" s="15" t="n">
        <v>20550.39</v>
      </c>
      <c r="M555" s="11" t="n">
        <v>10</v>
      </c>
      <c r="N555" s="15" t="n">
        <v>20550.39</v>
      </c>
      <c r="O555" s="15" t="n">
        <v>2055.04</v>
      </c>
      <c r="P555" s="15" t="n">
        <v>18495.35</v>
      </c>
      <c r="Q555" s="15" t="n">
        <v>0</v>
      </c>
      <c r="R555" s="11" t="n">
        <v>0</v>
      </c>
      <c r="S555" s="15" t="n">
        <f aca="false">P555-Q555</f>
        <v>18495.35</v>
      </c>
      <c r="T555" s="11" t="n">
        <f aca="false">IF(OR(J555="Completed",J555="Returned"),1,0)</f>
        <v>1</v>
      </c>
    </row>
    <row r="556" customFormat="false" ht="15" hidden="false" customHeight="false" outlineLevel="0" collapsed="false">
      <c r="A556" s="11" t="s">
        <v>1462</v>
      </c>
      <c r="B556" s="11" t="s">
        <v>359</v>
      </c>
      <c r="C556" s="24" t="n">
        <v>45945</v>
      </c>
      <c r="D556" s="11" t="s">
        <v>53</v>
      </c>
      <c r="E556" s="11" t="s">
        <v>877</v>
      </c>
      <c r="F556" s="11" t="s">
        <v>70</v>
      </c>
      <c r="G556" s="11" t="s">
        <v>143</v>
      </c>
      <c r="H556" s="11" t="s">
        <v>23</v>
      </c>
      <c r="I556" s="11" t="s">
        <v>115</v>
      </c>
      <c r="J556" s="11" t="s">
        <v>242</v>
      </c>
      <c r="K556" s="11" t="n">
        <v>1</v>
      </c>
      <c r="L556" s="15" t="n">
        <v>8318.56</v>
      </c>
      <c r="M556" s="11" t="n">
        <v>15</v>
      </c>
      <c r="N556" s="15" t="n">
        <v>8318.56</v>
      </c>
      <c r="O556" s="15" t="n">
        <v>1247.78</v>
      </c>
      <c r="P556" s="15" t="n">
        <v>7070.78</v>
      </c>
      <c r="Q556" s="15" t="n">
        <v>0</v>
      </c>
      <c r="R556" s="11" t="n">
        <v>0</v>
      </c>
      <c r="S556" s="15" t="n">
        <f aca="false">P556-Q556</f>
        <v>7070.78</v>
      </c>
      <c r="T556" s="11" t="n">
        <f aca="false">IF(OR(J556="Completed",J556="Returned"),1,0)</f>
        <v>1</v>
      </c>
    </row>
    <row r="557" customFormat="false" ht="15" hidden="false" customHeight="false" outlineLevel="0" collapsed="false">
      <c r="A557" s="11" t="s">
        <v>1463</v>
      </c>
      <c r="B557" s="11" t="s">
        <v>359</v>
      </c>
      <c r="C557" s="24" t="n">
        <v>45945</v>
      </c>
      <c r="D557" s="11" t="s">
        <v>53</v>
      </c>
      <c r="E557" s="11" t="s">
        <v>877</v>
      </c>
      <c r="F557" s="11" t="s">
        <v>70</v>
      </c>
      <c r="G557" s="11" t="s">
        <v>137</v>
      </c>
      <c r="H557" s="11" t="s">
        <v>22</v>
      </c>
      <c r="I557" s="11" t="s">
        <v>115</v>
      </c>
      <c r="J557" s="11" t="s">
        <v>242</v>
      </c>
      <c r="K557" s="11" t="n">
        <v>2</v>
      </c>
      <c r="L557" s="15" t="n">
        <v>12393.99</v>
      </c>
      <c r="M557" s="11" t="n">
        <v>15</v>
      </c>
      <c r="N557" s="15" t="n">
        <v>24787.98</v>
      </c>
      <c r="O557" s="15" t="n">
        <v>3718.2</v>
      </c>
      <c r="P557" s="15" t="n">
        <v>21069.78</v>
      </c>
      <c r="Q557" s="15" t="n">
        <v>0</v>
      </c>
      <c r="R557" s="11" t="n">
        <v>0</v>
      </c>
      <c r="S557" s="15" t="n">
        <f aca="false">P557-Q557</f>
        <v>21069.78</v>
      </c>
      <c r="T557" s="11" t="n">
        <f aca="false">IF(OR(J557="Completed",J557="Returned"),1,0)</f>
        <v>1</v>
      </c>
    </row>
    <row r="558" customFormat="false" ht="15" hidden="false" customHeight="false" outlineLevel="0" collapsed="false">
      <c r="A558" s="11" t="s">
        <v>1464</v>
      </c>
      <c r="B558" s="11" t="s">
        <v>359</v>
      </c>
      <c r="C558" s="24" t="n">
        <v>45945</v>
      </c>
      <c r="D558" s="11" t="s">
        <v>53</v>
      </c>
      <c r="E558" s="11" t="s">
        <v>877</v>
      </c>
      <c r="F558" s="11" t="s">
        <v>70</v>
      </c>
      <c r="G558" s="11" t="s">
        <v>133</v>
      </c>
      <c r="H558" s="11" t="s">
        <v>21</v>
      </c>
      <c r="I558" s="11" t="s">
        <v>115</v>
      </c>
      <c r="J558" s="11" t="s">
        <v>242</v>
      </c>
      <c r="K558" s="11" t="n">
        <v>3</v>
      </c>
      <c r="L558" s="15" t="n">
        <v>15706.03</v>
      </c>
      <c r="M558" s="11" t="n">
        <v>5</v>
      </c>
      <c r="N558" s="15" t="n">
        <v>47118.09</v>
      </c>
      <c r="O558" s="15" t="n">
        <v>2355.9</v>
      </c>
      <c r="P558" s="15" t="n">
        <v>44762.19</v>
      </c>
      <c r="Q558" s="15" t="n">
        <v>0</v>
      </c>
      <c r="R558" s="11" t="n">
        <v>0</v>
      </c>
      <c r="S558" s="15" t="n">
        <f aca="false">P558-Q558</f>
        <v>44762.19</v>
      </c>
      <c r="T558" s="11" t="n">
        <f aca="false">IF(OR(J558="Completed",J558="Returned"),1,0)</f>
        <v>1</v>
      </c>
    </row>
    <row r="559" customFormat="false" ht="15" hidden="false" customHeight="false" outlineLevel="0" collapsed="false">
      <c r="A559" s="11" t="s">
        <v>1465</v>
      </c>
      <c r="B559" s="11" t="s">
        <v>331</v>
      </c>
      <c r="C559" s="24" t="n">
        <v>45363</v>
      </c>
      <c r="D559" s="11" t="s">
        <v>34</v>
      </c>
      <c r="E559" s="11" t="s">
        <v>1212</v>
      </c>
      <c r="F559" s="11" t="s">
        <v>74</v>
      </c>
      <c r="G559" s="11" t="s">
        <v>1093</v>
      </c>
      <c r="H559" s="11" t="s">
        <v>21</v>
      </c>
      <c r="I559" s="11" t="s">
        <v>113</v>
      </c>
      <c r="J559" s="11" t="s">
        <v>250</v>
      </c>
      <c r="K559" s="11" t="n">
        <v>4</v>
      </c>
      <c r="L559" s="15" t="n">
        <v>13038.96</v>
      </c>
      <c r="M559" s="11" t="n">
        <v>0</v>
      </c>
      <c r="N559" s="15" t="n">
        <v>52155.84</v>
      </c>
      <c r="O559" s="15" t="n">
        <v>0</v>
      </c>
      <c r="P559" s="15" t="n">
        <v>52155.84</v>
      </c>
      <c r="Q559" s="15" t="n">
        <v>0</v>
      </c>
      <c r="R559" s="11" t="n">
        <v>0</v>
      </c>
      <c r="S559" s="15" t="n">
        <f aca="false">P559-Q559</f>
        <v>52155.84</v>
      </c>
      <c r="T559" s="11" t="n">
        <f aca="false">IF(OR(J559="Completed",J559="Returned"),1,0)</f>
        <v>0</v>
      </c>
    </row>
    <row r="560" customFormat="false" ht="15" hidden="false" customHeight="false" outlineLevel="0" collapsed="false">
      <c r="A560" s="11" t="s">
        <v>1466</v>
      </c>
      <c r="B560" s="11" t="s">
        <v>331</v>
      </c>
      <c r="C560" s="24" t="n">
        <v>45363</v>
      </c>
      <c r="D560" s="11" t="s">
        <v>34</v>
      </c>
      <c r="E560" s="11" t="s">
        <v>1212</v>
      </c>
      <c r="F560" s="11" t="s">
        <v>74</v>
      </c>
      <c r="G560" s="11" t="s">
        <v>781</v>
      </c>
      <c r="H560" s="11" t="s">
        <v>21</v>
      </c>
      <c r="I560" s="11" t="s">
        <v>113</v>
      </c>
      <c r="J560" s="11" t="s">
        <v>250</v>
      </c>
      <c r="K560" s="11" t="n">
        <v>1</v>
      </c>
      <c r="L560" s="15" t="n">
        <v>3962.52</v>
      </c>
      <c r="M560" s="11" t="n">
        <v>0</v>
      </c>
      <c r="N560" s="15" t="n">
        <v>3962.52</v>
      </c>
      <c r="O560" s="15" t="n">
        <v>0</v>
      </c>
      <c r="P560" s="15" t="n">
        <v>3962.52</v>
      </c>
      <c r="Q560" s="15" t="n">
        <v>3762.23</v>
      </c>
      <c r="R560" s="11" t="n">
        <v>1</v>
      </c>
      <c r="S560" s="15" t="n">
        <f aca="false">P560-Q560</f>
        <v>200.29</v>
      </c>
      <c r="T560" s="11" t="n">
        <f aca="false">IF(OR(J560="Completed",J560="Returned"),1,0)</f>
        <v>0</v>
      </c>
    </row>
    <row r="561" customFormat="false" ht="15" hidden="false" customHeight="false" outlineLevel="0" collapsed="false">
      <c r="A561" s="11" t="s">
        <v>1467</v>
      </c>
      <c r="B561" s="11" t="s">
        <v>331</v>
      </c>
      <c r="C561" s="24" t="n">
        <v>45363</v>
      </c>
      <c r="D561" s="11" t="s">
        <v>34</v>
      </c>
      <c r="E561" s="11" t="s">
        <v>1212</v>
      </c>
      <c r="F561" s="11" t="s">
        <v>74</v>
      </c>
      <c r="G561" s="11" t="s">
        <v>133</v>
      </c>
      <c r="H561" s="11" t="s">
        <v>21</v>
      </c>
      <c r="I561" s="11" t="s">
        <v>113</v>
      </c>
      <c r="J561" s="11" t="s">
        <v>250</v>
      </c>
      <c r="K561" s="11" t="n">
        <v>4</v>
      </c>
      <c r="L561" s="15" t="n">
        <v>15706.03</v>
      </c>
      <c r="M561" s="11" t="n">
        <v>15</v>
      </c>
      <c r="N561" s="15" t="n">
        <v>62824.12</v>
      </c>
      <c r="O561" s="15" t="n">
        <v>9423.62</v>
      </c>
      <c r="P561" s="15" t="n">
        <v>53400.5</v>
      </c>
      <c r="Q561" s="15" t="n">
        <v>0</v>
      </c>
      <c r="R561" s="11" t="n">
        <v>0</v>
      </c>
      <c r="S561" s="15" t="n">
        <f aca="false">P561-Q561</f>
        <v>53400.5</v>
      </c>
      <c r="T561" s="11" t="n">
        <f aca="false">IF(OR(J561="Completed",J561="Returned"),1,0)</f>
        <v>0</v>
      </c>
    </row>
    <row r="562" customFormat="false" ht="15" hidden="false" customHeight="false" outlineLevel="0" collapsed="false">
      <c r="A562" s="11" t="s">
        <v>1468</v>
      </c>
      <c r="B562" s="11" t="s">
        <v>331</v>
      </c>
      <c r="C562" s="24" t="n">
        <v>45363</v>
      </c>
      <c r="D562" s="11" t="s">
        <v>34</v>
      </c>
      <c r="E562" s="11" t="s">
        <v>1212</v>
      </c>
      <c r="F562" s="11" t="s">
        <v>74</v>
      </c>
      <c r="G562" s="11" t="s">
        <v>965</v>
      </c>
      <c r="H562" s="11" t="s">
        <v>23</v>
      </c>
      <c r="I562" s="11" t="s">
        <v>113</v>
      </c>
      <c r="J562" s="11" t="s">
        <v>250</v>
      </c>
      <c r="K562" s="11" t="n">
        <v>5</v>
      </c>
      <c r="L562" s="15" t="n">
        <v>4511.74</v>
      </c>
      <c r="M562" s="11" t="n">
        <v>0</v>
      </c>
      <c r="N562" s="15" t="n">
        <v>22558.7</v>
      </c>
      <c r="O562" s="15" t="n">
        <v>0</v>
      </c>
      <c r="P562" s="15" t="n">
        <v>22558.7</v>
      </c>
      <c r="Q562" s="15" t="n">
        <v>0</v>
      </c>
      <c r="R562" s="11" t="n">
        <v>0</v>
      </c>
      <c r="S562" s="15" t="n">
        <f aca="false">P562-Q562</f>
        <v>22558.7</v>
      </c>
      <c r="T562" s="11" t="n">
        <f aca="false">IF(OR(J562="Completed",J562="Returned"),1,0)</f>
        <v>0</v>
      </c>
    </row>
    <row r="563" customFormat="false" ht="15" hidden="false" customHeight="false" outlineLevel="0" collapsed="false">
      <c r="A563" s="11" t="s">
        <v>1469</v>
      </c>
      <c r="B563" s="11" t="s">
        <v>533</v>
      </c>
      <c r="C563" s="24" t="n">
        <v>45750</v>
      </c>
      <c r="D563" s="11" t="s">
        <v>47</v>
      </c>
      <c r="E563" s="11" t="s">
        <v>954</v>
      </c>
      <c r="F563" s="11" t="s">
        <v>70</v>
      </c>
      <c r="G563" s="11" t="s">
        <v>150</v>
      </c>
      <c r="H563" s="11" t="s">
        <v>22</v>
      </c>
      <c r="I563" s="11" t="s">
        <v>113</v>
      </c>
      <c r="J563" s="11" t="s">
        <v>246</v>
      </c>
      <c r="K563" s="11" t="n">
        <v>3</v>
      </c>
      <c r="L563" s="15" t="n">
        <v>21978.46</v>
      </c>
      <c r="M563" s="11" t="n">
        <v>5</v>
      </c>
      <c r="N563" s="15" t="n">
        <v>65935.38</v>
      </c>
      <c r="O563" s="15" t="n">
        <v>3296.77</v>
      </c>
      <c r="P563" s="15" t="n">
        <v>62638.61</v>
      </c>
      <c r="Q563" s="15" t="n">
        <v>0</v>
      </c>
      <c r="R563" s="11" t="n">
        <v>0</v>
      </c>
      <c r="S563" s="15" t="n">
        <f aca="false">P563-Q563</f>
        <v>62638.61</v>
      </c>
      <c r="T563" s="11" t="n">
        <f aca="false">IF(OR(J563="Completed",J563="Returned"),1,0)</f>
        <v>0</v>
      </c>
    </row>
    <row r="564" customFormat="false" ht="15" hidden="false" customHeight="false" outlineLevel="0" collapsed="false">
      <c r="A564" s="11" t="s">
        <v>1470</v>
      </c>
      <c r="B564" s="11" t="s">
        <v>533</v>
      </c>
      <c r="C564" s="24" t="n">
        <v>45750</v>
      </c>
      <c r="D564" s="11" t="s">
        <v>47</v>
      </c>
      <c r="E564" s="11" t="s">
        <v>954</v>
      </c>
      <c r="F564" s="11" t="s">
        <v>70</v>
      </c>
      <c r="G564" s="11" t="s">
        <v>626</v>
      </c>
      <c r="H564" s="11" t="s">
        <v>24</v>
      </c>
      <c r="I564" s="11" t="s">
        <v>113</v>
      </c>
      <c r="J564" s="11" t="s">
        <v>246</v>
      </c>
      <c r="K564" s="11" t="n">
        <v>5</v>
      </c>
      <c r="L564" s="15" t="n">
        <v>11932.31</v>
      </c>
      <c r="M564" s="11" t="n">
        <v>15</v>
      </c>
      <c r="N564" s="15" t="n">
        <v>59661.55</v>
      </c>
      <c r="O564" s="15" t="n">
        <v>8949.23</v>
      </c>
      <c r="P564" s="15" t="n">
        <v>50712.32</v>
      </c>
      <c r="Q564" s="15" t="n">
        <v>0</v>
      </c>
      <c r="R564" s="11" t="n">
        <v>0</v>
      </c>
      <c r="S564" s="15" t="n">
        <f aca="false">P564-Q564</f>
        <v>50712.32</v>
      </c>
      <c r="T564" s="11" t="n">
        <f aca="false">IF(OR(J564="Completed",J564="Returned"),1,0)</f>
        <v>0</v>
      </c>
    </row>
    <row r="565" customFormat="false" ht="15" hidden="false" customHeight="false" outlineLevel="0" collapsed="false">
      <c r="A565" s="11" t="s">
        <v>1471</v>
      </c>
      <c r="B565" s="11" t="s">
        <v>401</v>
      </c>
      <c r="C565" s="24" t="n">
        <v>45668</v>
      </c>
      <c r="D565" s="11" t="s">
        <v>44</v>
      </c>
      <c r="E565" s="11" t="s">
        <v>1447</v>
      </c>
      <c r="F565" s="11" t="s">
        <v>74</v>
      </c>
      <c r="G565" s="11" t="s">
        <v>995</v>
      </c>
      <c r="H565" s="11" t="s">
        <v>24</v>
      </c>
      <c r="I565" s="11" t="s">
        <v>114</v>
      </c>
      <c r="J565" s="11" t="s">
        <v>246</v>
      </c>
      <c r="K565" s="11" t="n">
        <v>5</v>
      </c>
      <c r="L565" s="15" t="n">
        <v>11865.75</v>
      </c>
      <c r="M565" s="11" t="n">
        <v>0</v>
      </c>
      <c r="N565" s="15" t="n">
        <v>59328.75</v>
      </c>
      <c r="O565" s="15" t="n">
        <v>0</v>
      </c>
      <c r="P565" s="15" t="n">
        <v>59328.75</v>
      </c>
      <c r="Q565" s="15" t="n">
        <v>0</v>
      </c>
      <c r="R565" s="11" t="n">
        <v>0</v>
      </c>
      <c r="S565" s="15" t="n">
        <f aca="false">P565-Q565</f>
        <v>59328.75</v>
      </c>
      <c r="T565" s="11" t="n">
        <f aca="false">IF(OR(J565="Completed",J565="Returned"),1,0)</f>
        <v>0</v>
      </c>
    </row>
    <row r="566" customFormat="false" ht="15" hidden="false" customHeight="false" outlineLevel="0" collapsed="false">
      <c r="A566" s="11" t="s">
        <v>1472</v>
      </c>
      <c r="B566" s="11" t="s">
        <v>401</v>
      </c>
      <c r="C566" s="24" t="n">
        <v>45668</v>
      </c>
      <c r="D566" s="11" t="s">
        <v>44</v>
      </c>
      <c r="E566" s="11" t="s">
        <v>1447</v>
      </c>
      <c r="F566" s="11" t="s">
        <v>74</v>
      </c>
      <c r="G566" s="11" t="s">
        <v>162</v>
      </c>
      <c r="H566" s="11" t="s">
        <v>20</v>
      </c>
      <c r="I566" s="11" t="s">
        <v>114</v>
      </c>
      <c r="J566" s="11" t="s">
        <v>246</v>
      </c>
      <c r="K566" s="11" t="n">
        <v>2</v>
      </c>
      <c r="L566" s="15" t="n">
        <v>16084.14</v>
      </c>
      <c r="M566" s="11" t="n">
        <v>20</v>
      </c>
      <c r="N566" s="15" t="n">
        <v>32168.28</v>
      </c>
      <c r="O566" s="15" t="n">
        <v>6433.66</v>
      </c>
      <c r="P566" s="15" t="n">
        <v>25734.62</v>
      </c>
      <c r="Q566" s="15" t="n">
        <v>0</v>
      </c>
      <c r="R566" s="11" t="n">
        <v>0</v>
      </c>
      <c r="S566" s="15" t="n">
        <f aca="false">P566-Q566</f>
        <v>25734.62</v>
      </c>
      <c r="T566" s="11" t="n">
        <f aca="false">IF(OR(J566="Completed",J566="Returned"),1,0)</f>
        <v>0</v>
      </c>
    </row>
    <row r="567" customFormat="false" ht="15" hidden="false" customHeight="false" outlineLevel="0" collapsed="false">
      <c r="A567" s="11" t="s">
        <v>1473</v>
      </c>
      <c r="B567" s="11" t="s">
        <v>560</v>
      </c>
      <c r="C567" s="24" t="n">
        <v>45826</v>
      </c>
      <c r="D567" s="11" t="s">
        <v>49</v>
      </c>
      <c r="E567" s="11" t="s">
        <v>1103</v>
      </c>
      <c r="F567" s="11" t="s">
        <v>70</v>
      </c>
      <c r="G567" s="11" t="s">
        <v>137</v>
      </c>
      <c r="H567" s="11" t="s">
        <v>22</v>
      </c>
      <c r="I567" s="11" t="s">
        <v>114</v>
      </c>
      <c r="J567" s="11" t="s">
        <v>242</v>
      </c>
      <c r="K567" s="11" t="n">
        <v>4</v>
      </c>
      <c r="L567" s="15" t="n">
        <v>12393.99</v>
      </c>
      <c r="M567" s="11" t="n">
        <v>20</v>
      </c>
      <c r="N567" s="15" t="n">
        <v>49575.96</v>
      </c>
      <c r="O567" s="15" t="n">
        <v>9915.19</v>
      </c>
      <c r="P567" s="15" t="n">
        <v>39660.77</v>
      </c>
      <c r="Q567" s="15" t="n">
        <v>0</v>
      </c>
      <c r="R567" s="11" t="n">
        <v>0</v>
      </c>
      <c r="S567" s="15" t="n">
        <f aca="false">P567-Q567</f>
        <v>39660.77</v>
      </c>
      <c r="T567" s="11" t="n">
        <f aca="false">IF(OR(J567="Completed",J567="Returned"),1,0)</f>
        <v>1</v>
      </c>
    </row>
    <row r="568" customFormat="false" ht="15" hidden="false" customHeight="false" outlineLevel="0" collapsed="false">
      <c r="A568" s="11" t="s">
        <v>1474</v>
      </c>
      <c r="B568" s="11" t="s">
        <v>560</v>
      </c>
      <c r="C568" s="24" t="n">
        <v>45826</v>
      </c>
      <c r="D568" s="11" t="s">
        <v>49</v>
      </c>
      <c r="E568" s="11" t="s">
        <v>1103</v>
      </c>
      <c r="F568" s="11" t="s">
        <v>70</v>
      </c>
      <c r="G568" s="11" t="s">
        <v>775</v>
      </c>
      <c r="H568" s="11" t="s">
        <v>23</v>
      </c>
      <c r="I568" s="11" t="s">
        <v>114</v>
      </c>
      <c r="J568" s="11" t="s">
        <v>242</v>
      </c>
      <c r="K568" s="11" t="n">
        <v>3</v>
      </c>
      <c r="L568" s="15" t="n">
        <v>26274.11</v>
      </c>
      <c r="M568" s="11" t="n">
        <v>15</v>
      </c>
      <c r="N568" s="15" t="n">
        <v>78822.33</v>
      </c>
      <c r="O568" s="15" t="n">
        <v>11823.35</v>
      </c>
      <c r="P568" s="15" t="n">
        <v>66998.98</v>
      </c>
      <c r="Q568" s="15" t="n">
        <v>0</v>
      </c>
      <c r="R568" s="11" t="n">
        <v>0</v>
      </c>
      <c r="S568" s="15" t="n">
        <f aca="false">P568-Q568</f>
        <v>66998.98</v>
      </c>
      <c r="T568" s="11" t="n">
        <f aca="false">IF(OR(J568="Completed",J568="Returned"),1,0)</f>
        <v>1</v>
      </c>
    </row>
    <row r="569" customFormat="false" ht="15" hidden="false" customHeight="false" outlineLevel="0" collapsed="false">
      <c r="A569" s="11" t="s">
        <v>1475</v>
      </c>
      <c r="B569" s="11" t="s">
        <v>328</v>
      </c>
      <c r="C569" s="24" t="n">
        <v>45459</v>
      </c>
      <c r="D569" s="11" t="s">
        <v>37</v>
      </c>
      <c r="E569" s="11" t="s">
        <v>1195</v>
      </c>
      <c r="F569" s="11" t="s">
        <v>82</v>
      </c>
      <c r="G569" s="11" t="s">
        <v>129</v>
      </c>
      <c r="H569" s="11" t="s">
        <v>24</v>
      </c>
      <c r="I569" s="11" t="s">
        <v>113</v>
      </c>
      <c r="J569" s="11" t="s">
        <v>242</v>
      </c>
      <c r="K569" s="11" t="n">
        <v>2</v>
      </c>
      <c r="L569" s="15" t="n">
        <v>3184.81</v>
      </c>
      <c r="M569" s="11" t="n">
        <v>0</v>
      </c>
      <c r="N569" s="15" t="n">
        <v>6369.62</v>
      </c>
      <c r="O569" s="15" t="n">
        <v>0</v>
      </c>
      <c r="P569" s="15" t="n">
        <v>6369.62</v>
      </c>
      <c r="Q569" s="15" t="n">
        <v>0</v>
      </c>
      <c r="R569" s="11" t="n">
        <v>0</v>
      </c>
      <c r="S569" s="15" t="n">
        <f aca="false">P569-Q569</f>
        <v>6369.62</v>
      </c>
      <c r="T569" s="11" t="n">
        <f aca="false">IF(OR(J569="Completed",J569="Returned"),1,0)</f>
        <v>1</v>
      </c>
    </row>
    <row r="570" customFormat="false" ht="15" hidden="false" customHeight="false" outlineLevel="0" collapsed="false">
      <c r="A570" s="11" t="s">
        <v>1476</v>
      </c>
      <c r="B570" s="11" t="s">
        <v>328</v>
      </c>
      <c r="C570" s="24" t="n">
        <v>45459</v>
      </c>
      <c r="D570" s="11" t="s">
        <v>37</v>
      </c>
      <c r="E570" s="11" t="s">
        <v>1195</v>
      </c>
      <c r="F570" s="11" t="s">
        <v>82</v>
      </c>
      <c r="G570" s="11" t="s">
        <v>158</v>
      </c>
      <c r="H570" s="11" t="s">
        <v>22</v>
      </c>
      <c r="I570" s="11" t="s">
        <v>113</v>
      </c>
      <c r="J570" s="11" t="s">
        <v>242</v>
      </c>
      <c r="K570" s="11" t="n">
        <v>1</v>
      </c>
      <c r="L570" s="15" t="n">
        <v>5471.28</v>
      </c>
      <c r="M570" s="11" t="n">
        <v>10</v>
      </c>
      <c r="N570" s="15" t="n">
        <v>5471.28</v>
      </c>
      <c r="O570" s="15" t="n">
        <v>547.13</v>
      </c>
      <c r="P570" s="15" t="n">
        <v>4924.15</v>
      </c>
      <c r="Q570" s="15" t="n">
        <v>0</v>
      </c>
      <c r="R570" s="11" t="n">
        <v>0</v>
      </c>
      <c r="S570" s="15" t="n">
        <f aca="false">P570-Q570</f>
        <v>4924.15</v>
      </c>
      <c r="T570" s="11" t="n">
        <f aca="false">IF(OR(J570="Completed",J570="Returned"),1,0)</f>
        <v>1</v>
      </c>
    </row>
    <row r="571" customFormat="false" ht="15" hidden="false" customHeight="false" outlineLevel="0" collapsed="false">
      <c r="A571" s="11" t="s">
        <v>1477</v>
      </c>
      <c r="B571" s="11" t="s">
        <v>328</v>
      </c>
      <c r="C571" s="24" t="n">
        <v>45459</v>
      </c>
      <c r="D571" s="11" t="s">
        <v>37</v>
      </c>
      <c r="E571" s="11" t="s">
        <v>1195</v>
      </c>
      <c r="F571" s="11" t="s">
        <v>82</v>
      </c>
      <c r="G571" s="11" t="s">
        <v>621</v>
      </c>
      <c r="H571" s="11" t="s">
        <v>20</v>
      </c>
      <c r="I571" s="11" t="s">
        <v>113</v>
      </c>
      <c r="J571" s="11" t="s">
        <v>242</v>
      </c>
      <c r="K571" s="11" t="n">
        <v>2</v>
      </c>
      <c r="L571" s="15" t="n">
        <v>1165.83</v>
      </c>
      <c r="M571" s="11" t="n">
        <v>20</v>
      </c>
      <c r="N571" s="15" t="n">
        <v>2331.66</v>
      </c>
      <c r="O571" s="15" t="n">
        <v>466.33</v>
      </c>
      <c r="P571" s="15" t="n">
        <v>1865.33</v>
      </c>
      <c r="Q571" s="15" t="n">
        <v>0</v>
      </c>
      <c r="R571" s="11" t="n">
        <v>0</v>
      </c>
      <c r="S571" s="15" t="n">
        <f aca="false">P571-Q571</f>
        <v>1865.33</v>
      </c>
      <c r="T571" s="11" t="n">
        <f aca="false">IF(OR(J571="Completed",J571="Returned"),1,0)</f>
        <v>1</v>
      </c>
    </row>
    <row r="572" customFormat="false" ht="15" hidden="false" customHeight="false" outlineLevel="0" collapsed="false">
      <c r="A572" s="11" t="s">
        <v>1478</v>
      </c>
      <c r="B572" s="11" t="s">
        <v>508</v>
      </c>
      <c r="C572" s="24" t="n">
        <v>45522</v>
      </c>
      <c r="D572" s="11" t="s">
        <v>39</v>
      </c>
      <c r="E572" s="11" t="s">
        <v>1400</v>
      </c>
      <c r="F572" s="11" t="s">
        <v>74</v>
      </c>
      <c r="G572" s="11" t="s">
        <v>775</v>
      </c>
      <c r="H572" s="11" t="s">
        <v>23</v>
      </c>
      <c r="I572" s="11" t="s">
        <v>115</v>
      </c>
      <c r="J572" s="11" t="s">
        <v>246</v>
      </c>
      <c r="K572" s="11" t="n">
        <v>2</v>
      </c>
      <c r="L572" s="15" t="n">
        <v>26274.11</v>
      </c>
      <c r="M572" s="11" t="n">
        <v>10</v>
      </c>
      <c r="N572" s="15" t="n">
        <v>52548.22</v>
      </c>
      <c r="O572" s="15" t="n">
        <v>5254.82</v>
      </c>
      <c r="P572" s="15" t="n">
        <v>47293.4</v>
      </c>
      <c r="Q572" s="15" t="n">
        <v>0</v>
      </c>
      <c r="R572" s="11" t="n">
        <v>0</v>
      </c>
      <c r="S572" s="15" t="n">
        <f aca="false">P572-Q572</f>
        <v>47293.4</v>
      </c>
      <c r="T572" s="11" t="n">
        <f aca="false">IF(OR(J572="Completed",J572="Returned"),1,0)</f>
        <v>0</v>
      </c>
    </row>
    <row r="573" customFormat="false" ht="15" hidden="false" customHeight="false" outlineLevel="0" collapsed="false">
      <c r="A573" s="11" t="s">
        <v>1479</v>
      </c>
      <c r="B573" s="11" t="s">
        <v>508</v>
      </c>
      <c r="C573" s="24" t="n">
        <v>45522</v>
      </c>
      <c r="D573" s="11" t="s">
        <v>39</v>
      </c>
      <c r="E573" s="11" t="s">
        <v>1400</v>
      </c>
      <c r="F573" s="11" t="s">
        <v>74</v>
      </c>
      <c r="G573" s="11" t="s">
        <v>154</v>
      </c>
      <c r="H573" s="11" t="s">
        <v>21</v>
      </c>
      <c r="I573" s="11" t="s">
        <v>115</v>
      </c>
      <c r="J573" s="11" t="s">
        <v>246</v>
      </c>
      <c r="K573" s="11" t="n">
        <v>4</v>
      </c>
      <c r="L573" s="15" t="n">
        <v>2260.53</v>
      </c>
      <c r="M573" s="11" t="n">
        <v>0</v>
      </c>
      <c r="N573" s="15" t="n">
        <v>9042.12</v>
      </c>
      <c r="O573" s="15" t="n">
        <v>0</v>
      </c>
      <c r="P573" s="15" t="n">
        <v>9042.12</v>
      </c>
      <c r="Q573" s="15" t="n">
        <v>0</v>
      </c>
      <c r="R573" s="11" t="n">
        <v>0</v>
      </c>
      <c r="S573" s="15" t="n">
        <f aca="false">P573-Q573</f>
        <v>9042.12</v>
      </c>
      <c r="T573" s="11" t="n">
        <f aca="false">IF(OR(J573="Completed",J573="Returned"),1,0)</f>
        <v>0</v>
      </c>
    </row>
    <row r="574" customFormat="false" ht="15" hidden="false" customHeight="false" outlineLevel="0" collapsed="false">
      <c r="A574" s="11" t="s">
        <v>1480</v>
      </c>
      <c r="B574" s="11" t="s">
        <v>395</v>
      </c>
      <c r="C574" s="24" t="n">
        <v>45958</v>
      </c>
      <c r="D574" s="11" t="s">
        <v>53</v>
      </c>
      <c r="E574" s="11" t="s">
        <v>1173</v>
      </c>
      <c r="F574" s="11" t="s">
        <v>78</v>
      </c>
      <c r="G574" s="11" t="s">
        <v>609</v>
      </c>
      <c r="H574" s="11" t="s">
        <v>20</v>
      </c>
      <c r="I574" s="11" t="s">
        <v>114</v>
      </c>
      <c r="J574" s="11" t="s">
        <v>242</v>
      </c>
      <c r="K574" s="11" t="n">
        <v>1</v>
      </c>
      <c r="L574" s="15" t="n">
        <v>10660.79</v>
      </c>
      <c r="M574" s="11" t="n">
        <v>5</v>
      </c>
      <c r="N574" s="15" t="n">
        <v>10660.79</v>
      </c>
      <c r="O574" s="15" t="n">
        <v>533.04</v>
      </c>
      <c r="P574" s="15" t="n">
        <v>10127.75</v>
      </c>
      <c r="Q574" s="15" t="n">
        <v>0</v>
      </c>
      <c r="R574" s="11" t="n">
        <v>0</v>
      </c>
      <c r="S574" s="15" t="n">
        <f aca="false">P574-Q574</f>
        <v>10127.75</v>
      </c>
      <c r="T574" s="11" t="n">
        <f aca="false">IF(OR(J574="Completed",J574="Returned"),1,0)</f>
        <v>1</v>
      </c>
    </row>
    <row r="575" customFormat="false" ht="15" hidden="false" customHeight="false" outlineLevel="0" collapsed="false">
      <c r="A575" s="11" t="s">
        <v>1481</v>
      </c>
      <c r="B575" s="11" t="s">
        <v>395</v>
      </c>
      <c r="C575" s="24" t="n">
        <v>45958</v>
      </c>
      <c r="D575" s="11" t="s">
        <v>53</v>
      </c>
      <c r="E575" s="11" t="s">
        <v>1173</v>
      </c>
      <c r="F575" s="11" t="s">
        <v>78</v>
      </c>
      <c r="G575" s="11" t="s">
        <v>131</v>
      </c>
      <c r="H575" s="11" t="s">
        <v>22</v>
      </c>
      <c r="I575" s="11" t="s">
        <v>114</v>
      </c>
      <c r="J575" s="11" t="s">
        <v>242</v>
      </c>
      <c r="K575" s="11" t="n">
        <v>1</v>
      </c>
      <c r="L575" s="15" t="n">
        <v>11284.39</v>
      </c>
      <c r="M575" s="11" t="n">
        <v>15</v>
      </c>
      <c r="N575" s="15" t="n">
        <v>11284.39</v>
      </c>
      <c r="O575" s="15" t="n">
        <v>1692.66</v>
      </c>
      <c r="P575" s="15" t="n">
        <v>9591.73</v>
      </c>
      <c r="Q575" s="15" t="n">
        <v>0</v>
      </c>
      <c r="R575" s="11" t="n">
        <v>0</v>
      </c>
      <c r="S575" s="15" t="n">
        <f aca="false">P575-Q575</f>
        <v>9591.73</v>
      </c>
      <c r="T575" s="11" t="n">
        <f aca="false">IF(OR(J575="Completed",J575="Returned"),1,0)</f>
        <v>1</v>
      </c>
    </row>
    <row r="576" customFormat="false" ht="15" hidden="false" customHeight="false" outlineLevel="0" collapsed="false">
      <c r="A576" s="11" t="s">
        <v>1482</v>
      </c>
      <c r="B576" s="11" t="s">
        <v>395</v>
      </c>
      <c r="C576" s="24" t="n">
        <v>45958</v>
      </c>
      <c r="D576" s="11" t="s">
        <v>53</v>
      </c>
      <c r="E576" s="11" t="s">
        <v>1173</v>
      </c>
      <c r="F576" s="11" t="s">
        <v>78</v>
      </c>
      <c r="G576" s="11" t="s">
        <v>639</v>
      </c>
      <c r="H576" s="11" t="s">
        <v>23</v>
      </c>
      <c r="I576" s="11" t="s">
        <v>114</v>
      </c>
      <c r="J576" s="11" t="s">
        <v>242</v>
      </c>
      <c r="K576" s="11" t="n">
        <v>4</v>
      </c>
      <c r="L576" s="15" t="n">
        <v>8493.72</v>
      </c>
      <c r="M576" s="11" t="n">
        <v>0</v>
      </c>
      <c r="N576" s="15" t="n">
        <v>33974.88</v>
      </c>
      <c r="O576" s="15" t="n">
        <v>0</v>
      </c>
      <c r="P576" s="15" t="n">
        <v>33974.88</v>
      </c>
      <c r="Q576" s="15" t="n">
        <v>0</v>
      </c>
      <c r="R576" s="11" t="n">
        <v>0</v>
      </c>
      <c r="S576" s="15" t="n">
        <f aca="false">P576-Q576</f>
        <v>33974.88</v>
      </c>
      <c r="T576" s="11" t="n">
        <f aca="false">IF(OR(J576="Completed",J576="Returned"),1,0)</f>
        <v>1</v>
      </c>
    </row>
    <row r="577" customFormat="false" ht="15" hidden="false" customHeight="false" outlineLevel="0" collapsed="false">
      <c r="A577" s="11" t="s">
        <v>1483</v>
      </c>
      <c r="B577" s="11" t="s">
        <v>395</v>
      </c>
      <c r="C577" s="24" t="n">
        <v>45958</v>
      </c>
      <c r="D577" s="11" t="s">
        <v>53</v>
      </c>
      <c r="E577" s="11" t="s">
        <v>1173</v>
      </c>
      <c r="F577" s="11" t="s">
        <v>78</v>
      </c>
      <c r="G577" s="11" t="s">
        <v>145</v>
      </c>
      <c r="H577" s="11" t="s">
        <v>20</v>
      </c>
      <c r="I577" s="11" t="s">
        <v>114</v>
      </c>
      <c r="J577" s="11" t="s">
        <v>242</v>
      </c>
      <c r="K577" s="11" t="n">
        <v>1</v>
      </c>
      <c r="L577" s="15" t="n">
        <v>20098.63</v>
      </c>
      <c r="M577" s="11" t="n">
        <v>0</v>
      </c>
      <c r="N577" s="15" t="n">
        <v>20098.63</v>
      </c>
      <c r="O577" s="15" t="n">
        <v>0</v>
      </c>
      <c r="P577" s="15" t="n">
        <v>20098.63</v>
      </c>
      <c r="Q577" s="15" t="n">
        <v>0</v>
      </c>
      <c r="R577" s="11" t="n">
        <v>0</v>
      </c>
      <c r="S577" s="15" t="n">
        <f aca="false">P577-Q577</f>
        <v>20098.63</v>
      </c>
      <c r="T577" s="11" t="n">
        <f aca="false">IF(OR(J577="Completed",J577="Returned"),1,0)</f>
        <v>1</v>
      </c>
    </row>
    <row r="578" customFormat="false" ht="15" hidden="false" customHeight="false" outlineLevel="0" collapsed="false">
      <c r="A578" s="11" t="s">
        <v>1484</v>
      </c>
      <c r="B578" s="11" t="s">
        <v>270</v>
      </c>
      <c r="C578" s="24" t="n">
        <v>45570</v>
      </c>
      <c r="D578" s="11" t="s">
        <v>41</v>
      </c>
      <c r="E578" s="11" t="s">
        <v>819</v>
      </c>
      <c r="F578" s="11" t="s">
        <v>82</v>
      </c>
      <c r="G578" s="11" t="s">
        <v>613</v>
      </c>
      <c r="H578" s="11" t="s">
        <v>23</v>
      </c>
      <c r="I578" s="11" t="s">
        <v>115</v>
      </c>
      <c r="J578" s="11" t="s">
        <v>242</v>
      </c>
      <c r="K578" s="11" t="n">
        <v>3</v>
      </c>
      <c r="L578" s="15" t="n">
        <v>7218.53</v>
      </c>
      <c r="M578" s="11" t="n">
        <v>20</v>
      </c>
      <c r="N578" s="15" t="n">
        <v>21655.59</v>
      </c>
      <c r="O578" s="15" t="n">
        <v>4331.12</v>
      </c>
      <c r="P578" s="15" t="n">
        <v>17324.47</v>
      </c>
      <c r="Q578" s="15" t="n">
        <v>0</v>
      </c>
      <c r="R578" s="11" t="n">
        <v>0</v>
      </c>
      <c r="S578" s="15" t="n">
        <f aca="false">P578-Q578</f>
        <v>17324.47</v>
      </c>
      <c r="T578" s="11" t="n">
        <f aca="false">IF(OR(J578="Completed",J578="Returned"),1,0)</f>
        <v>1</v>
      </c>
    </row>
    <row r="579" customFormat="false" ht="15" hidden="false" customHeight="false" outlineLevel="0" collapsed="false">
      <c r="A579" s="11" t="s">
        <v>1485</v>
      </c>
      <c r="B579" s="11" t="s">
        <v>270</v>
      </c>
      <c r="C579" s="24" t="n">
        <v>45570</v>
      </c>
      <c r="D579" s="11" t="s">
        <v>41</v>
      </c>
      <c r="E579" s="11" t="s">
        <v>819</v>
      </c>
      <c r="F579" s="11" t="s">
        <v>82</v>
      </c>
      <c r="G579" s="11" t="s">
        <v>809</v>
      </c>
      <c r="H579" s="11" t="s">
        <v>22</v>
      </c>
      <c r="I579" s="11" t="s">
        <v>115</v>
      </c>
      <c r="J579" s="11" t="s">
        <v>242</v>
      </c>
      <c r="K579" s="11" t="n">
        <v>5</v>
      </c>
      <c r="L579" s="15" t="n">
        <v>22582.54</v>
      </c>
      <c r="M579" s="11" t="n">
        <v>0</v>
      </c>
      <c r="N579" s="15" t="n">
        <v>112912.7</v>
      </c>
      <c r="O579" s="15" t="n">
        <v>0</v>
      </c>
      <c r="P579" s="15" t="n">
        <v>112912.7</v>
      </c>
      <c r="Q579" s="15" t="n">
        <v>0</v>
      </c>
      <c r="R579" s="11" t="n">
        <v>0</v>
      </c>
      <c r="S579" s="15" t="n">
        <f aca="false">P579-Q579</f>
        <v>112912.7</v>
      </c>
      <c r="T579" s="11" t="n">
        <f aca="false">IF(OR(J579="Completed",J579="Returned"),1,0)</f>
        <v>1</v>
      </c>
    </row>
    <row r="580" customFormat="false" ht="15" hidden="false" customHeight="false" outlineLevel="0" collapsed="false">
      <c r="A580" s="11" t="s">
        <v>1486</v>
      </c>
      <c r="B580" s="11" t="s">
        <v>294</v>
      </c>
      <c r="C580" s="24" t="n">
        <v>45684</v>
      </c>
      <c r="D580" s="11" t="s">
        <v>44</v>
      </c>
      <c r="E580" s="11" t="s">
        <v>803</v>
      </c>
      <c r="F580" s="11" t="s">
        <v>25</v>
      </c>
      <c r="G580" s="11" t="s">
        <v>923</v>
      </c>
      <c r="H580" s="11" t="s">
        <v>22</v>
      </c>
      <c r="I580" s="11" t="s">
        <v>113</v>
      </c>
      <c r="J580" s="11" t="s">
        <v>246</v>
      </c>
      <c r="K580" s="11" t="n">
        <v>3</v>
      </c>
      <c r="L580" s="15" t="n">
        <v>5145.55</v>
      </c>
      <c r="M580" s="11" t="n">
        <v>0</v>
      </c>
      <c r="N580" s="15" t="n">
        <v>15436.65</v>
      </c>
      <c r="O580" s="15" t="n">
        <v>0</v>
      </c>
      <c r="P580" s="15" t="n">
        <v>15436.65</v>
      </c>
      <c r="Q580" s="15" t="n">
        <v>0</v>
      </c>
      <c r="R580" s="11" t="n">
        <v>0</v>
      </c>
      <c r="S580" s="15" t="n">
        <f aca="false">P580-Q580</f>
        <v>15436.65</v>
      </c>
      <c r="T580" s="11" t="n">
        <f aca="false">IF(OR(J580="Completed",J580="Returned"),1,0)</f>
        <v>0</v>
      </c>
    </row>
    <row r="581" customFormat="false" ht="15" hidden="false" customHeight="false" outlineLevel="0" collapsed="false">
      <c r="A581" s="11" t="s">
        <v>1487</v>
      </c>
      <c r="B581" s="11" t="s">
        <v>294</v>
      </c>
      <c r="C581" s="24" t="n">
        <v>45684</v>
      </c>
      <c r="D581" s="11" t="s">
        <v>44</v>
      </c>
      <c r="E581" s="11" t="s">
        <v>803</v>
      </c>
      <c r="F581" s="11" t="s">
        <v>25</v>
      </c>
      <c r="G581" s="11" t="s">
        <v>135</v>
      </c>
      <c r="H581" s="11" t="s">
        <v>22</v>
      </c>
      <c r="I581" s="11" t="s">
        <v>113</v>
      </c>
      <c r="J581" s="11" t="s">
        <v>246</v>
      </c>
      <c r="K581" s="11" t="n">
        <v>2</v>
      </c>
      <c r="L581" s="15" t="n">
        <v>22655.14</v>
      </c>
      <c r="M581" s="11" t="n">
        <v>10</v>
      </c>
      <c r="N581" s="15" t="n">
        <v>45310.28</v>
      </c>
      <c r="O581" s="15" t="n">
        <v>4531.03</v>
      </c>
      <c r="P581" s="15" t="n">
        <v>40779.25</v>
      </c>
      <c r="Q581" s="15" t="n">
        <v>0</v>
      </c>
      <c r="R581" s="11" t="n">
        <v>0</v>
      </c>
      <c r="S581" s="15" t="n">
        <f aca="false">P581-Q581</f>
        <v>40779.25</v>
      </c>
      <c r="T581" s="11" t="n">
        <f aca="false">IF(OR(J581="Completed",J581="Returned"),1,0)</f>
        <v>0</v>
      </c>
    </row>
    <row r="582" customFormat="false" ht="15" hidden="false" customHeight="false" outlineLevel="0" collapsed="false">
      <c r="A582" s="11" t="s">
        <v>1488</v>
      </c>
      <c r="B582" s="11" t="s">
        <v>576</v>
      </c>
      <c r="C582" s="24" t="n">
        <v>45805</v>
      </c>
      <c r="D582" s="11" t="s">
        <v>48</v>
      </c>
      <c r="E582" s="11" t="s">
        <v>803</v>
      </c>
      <c r="F582" s="11" t="s">
        <v>25</v>
      </c>
      <c r="G582" s="11" t="s">
        <v>619</v>
      </c>
      <c r="H582" s="11" t="s">
        <v>23</v>
      </c>
      <c r="I582" s="11" t="s">
        <v>115</v>
      </c>
      <c r="J582" s="11" t="s">
        <v>246</v>
      </c>
      <c r="K582" s="11" t="n">
        <v>3</v>
      </c>
      <c r="L582" s="15" t="n">
        <v>20550.39</v>
      </c>
      <c r="M582" s="11" t="n">
        <v>10</v>
      </c>
      <c r="N582" s="15" t="n">
        <v>61651.17</v>
      </c>
      <c r="O582" s="15" t="n">
        <v>6165.12</v>
      </c>
      <c r="P582" s="15" t="n">
        <v>55486.05</v>
      </c>
      <c r="Q582" s="15" t="n">
        <v>0</v>
      </c>
      <c r="R582" s="11" t="n">
        <v>0</v>
      </c>
      <c r="S582" s="15" t="n">
        <f aca="false">P582-Q582</f>
        <v>55486.05</v>
      </c>
      <c r="T582" s="11" t="n">
        <f aca="false">IF(OR(J582="Completed",J582="Returned"),1,0)</f>
        <v>0</v>
      </c>
    </row>
    <row r="583" customFormat="false" ht="15" hidden="false" customHeight="false" outlineLevel="0" collapsed="false">
      <c r="A583" s="11" t="s">
        <v>1489</v>
      </c>
      <c r="B583" s="11" t="s">
        <v>486</v>
      </c>
      <c r="C583" s="24" t="n">
        <v>45298</v>
      </c>
      <c r="D583" s="11" t="s">
        <v>32</v>
      </c>
      <c r="E583" s="11" t="s">
        <v>784</v>
      </c>
      <c r="F583" s="11" t="s">
        <v>74</v>
      </c>
      <c r="G583" s="11" t="s">
        <v>626</v>
      </c>
      <c r="H583" s="11" t="s">
        <v>24</v>
      </c>
      <c r="I583" s="11" t="s">
        <v>113</v>
      </c>
      <c r="J583" s="11" t="s">
        <v>269</v>
      </c>
      <c r="K583" s="11" t="n">
        <v>2</v>
      </c>
      <c r="L583" s="15" t="n">
        <v>11932.31</v>
      </c>
      <c r="M583" s="11" t="n">
        <v>15</v>
      </c>
      <c r="N583" s="15" t="n">
        <v>23864.62</v>
      </c>
      <c r="O583" s="15" t="n">
        <v>3579.69</v>
      </c>
      <c r="P583" s="15" t="n">
        <v>20284.93</v>
      </c>
      <c r="Q583" s="15" t="n">
        <v>0</v>
      </c>
      <c r="R583" s="11" t="n">
        <v>0</v>
      </c>
      <c r="S583" s="15" t="n">
        <f aca="false">P583-Q583</f>
        <v>20284.93</v>
      </c>
      <c r="T583" s="11" t="n">
        <f aca="false">IF(OR(J583="Completed",J583="Returned"),1,0)</f>
        <v>1</v>
      </c>
    </row>
    <row r="584" customFormat="false" ht="15" hidden="false" customHeight="false" outlineLevel="0" collapsed="false">
      <c r="A584" s="11" t="s">
        <v>1490</v>
      </c>
      <c r="B584" s="11" t="s">
        <v>486</v>
      </c>
      <c r="C584" s="24" t="n">
        <v>45298</v>
      </c>
      <c r="D584" s="11" t="s">
        <v>32</v>
      </c>
      <c r="E584" s="11" t="s">
        <v>784</v>
      </c>
      <c r="F584" s="11" t="s">
        <v>74</v>
      </c>
      <c r="G584" s="11" t="s">
        <v>805</v>
      </c>
      <c r="H584" s="11" t="s">
        <v>21</v>
      </c>
      <c r="I584" s="11" t="s">
        <v>113</v>
      </c>
      <c r="J584" s="11" t="s">
        <v>269</v>
      </c>
      <c r="K584" s="11" t="n">
        <v>1</v>
      </c>
      <c r="L584" s="15" t="n">
        <v>23243.35</v>
      </c>
      <c r="M584" s="11" t="n">
        <v>0</v>
      </c>
      <c r="N584" s="15" t="n">
        <v>23243.35</v>
      </c>
      <c r="O584" s="15" t="n">
        <v>0</v>
      </c>
      <c r="P584" s="15" t="n">
        <v>23243.35</v>
      </c>
      <c r="Q584" s="15" t="n">
        <v>0</v>
      </c>
      <c r="R584" s="11" t="n">
        <v>0</v>
      </c>
      <c r="S584" s="15" t="n">
        <f aca="false">P584-Q584</f>
        <v>23243.35</v>
      </c>
      <c r="T584" s="11" t="n">
        <f aca="false">IF(OR(J584="Completed",J584="Returned"),1,0)</f>
        <v>1</v>
      </c>
    </row>
    <row r="585" customFormat="false" ht="15" hidden="false" customHeight="false" outlineLevel="0" collapsed="false">
      <c r="A585" s="11" t="s">
        <v>1491</v>
      </c>
      <c r="B585" s="11" t="s">
        <v>481</v>
      </c>
      <c r="C585" s="24" t="n">
        <v>45867</v>
      </c>
      <c r="D585" s="11" t="s">
        <v>50</v>
      </c>
      <c r="E585" s="11" t="s">
        <v>1492</v>
      </c>
      <c r="F585" s="11" t="s">
        <v>70</v>
      </c>
      <c r="G585" s="11" t="s">
        <v>133</v>
      </c>
      <c r="H585" s="11" t="s">
        <v>21</v>
      </c>
      <c r="I585" s="11" t="s">
        <v>114</v>
      </c>
      <c r="J585" s="11" t="s">
        <v>269</v>
      </c>
      <c r="K585" s="11" t="n">
        <v>2</v>
      </c>
      <c r="L585" s="15" t="n">
        <v>15706.03</v>
      </c>
      <c r="M585" s="11" t="n">
        <v>15</v>
      </c>
      <c r="N585" s="15" t="n">
        <v>31412.06</v>
      </c>
      <c r="O585" s="15" t="n">
        <v>4711.81</v>
      </c>
      <c r="P585" s="15" t="n">
        <v>26700.25</v>
      </c>
      <c r="Q585" s="15" t="n">
        <v>0</v>
      </c>
      <c r="R585" s="11" t="n">
        <v>0</v>
      </c>
      <c r="S585" s="15" t="n">
        <f aca="false">P585-Q585</f>
        <v>26700.25</v>
      </c>
      <c r="T585" s="11" t="n">
        <f aca="false">IF(OR(J585="Completed",J585="Returned"),1,0)</f>
        <v>1</v>
      </c>
    </row>
    <row r="586" customFormat="false" ht="15" hidden="false" customHeight="false" outlineLevel="0" collapsed="false">
      <c r="A586" s="11" t="s">
        <v>1493</v>
      </c>
      <c r="B586" s="11" t="s">
        <v>481</v>
      </c>
      <c r="C586" s="24" t="n">
        <v>45867</v>
      </c>
      <c r="D586" s="11" t="s">
        <v>50</v>
      </c>
      <c r="E586" s="11" t="s">
        <v>1492</v>
      </c>
      <c r="F586" s="11" t="s">
        <v>70</v>
      </c>
      <c r="G586" s="11" t="s">
        <v>886</v>
      </c>
      <c r="H586" s="11" t="s">
        <v>21</v>
      </c>
      <c r="I586" s="11" t="s">
        <v>114</v>
      </c>
      <c r="J586" s="11" t="s">
        <v>269</v>
      </c>
      <c r="K586" s="11" t="n">
        <v>3</v>
      </c>
      <c r="L586" s="15" t="n">
        <v>25201.06</v>
      </c>
      <c r="M586" s="11" t="n">
        <v>15</v>
      </c>
      <c r="N586" s="15" t="n">
        <v>75603.18</v>
      </c>
      <c r="O586" s="15" t="n">
        <v>11340.48</v>
      </c>
      <c r="P586" s="15" t="n">
        <v>64262.7</v>
      </c>
      <c r="Q586" s="15" t="n">
        <v>0</v>
      </c>
      <c r="R586" s="11" t="n">
        <v>0</v>
      </c>
      <c r="S586" s="15" t="n">
        <f aca="false">P586-Q586</f>
        <v>64262.7</v>
      </c>
      <c r="T586" s="11" t="n">
        <f aca="false">IF(OR(J586="Completed",J586="Returned"),1,0)</f>
        <v>1</v>
      </c>
    </row>
    <row r="587" customFormat="false" ht="15" hidden="false" customHeight="false" outlineLevel="0" collapsed="false">
      <c r="A587" s="11" t="s">
        <v>1494</v>
      </c>
      <c r="B587" s="11" t="s">
        <v>545</v>
      </c>
      <c r="C587" s="24" t="n">
        <v>45417</v>
      </c>
      <c r="D587" s="11" t="s">
        <v>36</v>
      </c>
      <c r="E587" s="11" t="s">
        <v>925</v>
      </c>
      <c r="F587" s="11" t="s">
        <v>82</v>
      </c>
      <c r="G587" s="11" t="s">
        <v>781</v>
      </c>
      <c r="H587" s="11" t="s">
        <v>21</v>
      </c>
      <c r="I587" s="11" t="s">
        <v>115</v>
      </c>
      <c r="J587" s="11" t="s">
        <v>250</v>
      </c>
      <c r="K587" s="11" t="n">
        <v>5</v>
      </c>
      <c r="L587" s="15" t="n">
        <v>3962.52</v>
      </c>
      <c r="M587" s="11" t="n">
        <v>15</v>
      </c>
      <c r="N587" s="15" t="n">
        <v>19812.6</v>
      </c>
      <c r="O587" s="15" t="n">
        <v>2971.89</v>
      </c>
      <c r="P587" s="15" t="n">
        <v>16840.71</v>
      </c>
      <c r="Q587" s="15" t="n">
        <v>0</v>
      </c>
      <c r="R587" s="11" t="n">
        <v>0</v>
      </c>
      <c r="S587" s="15" t="n">
        <f aca="false">P587-Q587</f>
        <v>16840.71</v>
      </c>
      <c r="T587" s="11" t="n">
        <f aca="false">IF(OR(J587="Completed",J587="Returned"),1,0)</f>
        <v>0</v>
      </c>
    </row>
    <row r="588" customFormat="false" ht="15" hidden="false" customHeight="false" outlineLevel="0" collapsed="false">
      <c r="A588" s="11" t="s">
        <v>1495</v>
      </c>
      <c r="B588" s="11" t="s">
        <v>545</v>
      </c>
      <c r="C588" s="24" t="n">
        <v>45417</v>
      </c>
      <c r="D588" s="11" t="s">
        <v>36</v>
      </c>
      <c r="E588" s="11" t="s">
        <v>925</v>
      </c>
      <c r="F588" s="11" t="s">
        <v>82</v>
      </c>
      <c r="G588" s="11" t="s">
        <v>143</v>
      </c>
      <c r="H588" s="11" t="s">
        <v>23</v>
      </c>
      <c r="I588" s="11" t="s">
        <v>115</v>
      </c>
      <c r="J588" s="11" t="s">
        <v>250</v>
      </c>
      <c r="K588" s="11" t="n">
        <v>3</v>
      </c>
      <c r="L588" s="15" t="n">
        <v>8318.56</v>
      </c>
      <c r="M588" s="11" t="n">
        <v>0</v>
      </c>
      <c r="N588" s="15" t="n">
        <v>24955.68</v>
      </c>
      <c r="O588" s="15" t="n">
        <v>0</v>
      </c>
      <c r="P588" s="15" t="n">
        <v>24955.68</v>
      </c>
      <c r="Q588" s="15" t="n">
        <v>0</v>
      </c>
      <c r="R588" s="11" t="n">
        <v>0</v>
      </c>
      <c r="S588" s="15" t="n">
        <f aca="false">P588-Q588</f>
        <v>24955.68</v>
      </c>
      <c r="T588" s="11" t="n">
        <f aca="false">IF(OR(J588="Completed",J588="Returned"),1,0)</f>
        <v>0</v>
      </c>
    </row>
    <row r="589" customFormat="false" ht="15" hidden="false" customHeight="false" outlineLevel="0" collapsed="false">
      <c r="A589" s="11" t="s">
        <v>1496</v>
      </c>
      <c r="B589" s="11" t="s">
        <v>545</v>
      </c>
      <c r="C589" s="24" t="n">
        <v>45417</v>
      </c>
      <c r="D589" s="11" t="s">
        <v>36</v>
      </c>
      <c r="E589" s="11" t="s">
        <v>925</v>
      </c>
      <c r="F589" s="11" t="s">
        <v>82</v>
      </c>
      <c r="G589" s="11" t="s">
        <v>631</v>
      </c>
      <c r="H589" s="11" t="s">
        <v>24</v>
      </c>
      <c r="I589" s="11" t="s">
        <v>115</v>
      </c>
      <c r="J589" s="11" t="s">
        <v>250</v>
      </c>
      <c r="K589" s="11" t="n">
        <v>3</v>
      </c>
      <c r="L589" s="15" t="n">
        <v>11518.86</v>
      </c>
      <c r="M589" s="11" t="n">
        <v>0</v>
      </c>
      <c r="N589" s="15" t="n">
        <v>34556.58</v>
      </c>
      <c r="O589" s="15" t="n">
        <v>0</v>
      </c>
      <c r="P589" s="15" t="n">
        <v>34556.58</v>
      </c>
      <c r="Q589" s="15" t="n">
        <v>0</v>
      </c>
      <c r="R589" s="11" t="n">
        <v>0</v>
      </c>
      <c r="S589" s="15" t="n">
        <f aca="false">P589-Q589</f>
        <v>34556.58</v>
      </c>
      <c r="T589" s="11" t="n">
        <f aca="false">IF(OR(J589="Completed",J589="Returned"),1,0)</f>
        <v>0</v>
      </c>
    </row>
    <row r="590" customFormat="false" ht="15" hidden="false" customHeight="false" outlineLevel="0" collapsed="false">
      <c r="A590" s="11" t="s">
        <v>1497</v>
      </c>
      <c r="B590" s="11" t="s">
        <v>545</v>
      </c>
      <c r="C590" s="24" t="n">
        <v>45417</v>
      </c>
      <c r="D590" s="11" t="s">
        <v>36</v>
      </c>
      <c r="E590" s="11" t="s">
        <v>925</v>
      </c>
      <c r="F590" s="11" t="s">
        <v>82</v>
      </c>
      <c r="G590" s="11" t="s">
        <v>635</v>
      </c>
      <c r="H590" s="11" t="s">
        <v>22</v>
      </c>
      <c r="I590" s="11" t="s">
        <v>115</v>
      </c>
      <c r="J590" s="11" t="s">
        <v>250</v>
      </c>
      <c r="K590" s="11" t="n">
        <v>4</v>
      </c>
      <c r="L590" s="15" t="n">
        <v>7877.61</v>
      </c>
      <c r="M590" s="11" t="n">
        <v>0</v>
      </c>
      <c r="N590" s="15" t="n">
        <v>31510.44</v>
      </c>
      <c r="O590" s="15" t="n">
        <v>0</v>
      </c>
      <c r="P590" s="15" t="n">
        <v>31510.44</v>
      </c>
      <c r="Q590" s="15" t="n">
        <v>0</v>
      </c>
      <c r="R590" s="11" t="n">
        <v>0</v>
      </c>
      <c r="S590" s="15" t="n">
        <f aca="false">P590-Q590</f>
        <v>31510.44</v>
      </c>
      <c r="T590" s="11" t="n">
        <f aca="false">IF(OR(J590="Completed",J590="Returned"),1,0)</f>
        <v>0</v>
      </c>
    </row>
    <row r="591" customFormat="false" ht="15" hidden="false" customHeight="false" outlineLevel="0" collapsed="false">
      <c r="A591" s="11" t="s">
        <v>1498</v>
      </c>
      <c r="B591" s="11" t="s">
        <v>575</v>
      </c>
      <c r="C591" s="24" t="n">
        <v>45373</v>
      </c>
      <c r="D591" s="11" t="s">
        <v>34</v>
      </c>
      <c r="E591" s="11" t="s">
        <v>1499</v>
      </c>
      <c r="F591" s="11" t="s">
        <v>70</v>
      </c>
      <c r="G591" s="11" t="s">
        <v>150</v>
      </c>
      <c r="H591" s="11" t="s">
        <v>22</v>
      </c>
      <c r="I591" s="11" t="s">
        <v>114</v>
      </c>
      <c r="J591" s="11" t="s">
        <v>246</v>
      </c>
      <c r="K591" s="11" t="n">
        <v>5</v>
      </c>
      <c r="L591" s="15" t="n">
        <v>21978.46</v>
      </c>
      <c r="M591" s="11" t="n">
        <v>0</v>
      </c>
      <c r="N591" s="15" t="n">
        <v>109892.3</v>
      </c>
      <c r="O591" s="15" t="n">
        <v>0</v>
      </c>
      <c r="P591" s="15" t="n">
        <v>109892.3</v>
      </c>
      <c r="Q591" s="15" t="n">
        <v>0</v>
      </c>
      <c r="R591" s="11" t="n">
        <v>0</v>
      </c>
      <c r="S591" s="15" t="n">
        <f aca="false">P591-Q591</f>
        <v>109892.3</v>
      </c>
      <c r="T591" s="11" t="n">
        <f aca="false">IF(OR(J591="Completed",J591="Returned"),1,0)</f>
        <v>0</v>
      </c>
    </row>
    <row r="592" customFormat="false" ht="15" hidden="false" customHeight="false" outlineLevel="0" collapsed="false">
      <c r="A592" s="11" t="s">
        <v>1500</v>
      </c>
      <c r="B592" s="11" t="s">
        <v>485</v>
      </c>
      <c r="C592" s="24" t="n">
        <v>45653</v>
      </c>
      <c r="D592" s="11" t="s">
        <v>43</v>
      </c>
      <c r="E592" s="11" t="s">
        <v>1420</v>
      </c>
      <c r="F592" s="11" t="s">
        <v>70</v>
      </c>
      <c r="G592" s="11" t="s">
        <v>635</v>
      </c>
      <c r="H592" s="11" t="s">
        <v>22</v>
      </c>
      <c r="I592" s="11" t="s">
        <v>115</v>
      </c>
      <c r="J592" s="11" t="s">
        <v>242</v>
      </c>
      <c r="K592" s="11" t="n">
        <v>5</v>
      </c>
      <c r="L592" s="15" t="n">
        <v>7877.61</v>
      </c>
      <c r="M592" s="11" t="n">
        <v>5</v>
      </c>
      <c r="N592" s="15" t="n">
        <v>39388.05</v>
      </c>
      <c r="O592" s="15" t="n">
        <v>1969.4</v>
      </c>
      <c r="P592" s="15" t="n">
        <v>37418.65</v>
      </c>
      <c r="Q592" s="15" t="n">
        <v>0</v>
      </c>
      <c r="R592" s="11" t="n">
        <v>0</v>
      </c>
      <c r="S592" s="15" t="n">
        <f aca="false">P592-Q592</f>
        <v>37418.65</v>
      </c>
      <c r="T592" s="11" t="n">
        <f aca="false">IF(OR(J592="Completed",J592="Returned"),1,0)</f>
        <v>1</v>
      </c>
    </row>
    <row r="593" customFormat="false" ht="15" hidden="false" customHeight="false" outlineLevel="0" collapsed="false">
      <c r="A593" s="11" t="s">
        <v>1501</v>
      </c>
      <c r="B593" s="11" t="s">
        <v>485</v>
      </c>
      <c r="C593" s="24" t="n">
        <v>45653</v>
      </c>
      <c r="D593" s="11" t="s">
        <v>43</v>
      </c>
      <c r="E593" s="11" t="s">
        <v>1420</v>
      </c>
      <c r="F593" s="11" t="s">
        <v>70</v>
      </c>
      <c r="G593" s="11" t="s">
        <v>803</v>
      </c>
      <c r="H593" s="11" t="s">
        <v>25</v>
      </c>
      <c r="I593" s="11" t="s">
        <v>115</v>
      </c>
      <c r="J593" s="11" t="s">
        <v>242</v>
      </c>
      <c r="K593" s="11" t="n">
        <v>2</v>
      </c>
      <c r="L593" s="15" t="n">
        <v>20278.89</v>
      </c>
      <c r="M593" s="11" t="n">
        <v>5</v>
      </c>
      <c r="N593" s="15" t="n">
        <v>40557.78</v>
      </c>
      <c r="O593" s="15" t="n">
        <v>2027.89</v>
      </c>
      <c r="P593" s="15" t="n">
        <v>38529.89</v>
      </c>
      <c r="Q593" s="15" t="n">
        <v>0</v>
      </c>
      <c r="R593" s="11" t="n">
        <v>0</v>
      </c>
      <c r="S593" s="15" t="n">
        <f aca="false">P593-Q593</f>
        <v>38529.89</v>
      </c>
      <c r="T593" s="11" t="n">
        <f aca="false">IF(OR(J593="Completed",J593="Returned"),1,0)</f>
        <v>1</v>
      </c>
    </row>
    <row r="594" customFormat="false" ht="15" hidden="false" customHeight="false" outlineLevel="0" collapsed="false">
      <c r="A594" s="11" t="s">
        <v>1502</v>
      </c>
      <c r="B594" s="11" t="s">
        <v>295</v>
      </c>
      <c r="C594" s="24" t="n">
        <v>45310</v>
      </c>
      <c r="D594" s="11" t="s">
        <v>32</v>
      </c>
      <c r="E594" s="11" t="s">
        <v>1503</v>
      </c>
      <c r="F594" s="11" t="s">
        <v>82</v>
      </c>
      <c r="G594" s="11" t="s">
        <v>981</v>
      </c>
      <c r="H594" s="11" t="s">
        <v>21</v>
      </c>
      <c r="I594" s="11" t="s">
        <v>114</v>
      </c>
      <c r="J594" s="11" t="s">
        <v>250</v>
      </c>
      <c r="K594" s="11" t="n">
        <v>4</v>
      </c>
      <c r="L594" s="15" t="n">
        <v>19552.29</v>
      </c>
      <c r="M594" s="11" t="n">
        <v>10</v>
      </c>
      <c r="N594" s="15" t="n">
        <v>78209.16</v>
      </c>
      <c r="O594" s="15" t="n">
        <v>7820.92</v>
      </c>
      <c r="P594" s="15" t="n">
        <v>70388.24</v>
      </c>
      <c r="Q594" s="15" t="n">
        <v>0</v>
      </c>
      <c r="R594" s="11" t="n">
        <v>0</v>
      </c>
      <c r="S594" s="15" t="n">
        <f aca="false">P594-Q594</f>
        <v>70388.24</v>
      </c>
      <c r="T594" s="11" t="n">
        <f aca="false">IF(OR(J594="Completed",J594="Returned"),1,0)</f>
        <v>0</v>
      </c>
    </row>
    <row r="595" customFormat="false" ht="15" hidden="false" customHeight="false" outlineLevel="0" collapsed="false">
      <c r="A595" s="11" t="s">
        <v>1504</v>
      </c>
      <c r="B595" s="11" t="s">
        <v>295</v>
      </c>
      <c r="C595" s="24" t="n">
        <v>45310</v>
      </c>
      <c r="D595" s="11" t="s">
        <v>32</v>
      </c>
      <c r="E595" s="11" t="s">
        <v>1503</v>
      </c>
      <c r="F595" s="11" t="s">
        <v>82</v>
      </c>
      <c r="G595" s="11" t="s">
        <v>625</v>
      </c>
      <c r="H595" s="11" t="s">
        <v>21</v>
      </c>
      <c r="I595" s="11" t="s">
        <v>114</v>
      </c>
      <c r="J595" s="11" t="s">
        <v>250</v>
      </c>
      <c r="K595" s="11" t="n">
        <v>5</v>
      </c>
      <c r="L595" s="15" t="n">
        <v>15176.98</v>
      </c>
      <c r="M595" s="11" t="n">
        <v>20</v>
      </c>
      <c r="N595" s="15" t="n">
        <v>75884.9</v>
      </c>
      <c r="O595" s="15" t="n">
        <v>15176.98</v>
      </c>
      <c r="P595" s="15" t="n">
        <v>60707.92</v>
      </c>
      <c r="Q595" s="15" t="n">
        <v>0</v>
      </c>
      <c r="R595" s="11" t="n">
        <v>0</v>
      </c>
      <c r="S595" s="15" t="n">
        <f aca="false">P595-Q595</f>
        <v>60707.92</v>
      </c>
      <c r="T595" s="11" t="n">
        <f aca="false">IF(OR(J595="Completed",J595="Returned"),1,0)</f>
        <v>0</v>
      </c>
    </row>
    <row r="596" customFormat="false" ht="15" hidden="false" customHeight="false" outlineLevel="0" collapsed="false">
      <c r="A596" s="11" t="s">
        <v>1505</v>
      </c>
      <c r="B596" s="11" t="s">
        <v>295</v>
      </c>
      <c r="C596" s="24" t="n">
        <v>45310</v>
      </c>
      <c r="D596" s="11" t="s">
        <v>32</v>
      </c>
      <c r="E596" s="11" t="s">
        <v>1503</v>
      </c>
      <c r="F596" s="11" t="s">
        <v>82</v>
      </c>
      <c r="G596" s="11" t="s">
        <v>605</v>
      </c>
      <c r="H596" s="11" t="s">
        <v>24</v>
      </c>
      <c r="I596" s="11" t="s">
        <v>114</v>
      </c>
      <c r="J596" s="11" t="s">
        <v>250</v>
      </c>
      <c r="K596" s="11" t="n">
        <v>2</v>
      </c>
      <c r="L596" s="15" t="n">
        <v>5818.64</v>
      </c>
      <c r="M596" s="11" t="n">
        <v>10</v>
      </c>
      <c r="N596" s="15" t="n">
        <v>11637.28</v>
      </c>
      <c r="O596" s="15" t="n">
        <v>1163.73</v>
      </c>
      <c r="P596" s="15" t="n">
        <v>10473.55</v>
      </c>
      <c r="Q596" s="15" t="n">
        <v>0</v>
      </c>
      <c r="R596" s="11" t="n">
        <v>0</v>
      </c>
      <c r="S596" s="15" t="n">
        <f aca="false">P596-Q596</f>
        <v>10473.55</v>
      </c>
      <c r="T596" s="11" t="n">
        <f aca="false">IF(OR(J596="Completed",J596="Returned"),1,0)</f>
        <v>0</v>
      </c>
    </row>
    <row r="597" customFormat="false" ht="15" hidden="false" customHeight="false" outlineLevel="0" collapsed="false">
      <c r="A597" s="11" t="s">
        <v>1506</v>
      </c>
      <c r="B597" s="11" t="s">
        <v>464</v>
      </c>
      <c r="C597" s="24" t="n">
        <v>44452</v>
      </c>
      <c r="D597" s="11" t="s">
        <v>30</v>
      </c>
      <c r="E597" s="11" t="s">
        <v>819</v>
      </c>
      <c r="F597" s="11" t="s">
        <v>82</v>
      </c>
      <c r="G597" s="11" t="s">
        <v>603</v>
      </c>
      <c r="H597" s="11" t="s">
        <v>23</v>
      </c>
      <c r="I597" s="11" t="s">
        <v>113</v>
      </c>
      <c r="J597" s="11" t="s">
        <v>269</v>
      </c>
      <c r="K597" s="11" t="n">
        <v>4</v>
      </c>
      <c r="L597" s="15" t="n">
        <v>15622.68</v>
      </c>
      <c r="M597" s="11" t="n">
        <v>10</v>
      </c>
      <c r="N597" s="15" t="n">
        <v>62490.72</v>
      </c>
      <c r="O597" s="15" t="n">
        <v>6249.07</v>
      </c>
      <c r="P597" s="15" t="n">
        <v>56241.65</v>
      </c>
      <c r="Q597" s="15" t="n">
        <v>0</v>
      </c>
      <c r="R597" s="11" t="n">
        <v>0</v>
      </c>
      <c r="S597" s="15" t="n">
        <f aca="false">P597-Q597</f>
        <v>56241.65</v>
      </c>
      <c r="T597" s="11" t="n">
        <f aca="false">IF(OR(J597="Completed",J597="Returned"),1,0)</f>
        <v>1</v>
      </c>
    </row>
    <row r="598" customFormat="false" ht="15" hidden="false" customHeight="false" outlineLevel="0" collapsed="false">
      <c r="A598" s="11" t="s">
        <v>1507</v>
      </c>
      <c r="B598" s="11" t="s">
        <v>464</v>
      </c>
      <c r="C598" s="24" t="n">
        <v>44452</v>
      </c>
      <c r="D598" s="11" t="s">
        <v>30</v>
      </c>
      <c r="E598" s="11" t="s">
        <v>819</v>
      </c>
      <c r="F598" s="11" t="s">
        <v>82</v>
      </c>
      <c r="G598" s="11" t="s">
        <v>633</v>
      </c>
      <c r="H598" s="11" t="s">
        <v>22</v>
      </c>
      <c r="I598" s="11" t="s">
        <v>113</v>
      </c>
      <c r="J598" s="11" t="s">
        <v>269</v>
      </c>
      <c r="K598" s="11" t="n">
        <v>3</v>
      </c>
      <c r="L598" s="15" t="n">
        <v>4574.41</v>
      </c>
      <c r="M598" s="11" t="n">
        <v>5</v>
      </c>
      <c r="N598" s="15" t="n">
        <v>13723.23</v>
      </c>
      <c r="O598" s="15" t="n">
        <v>686.16</v>
      </c>
      <c r="P598" s="15" t="n">
        <v>13037.07</v>
      </c>
      <c r="Q598" s="15" t="n">
        <v>0</v>
      </c>
      <c r="R598" s="11" t="n">
        <v>0</v>
      </c>
      <c r="S598" s="15" t="n">
        <f aca="false">P598-Q598</f>
        <v>13037.07</v>
      </c>
      <c r="T598" s="11" t="n">
        <f aca="false">IF(OR(J598="Completed",J598="Returned"),1,0)</f>
        <v>1</v>
      </c>
    </row>
    <row r="599" customFormat="false" ht="15" hidden="false" customHeight="false" outlineLevel="0" collapsed="false">
      <c r="A599" s="11" t="s">
        <v>1508</v>
      </c>
      <c r="B599" s="11" t="s">
        <v>437</v>
      </c>
      <c r="C599" s="24" t="n">
        <v>45674</v>
      </c>
      <c r="D599" s="11" t="s">
        <v>44</v>
      </c>
      <c r="E599" s="11" t="s">
        <v>1161</v>
      </c>
      <c r="F599" s="11" t="s">
        <v>78</v>
      </c>
      <c r="G599" s="11" t="s">
        <v>141</v>
      </c>
      <c r="H599" s="11" t="s">
        <v>24</v>
      </c>
      <c r="I599" s="11" t="s">
        <v>115</v>
      </c>
      <c r="J599" s="11" t="s">
        <v>269</v>
      </c>
      <c r="K599" s="11" t="n">
        <v>3</v>
      </c>
      <c r="L599" s="15" t="n">
        <v>20481.04</v>
      </c>
      <c r="M599" s="11" t="n">
        <v>10</v>
      </c>
      <c r="N599" s="15" t="n">
        <v>61443.12</v>
      </c>
      <c r="O599" s="15" t="n">
        <v>6144.31</v>
      </c>
      <c r="P599" s="15" t="n">
        <v>55298.81</v>
      </c>
      <c r="Q599" s="15" t="n">
        <v>0</v>
      </c>
      <c r="R599" s="11" t="n">
        <v>0</v>
      </c>
      <c r="S599" s="15" t="n">
        <f aca="false">P599-Q599</f>
        <v>55298.81</v>
      </c>
      <c r="T599" s="11" t="n">
        <f aca="false">IF(OR(J599="Completed",J599="Returned"),1,0)</f>
        <v>1</v>
      </c>
    </row>
    <row r="600" customFormat="false" ht="15" hidden="false" customHeight="false" outlineLevel="0" collapsed="false">
      <c r="A600" s="11" t="s">
        <v>1509</v>
      </c>
      <c r="B600" s="11" t="s">
        <v>580</v>
      </c>
      <c r="C600" s="24" t="n">
        <v>45785</v>
      </c>
      <c r="D600" s="11" t="s">
        <v>48</v>
      </c>
      <c r="E600" s="11" t="s">
        <v>1307</v>
      </c>
      <c r="F600" s="11" t="s">
        <v>70</v>
      </c>
      <c r="G600" s="11" t="s">
        <v>607</v>
      </c>
      <c r="H600" s="11" t="s">
        <v>22</v>
      </c>
      <c r="I600" s="11" t="s">
        <v>114</v>
      </c>
      <c r="J600" s="11" t="s">
        <v>242</v>
      </c>
      <c r="K600" s="11" t="n">
        <v>4</v>
      </c>
      <c r="L600" s="15" t="n">
        <v>11569.57</v>
      </c>
      <c r="M600" s="11" t="n">
        <v>15</v>
      </c>
      <c r="N600" s="15" t="n">
        <v>46278.28</v>
      </c>
      <c r="O600" s="15" t="n">
        <v>6941.74</v>
      </c>
      <c r="P600" s="15" t="n">
        <v>39336.54</v>
      </c>
      <c r="Q600" s="15" t="n">
        <v>0</v>
      </c>
      <c r="R600" s="11" t="n">
        <v>0</v>
      </c>
      <c r="S600" s="15" t="n">
        <f aca="false">P600-Q600</f>
        <v>39336.54</v>
      </c>
      <c r="T600" s="11" t="n">
        <f aca="false">IF(OR(J600="Completed",J600="Returned"),1,0)</f>
        <v>1</v>
      </c>
    </row>
    <row r="601" customFormat="false" ht="15" hidden="false" customHeight="false" outlineLevel="0" collapsed="false">
      <c r="A601" s="11" t="s">
        <v>1510</v>
      </c>
      <c r="B601" s="11" t="s">
        <v>580</v>
      </c>
      <c r="C601" s="24" t="n">
        <v>45785</v>
      </c>
      <c r="D601" s="11" t="s">
        <v>48</v>
      </c>
      <c r="E601" s="11" t="s">
        <v>1307</v>
      </c>
      <c r="F601" s="11" t="s">
        <v>70</v>
      </c>
      <c r="G601" s="11" t="s">
        <v>619</v>
      </c>
      <c r="H601" s="11" t="s">
        <v>23</v>
      </c>
      <c r="I601" s="11" t="s">
        <v>114</v>
      </c>
      <c r="J601" s="11" t="s">
        <v>242</v>
      </c>
      <c r="K601" s="11" t="n">
        <v>4</v>
      </c>
      <c r="L601" s="15" t="n">
        <v>20550.39</v>
      </c>
      <c r="M601" s="11" t="n">
        <v>10</v>
      </c>
      <c r="N601" s="15" t="n">
        <v>82201.56</v>
      </c>
      <c r="O601" s="15" t="n">
        <v>8220.16</v>
      </c>
      <c r="P601" s="15" t="n">
        <v>73981.4</v>
      </c>
      <c r="Q601" s="15" t="n">
        <v>0</v>
      </c>
      <c r="R601" s="11" t="n">
        <v>0</v>
      </c>
      <c r="S601" s="15" t="n">
        <f aca="false">P601-Q601</f>
        <v>73981.4</v>
      </c>
      <c r="T601" s="11" t="n">
        <f aca="false">IF(OR(J601="Completed",J601="Returned"),1,0)</f>
        <v>1</v>
      </c>
    </row>
    <row r="602" customFormat="false" ht="15" hidden="false" customHeight="false" outlineLevel="0" collapsed="false">
      <c r="A602" s="11" t="s">
        <v>1511</v>
      </c>
      <c r="B602" s="11" t="s">
        <v>580</v>
      </c>
      <c r="C602" s="24" t="n">
        <v>45785</v>
      </c>
      <c r="D602" s="11" t="s">
        <v>48</v>
      </c>
      <c r="E602" s="11" t="s">
        <v>1307</v>
      </c>
      <c r="F602" s="11" t="s">
        <v>70</v>
      </c>
      <c r="G602" s="11" t="s">
        <v>957</v>
      </c>
      <c r="H602" s="11" t="s">
        <v>23</v>
      </c>
      <c r="I602" s="11" t="s">
        <v>114</v>
      </c>
      <c r="J602" s="11" t="s">
        <v>242</v>
      </c>
      <c r="K602" s="11" t="n">
        <v>4</v>
      </c>
      <c r="L602" s="15" t="n">
        <v>1741.05</v>
      </c>
      <c r="M602" s="11" t="n">
        <v>5</v>
      </c>
      <c r="N602" s="15" t="n">
        <v>6964.2</v>
      </c>
      <c r="O602" s="15" t="n">
        <v>348.21</v>
      </c>
      <c r="P602" s="15" t="n">
        <v>6615.99</v>
      </c>
      <c r="Q602" s="15" t="n">
        <v>6474.73</v>
      </c>
      <c r="R602" s="11" t="n">
        <v>4</v>
      </c>
      <c r="S602" s="15" t="n">
        <f aca="false">P602-Q602</f>
        <v>141.26</v>
      </c>
      <c r="T602" s="11" t="n">
        <f aca="false">IF(OR(J602="Completed",J602="Returned"),1,0)</f>
        <v>1</v>
      </c>
    </row>
    <row r="603" customFormat="false" ht="15" hidden="false" customHeight="false" outlineLevel="0" collapsed="false">
      <c r="A603" s="11" t="s">
        <v>1512</v>
      </c>
      <c r="B603" s="11" t="s">
        <v>564</v>
      </c>
      <c r="C603" s="24" t="n">
        <v>45512</v>
      </c>
      <c r="D603" s="11" t="s">
        <v>39</v>
      </c>
      <c r="E603" s="11" t="s">
        <v>68</v>
      </c>
      <c r="F603" s="11" t="s">
        <v>70</v>
      </c>
      <c r="G603" s="11" t="s">
        <v>886</v>
      </c>
      <c r="H603" s="11" t="s">
        <v>21</v>
      </c>
      <c r="I603" s="11" t="s">
        <v>115</v>
      </c>
      <c r="J603" s="11" t="s">
        <v>242</v>
      </c>
      <c r="K603" s="11" t="n">
        <v>4</v>
      </c>
      <c r="L603" s="15" t="n">
        <v>25201.06</v>
      </c>
      <c r="M603" s="11" t="n">
        <v>0</v>
      </c>
      <c r="N603" s="15" t="n">
        <v>100804.24</v>
      </c>
      <c r="O603" s="15" t="n">
        <v>0</v>
      </c>
      <c r="P603" s="15" t="n">
        <v>100804.24</v>
      </c>
      <c r="Q603" s="15" t="n">
        <v>0</v>
      </c>
      <c r="R603" s="11" t="n">
        <v>0</v>
      </c>
      <c r="S603" s="15" t="n">
        <f aca="false">P603-Q603</f>
        <v>100804.24</v>
      </c>
      <c r="T603" s="11" t="n">
        <f aca="false">IF(OR(J603="Completed",J603="Returned"),1,0)</f>
        <v>1</v>
      </c>
    </row>
    <row r="604" customFormat="false" ht="15" hidden="false" customHeight="false" outlineLevel="0" collapsed="false">
      <c r="A604" s="11" t="s">
        <v>1513</v>
      </c>
      <c r="B604" s="11" t="s">
        <v>564</v>
      </c>
      <c r="C604" s="24" t="n">
        <v>45512</v>
      </c>
      <c r="D604" s="11" t="s">
        <v>39</v>
      </c>
      <c r="E604" s="11" t="s">
        <v>68</v>
      </c>
      <c r="F604" s="11" t="s">
        <v>70</v>
      </c>
      <c r="G604" s="11" t="s">
        <v>859</v>
      </c>
      <c r="H604" s="11" t="s">
        <v>23</v>
      </c>
      <c r="I604" s="11" t="s">
        <v>115</v>
      </c>
      <c r="J604" s="11" t="s">
        <v>242</v>
      </c>
      <c r="K604" s="11" t="n">
        <v>3</v>
      </c>
      <c r="L604" s="15" t="n">
        <v>17485.19</v>
      </c>
      <c r="M604" s="11" t="n">
        <v>0</v>
      </c>
      <c r="N604" s="15" t="n">
        <v>52455.57</v>
      </c>
      <c r="O604" s="15" t="n">
        <v>0</v>
      </c>
      <c r="P604" s="15" t="n">
        <v>52455.57</v>
      </c>
      <c r="Q604" s="15" t="n">
        <v>0</v>
      </c>
      <c r="R604" s="11" t="n">
        <v>0</v>
      </c>
      <c r="S604" s="15" t="n">
        <f aca="false">P604-Q604</f>
        <v>52455.57</v>
      </c>
      <c r="T604" s="11" t="n">
        <f aca="false">IF(OR(J604="Completed",J604="Returned"),1,0)</f>
        <v>1</v>
      </c>
    </row>
    <row r="605" customFormat="false" ht="15" hidden="false" customHeight="false" outlineLevel="0" collapsed="false">
      <c r="A605" s="11" t="s">
        <v>1514</v>
      </c>
      <c r="B605" s="11" t="s">
        <v>564</v>
      </c>
      <c r="C605" s="24" t="n">
        <v>45512</v>
      </c>
      <c r="D605" s="11" t="s">
        <v>39</v>
      </c>
      <c r="E605" s="11" t="s">
        <v>68</v>
      </c>
      <c r="F605" s="11" t="s">
        <v>70</v>
      </c>
      <c r="G605" s="11" t="s">
        <v>970</v>
      </c>
      <c r="H605" s="11" t="s">
        <v>20</v>
      </c>
      <c r="I605" s="11" t="s">
        <v>115</v>
      </c>
      <c r="J605" s="11" t="s">
        <v>242</v>
      </c>
      <c r="K605" s="11" t="n">
        <v>5</v>
      </c>
      <c r="L605" s="15" t="n">
        <v>15383.27</v>
      </c>
      <c r="M605" s="11" t="n">
        <v>15</v>
      </c>
      <c r="N605" s="15" t="n">
        <v>76916.35</v>
      </c>
      <c r="O605" s="15" t="n">
        <v>11537.45</v>
      </c>
      <c r="P605" s="15" t="n">
        <v>65378.9</v>
      </c>
      <c r="Q605" s="15" t="n">
        <v>0</v>
      </c>
      <c r="R605" s="11" t="n">
        <v>0</v>
      </c>
      <c r="S605" s="15" t="n">
        <f aca="false">P605-Q605</f>
        <v>65378.9</v>
      </c>
      <c r="T605" s="11" t="n">
        <f aca="false">IF(OR(J605="Completed",J605="Returned"),1,0)</f>
        <v>1</v>
      </c>
    </row>
    <row r="606" customFormat="false" ht="15" hidden="false" customHeight="false" outlineLevel="0" collapsed="false">
      <c r="A606" s="11" t="s">
        <v>1515</v>
      </c>
      <c r="B606" s="11" t="s">
        <v>436</v>
      </c>
      <c r="C606" s="24" t="n">
        <v>45714</v>
      </c>
      <c r="D606" s="11" t="s">
        <v>45</v>
      </c>
      <c r="E606" s="11" t="s">
        <v>1338</v>
      </c>
      <c r="F606" s="11" t="s">
        <v>74</v>
      </c>
      <c r="G606" s="11" t="s">
        <v>883</v>
      </c>
      <c r="H606" s="11" t="s">
        <v>21</v>
      </c>
      <c r="I606" s="11" t="s">
        <v>113</v>
      </c>
      <c r="J606" s="11" t="s">
        <v>246</v>
      </c>
      <c r="K606" s="11" t="n">
        <v>1</v>
      </c>
      <c r="L606" s="15" t="n">
        <v>11175.62</v>
      </c>
      <c r="M606" s="11" t="n">
        <v>0</v>
      </c>
      <c r="N606" s="15" t="n">
        <v>11175.62</v>
      </c>
      <c r="O606" s="15" t="n">
        <v>0</v>
      </c>
      <c r="P606" s="15" t="n">
        <v>11175.62</v>
      </c>
      <c r="Q606" s="15" t="n">
        <v>0</v>
      </c>
      <c r="R606" s="11" t="n">
        <v>0</v>
      </c>
      <c r="S606" s="15" t="n">
        <f aca="false">P606-Q606</f>
        <v>11175.62</v>
      </c>
      <c r="T606" s="11" t="n">
        <f aca="false">IF(OR(J606="Completed",J606="Returned"),1,0)</f>
        <v>0</v>
      </c>
    </row>
    <row r="607" customFormat="false" ht="15" hidden="false" customHeight="false" outlineLevel="0" collapsed="false">
      <c r="A607" s="11" t="s">
        <v>1516</v>
      </c>
      <c r="B607" s="11" t="s">
        <v>397</v>
      </c>
      <c r="C607" s="24" t="n">
        <v>45608</v>
      </c>
      <c r="D607" s="11" t="s">
        <v>42</v>
      </c>
      <c r="E607" s="11" t="s">
        <v>1134</v>
      </c>
      <c r="F607" s="11" t="s">
        <v>74</v>
      </c>
      <c r="G607" s="11" t="s">
        <v>145</v>
      </c>
      <c r="H607" s="11" t="s">
        <v>20</v>
      </c>
      <c r="I607" s="11" t="s">
        <v>113</v>
      </c>
      <c r="J607" s="11" t="s">
        <v>269</v>
      </c>
      <c r="K607" s="11" t="n">
        <v>2</v>
      </c>
      <c r="L607" s="15" t="n">
        <v>20098.63</v>
      </c>
      <c r="M607" s="11" t="n">
        <v>5</v>
      </c>
      <c r="N607" s="15" t="n">
        <v>40197.26</v>
      </c>
      <c r="O607" s="15" t="n">
        <v>2009.86</v>
      </c>
      <c r="P607" s="15" t="n">
        <v>38187.4</v>
      </c>
      <c r="Q607" s="15" t="n">
        <v>0</v>
      </c>
      <c r="R607" s="11" t="n">
        <v>0</v>
      </c>
      <c r="S607" s="15" t="n">
        <f aca="false">P607-Q607</f>
        <v>38187.4</v>
      </c>
      <c r="T607" s="11" t="n">
        <f aca="false">IF(OR(J607="Completed",J607="Returned"),1,0)</f>
        <v>1</v>
      </c>
    </row>
    <row r="608" customFormat="false" ht="15" hidden="false" customHeight="false" outlineLevel="0" collapsed="false">
      <c r="A608" s="11" t="s">
        <v>1517</v>
      </c>
      <c r="B608" s="11" t="s">
        <v>541</v>
      </c>
      <c r="C608" s="24" t="n">
        <v>45718</v>
      </c>
      <c r="D608" s="11" t="s">
        <v>46</v>
      </c>
      <c r="E608" s="11" t="s">
        <v>980</v>
      </c>
      <c r="F608" s="11" t="s">
        <v>70</v>
      </c>
      <c r="G608" s="11" t="s">
        <v>154</v>
      </c>
      <c r="H608" s="11" t="s">
        <v>21</v>
      </c>
      <c r="I608" s="11" t="s">
        <v>113</v>
      </c>
      <c r="J608" s="11" t="s">
        <v>242</v>
      </c>
      <c r="K608" s="11" t="n">
        <v>3</v>
      </c>
      <c r="L608" s="15" t="n">
        <v>2260.53</v>
      </c>
      <c r="M608" s="11" t="n">
        <v>0</v>
      </c>
      <c r="N608" s="15" t="n">
        <v>6781.59</v>
      </c>
      <c r="O608" s="15" t="n">
        <v>0</v>
      </c>
      <c r="P608" s="15" t="n">
        <v>6781.59</v>
      </c>
      <c r="Q608" s="15" t="n">
        <v>0</v>
      </c>
      <c r="R608" s="11" t="n">
        <v>0</v>
      </c>
      <c r="S608" s="15" t="n">
        <f aca="false">P608-Q608</f>
        <v>6781.59</v>
      </c>
      <c r="T608" s="11" t="n">
        <f aca="false">IF(OR(J608="Completed",J608="Returned"),1,0)</f>
        <v>1</v>
      </c>
    </row>
    <row r="609" customFormat="false" ht="15" hidden="false" customHeight="false" outlineLevel="0" collapsed="false">
      <c r="A609" s="11" t="s">
        <v>1518</v>
      </c>
      <c r="B609" s="11" t="s">
        <v>541</v>
      </c>
      <c r="C609" s="24" t="n">
        <v>45718</v>
      </c>
      <c r="D609" s="11" t="s">
        <v>46</v>
      </c>
      <c r="E609" s="11" t="s">
        <v>980</v>
      </c>
      <c r="F609" s="11" t="s">
        <v>70</v>
      </c>
      <c r="G609" s="11" t="s">
        <v>141</v>
      </c>
      <c r="H609" s="11" t="s">
        <v>24</v>
      </c>
      <c r="I609" s="11" t="s">
        <v>113</v>
      </c>
      <c r="J609" s="11" t="s">
        <v>242</v>
      </c>
      <c r="K609" s="11" t="n">
        <v>5</v>
      </c>
      <c r="L609" s="15" t="n">
        <v>20481.04</v>
      </c>
      <c r="M609" s="11" t="n">
        <v>5</v>
      </c>
      <c r="N609" s="15" t="n">
        <v>102405.2</v>
      </c>
      <c r="O609" s="15" t="n">
        <v>5120.26</v>
      </c>
      <c r="P609" s="15" t="n">
        <v>97284.94</v>
      </c>
      <c r="Q609" s="15" t="n">
        <v>0</v>
      </c>
      <c r="R609" s="11" t="n">
        <v>0</v>
      </c>
      <c r="S609" s="15" t="n">
        <f aca="false">P609-Q609</f>
        <v>97284.94</v>
      </c>
      <c r="T609" s="11" t="n">
        <f aca="false">IF(OR(J609="Completed",J609="Returned"),1,0)</f>
        <v>1</v>
      </c>
    </row>
    <row r="610" customFormat="false" ht="15" hidden="false" customHeight="false" outlineLevel="0" collapsed="false">
      <c r="A610" s="11" t="s">
        <v>1519</v>
      </c>
      <c r="B610" s="11" t="s">
        <v>523</v>
      </c>
      <c r="C610" s="24" t="n">
        <v>45401</v>
      </c>
      <c r="D610" s="11" t="s">
        <v>35</v>
      </c>
      <c r="E610" s="11" t="s">
        <v>87</v>
      </c>
      <c r="F610" s="11" t="s">
        <v>82</v>
      </c>
      <c r="G610" s="11" t="s">
        <v>129</v>
      </c>
      <c r="H610" s="11" t="s">
        <v>24</v>
      </c>
      <c r="I610" s="11" t="s">
        <v>115</v>
      </c>
      <c r="J610" s="11" t="s">
        <v>242</v>
      </c>
      <c r="K610" s="11" t="n">
        <v>3</v>
      </c>
      <c r="L610" s="15" t="n">
        <v>3184.81</v>
      </c>
      <c r="M610" s="11" t="n">
        <v>10</v>
      </c>
      <c r="N610" s="15" t="n">
        <v>9554.43</v>
      </c>
      <c r="O610" s="15" t="n">
        <v>955.44</v>
      </c>
      <c r="P610" s="15" t="n">
        <v>8598.99</v>
      </c>
      <c r="Q610" s="15" t="n">
        <v>0</v>
      </c>
      <c r="R610" s="11" t="n">
        <v>0</v>
      </c>
      <c r="S610" s="15" t="n">
        <f aca="false">P610-Q610</f>
        <v>8598.99</v>
      </c>
      <c r="T610" s="11" t="n">
        <f aca="false">IF(OR(J610="Completed",J610="Returned"),1,0)</f>
        <v>1</v>
      </c>
    </row>
    <row r="611" customFormat="false" ht="15" hidden="false" customHeight="false" outlineLevel="0" collapsed="false">
      <c r="A611" s="11" t="s">
        <v>1520</v>
      </c>
      <c r="B611" s="11" t="s">
        <v>365</v>
      </c>
      <c r="C611" s="24" t="n">
        <v>45680</v>
      </c>
      <c r="D611" s="11" t="s">
        <v>44</v>
      </c>
      <c r="E611" s="11" t="s">
        <v>964</v>
      </c>
      <c r="F611" s="11" t="s">
        <v>82</v>
      </c>
      <c r="G611" s="11" t="s">
        <v>131</v>
      </c>
      <c r="H611" s="11" t="s">
        <v>22</v>
      </c>
      <c r="I611" s="11" t="s">
        <v>115</v>
      </c>
      <c r="J611" s="11" t="s">
        <v>242</v>
      </c>
      <c r="K611" s="11" t="n">
        <v>5</v>
      </c>
      <c r="L611" s="15" t="n">
        <v>11284.39</v>
      </c>
      <c r="M611" s="11" t="n">
        <v>0</v>
      </c>
      <c r="N611" s="15" t="n">
        <v>56421.95</v>
      </c>
      <c r="O611" s="15" t="n">
        <v>0</v>
      </c>
      <c r="P611" s="15" t="n">
        <v>56421.95</v>
      </c>
      <c r="Q611" s="15" t="n">
        <v>0</v>
      </c>
      <c r="R611" s="11" t="n">
        <v>0</v>
      </c>
      <c r="S611" s="15" t="n">
        <f aca="false">P611-Q611</f>
        <v>56421.95</v>
      </c>
      <c r="T611" s="11" t="n">
        <f aca="false">IF(OR(J611="Completed",J611="Returned"),1,0)</f>
        <v>1</v>
      </c>
    </row>
    <row r="612" customFormat="false" ht="15" hidden="false" customHeight="false" outlineLevel="0" collapsed="false">
      <c r="A612" s="11" t="s">
        <v>1521</v>
      </c>
      <c r="B612" s="11" t="s">
        <v>365</v>
      </c>
      <c r="C612" s="24" t="n">
        <v>45680</v>
      </c>
      <c r="D612" s="11" t="s">
        <v>44</v>
      </c>
      <c r="E612" s="11" t="s">
        <v>964</v>
      </c>
      <c r="F612" s="11" t="s">
        <v>82</v>
      </c>
      <c r="G612" s="11" t="s">
        <v>603</v>
      </c>
      <c r="H612" s="11" t="s">
        <v>23</v>
      </c>
      <c r="I612" s="11" t="s">
        <v>115</v>
      </c>
      <c r="J612" s="11" t="s">
        <v>242</v>
      </c>
      <c r="K612" s="11" t="n">
        <v>2</v>
      </c>
      <c r="L612" s="15" t="n">
        <v>15622.68</v>
      </c>
      <c r="M612" s="11" t="n">
        <v>10</v>
      </c>
      <c r="N612" s="15" t="n">
        <v>31245.36</v>
      </c>
      <c r="O612" s="15" t="n">
        <v>3124.54</v>
      </c>
      <c r="P612" s="15" t="n">
        <v>28120.82</v>
      </c>
      <c r="Q612" s="15" t="n">
        <v>23398.87</v>
      </c>
      <c r="R612" s="11" t="n">
        <v>2</v>
      </c>
      <c r="S612" s="15" t="n">
        <f aca="false">P612-Q612</f>
        <v>4721.95</v>
      </c>
      <c r="T612" s="11" t="n">
        <f aca="false">IF(OR(J612="Completed",J612="Returned"),1,0)</f>
        <v>1</v>
      </c>
    </row>
    <row r="613" customFormat="false" ht="15" hidden="false" customHeight="false" outlineLevel="0" collapsed="false">
      <c r="A613" s="11" t="s">
        <v>1522</v>
      </c>
      <c r="B613" s="11" t="s">
        <v>365</v>
      </c>
      <c r="C613" s="24" t="n">
        <v>45680</v>
      </c>
      <c r="D613" s="11" t="s">
        <v>44</v>
      </c>
      <c r="E613" s="11" t="s">
        <v>964</v>
      </c>
      <c r="F613" s="11" t="s">
        <v>82</v>
      </c>
      <c r="G613" s="11" t="s">
        <v>607</v>
      </c>
      <c r="H613" s="11" t="s">
        <v>22</v>
      </c>
      <c r="I613" s="11" t="s">
        <v>115</v>
      </c>
      <c r="J613" s="11" t="s">
        <v>242</v>
      </c>
      <c r="K613" s="11" t="n">
        <v>5</v>
      </c>
      <c r="L613" s="15" t="n">
        <v>11569.57</v>
      </c>
      <c r="M613" s="11" t="n">
        <v>10</v>
      </c>
      <c r="N613" s="15" t="n">
        <v>57847.85</v>
      </c>
      <c r="O613" s="15" t="n">
        <v>5784.78</v>
      </c>
      <c r="P613" s="15" t="n">
        <v>52063.07</v>
      </c>
      <c r="Q613" s="15" t="n">
        <v>0</v>
      </c>
      <c r="R613" s="11" t="n">
        <v>0</v>
      </c>
      <c r="S613" s="15" t="n">
        <f aca="false">P613-Q613</f>
        <v>52063.07</v>
      </c>
      <c r="T613" s="11" t="n">
        <f aca="false">IF(OR(J613="Completed",J613="Returned"),1,0)</f>
        <v>1</v>
      </c>
    </row>
    <row r="614" customFormat="false" ht="15" hidden="false" customHeight="false" outlineLevel="0" collapsed="false">
      <c r="A614" s="11" t="s">
        <v>1523</v>
      </c>
      <c r="B614" s="11" t="s">
        <v>365</v>
      </c>
      <c r="C614" s="24" t="n">
        <v>45680</v>
      </c>
      <c r="D614" s="11" t="s">
        <v>44</v>
      </c>
      <c r="E614" s="11" t="s">
        <v>964</v>
      </c>
      <c r="F614" s="11" t="s">
        <v>82</v>
      </c>
      <c r="G614" s="11" t="s">
        <v>775</v>
      </c>
      <c r="H614" s="11" t="s">
        <v>23</v>
      </c>
      <c r="I614" s="11" t="s">
        <v>115</v>
      </c>
      <c r="J614" s="11" t="s">
        <v>242</v>
      </c>
      <c r="K614" s="11" t="n">
        <v>1</v>
      </c>
      <c r="L614" s="15" t="n">
        <v>26274.11</v>
      </c>
      <c r="M614" s="11" t="n">
        <v>5</v>
      </c>
      <c r="N614" s="15" t="n">
        <v>26274.11</v>
      </c>
      <c r="O614" s="15" t="n">
        <v>1313.71</v>
      </c>
      <c r="P614" s="15" t="n">
        <v>24960.4</v>
      </c>
      <c r="Q614" s="15" t="n">
        <v>0</v>
      </c>
      <c r="R614" s="11" t="n">
        <v>0</v>
      </c>
      <c r="S614" s="15" t="n">
        <f aca="false">P614-Q614</f>
        <v>24960.4</v>
      </c>
      <c r="T614" s="11" t="n">
        <f aca="false">IF(OR(J614="Completed",J614="Returned"),1,0)</f>
        <v>1</v>
      </c>
    </row>
    <row r="615" customFormat="false" ht="15" hidden="false" customHeight="false" outlineLevel="0" collapsed="false">
      <c r="A615" s="11" t="s">
        <v>1524</v>
      </c>
      <c r="B615" s="11" t="s">
        <v>384</v>
      </c>
      <c r="C615" s="24" t="n">
        <v>45358</v>
      </c>
      <c r="D615" s="11" t="s">
        <v>34</v>
      </c>
      <c r="E615" s="11" t="s">
        <v>803</v>
      </c>
      <c r="F615" s="11" t="s">
        <v>25</v>
      </c>
      <c r="G615" s="11" t="s">
        <v>162</v>
      </c>
      <c r="H615" s="11" t="s">
        <v>20</v>
      </c>
      <c r="I615" s="11" t="s">
        <v>113</v>
      </c>
      <c r="J615" s="11" t="s">
        <v>250</v>
      </c>
      <c r="K615" s="11" t="n">
        <v>4</v>
      </c>
      <c r="L615" s="15" t="n">
        <v>16084.14</v>
      </c>
      <c r="M615" s="11" t="n">
        <v>0</v>
      </c>
      <c r="N615" s="15" t="n">
        <v>64336.56</v>
      </c>
      <c r="O615" s="15" t="n">
        <v>0</v>
      </c>
      <c r="P615" s="15" t="n">
        <v>64336.56</v>
      </c>
      <c r="Q615" s="15" t="n">
        <v>62001.57</v>
      </c>
      <c r="R615" s="11" t="n">
        <v>4</v>
      </c>
      <c r="S615" s="15" t="n">
        <f aca="false">P615-Q615</f>
        <v>2334.99</v>
      </c>
      <c r="T615" s="11" t="n">
        <f aca="false">IF(OR(J615="Completed",J615="Returned"),1,0)</f>
        <v>0</v>
      </c>
    </row>
    <row r="616" customFormat="false" ht="15" hidden="false" customHeight="false" outlineLevel="0" collapsed="false">
      <c r="A616" s="11" t="s">
        <v>1525</v>
      </c>
      <c r="B616" s="11" t="s">
        <v>384</v>
      </c>
      <c r="C616" s="24" t="n">
        <v>45358</v>
      </c>
      <c r="D616" s="11" t="s">
        <v>34</v>
      </c>
      <c r="E616" s="11" t="s">
        <v>803</v>
      </c>
      <c r="F616" s="11" t="s">
        <v>25</v>
      </c>
      <c r="G616" s="11" t="s">
        <v>160</v>
      </c>
      <c r="H616" s="11" t="s">
        <v>23</v>
      </c>
      <c r="I616" s="11" t="s">
        <v>113</v>
      </c>
      <c r="J616" s="11" t="s">
        <v>250</v>
      </c>
      <c r="K616" s="11" t="n">
        <v>5</v>
      </c>
      <c r="L616" s="15" t="n">
        <v>21122.18</v>
      </c>
      <c r="M616" s="11" t="n">
        <v>0</v>
      </c>
      <c r="N616" s="15" t="n">
        <v>105610.9</v>
      </c>
      <c r="O616" s="15" t="n">
        <v>0</v>
      </c>
      <c r="P616" s="15" t="n">
        <v>105610.9</v>
      </c>
      <c r="Q616" s="15" t="n">
        <v>0</v>
      </c>
      <c r="R616" s="11" t="n">
        <v>0</v>
      </c>
      <c r="S616" s="15" t="n">
        <f aca="false">P616-Q616</f>
        <v>105610.9</v>
      </c>
      <c r="T616" s="11" t="n">
        <f aca="false">IF(OR(J616="Completed",J616="Returned"),1,0)</f>
        <v>0</v>
      </c>
    </row>
    <row r="617" customFormat="false" ht="15" hidden="false" customHeight="false" outlineLevel="0" collapsed="false">
      <c r="A617" s="11" t="s">
        <v>1526</v>
      </c>
      <c r="B617" s="11" t="s">
        <v>282</v>
      </c>
      <c r="C617" s="24" t="n">
        <v>45908</v>
      </c>
      <c r="D617" s="11" t="s">
        <v>52</v>
      </c>
      <c r="E617" s="11" t="s">
        <v>1527</v>
      </c>
      <c r="F617" s="11" t="s">
        <v>82</v>
      </c>
      <c r="G617" s="11" t="s">
        <v>141</v>
      </c>
      <c r="H617" s="11" t="s">
        <v>24</v>
      </c>
      <c r="I617" s="11" t="s">
        <v>113</v>
      </c>
      <c r="J617" s="11" t="s">
        <v>269</v>
      </c>
      <c r="K617" s="11" t="n">
        <v>2</v>
      </c>
      <c r="L617" s="15" t="n">
        <v>20481.04</v>
      </c>
      <c r="M617" s="11" t="n">
        <v>5</v>
      </c>
      <c r="N617" s="15" t="n">
        <v>40962.08</v>
      </c>
      <c r="O617" s="15" t="n">
        <v>2048.1</v>
      </c>
      <c r="P617" s="15" t="n">
        <v>38913.98</v>
      </c>
      <c r="Q617" s="15" t="n">
        <v>0</v>
      </c>
      <c r="R617" s="11" t="n">
        <v>0</v>
      </c>
      <c r="S617" s="15" t="n">
        <f aca="false">P617-Q617</f>
        <v>38913.98</v>
      </c>
      <c r="T617" s="11" t="n">
        <f aca="false">IF(OR(J617="Completed",J617="Returned"),1,0)</f>
        <v>1</v>
      </c>
    </row>
    <row r="618" customFormat="false" ht="15" hidden="false" customHeight="false" outlineLevel="0" collapsed="false">
      <c r="A618" s="11" t="s">
        <v>1528</v>
      </c>
      <c r="B618" s="11" t="s">
        <v>282</v>
      </c>
      <c r="C618" s="24" t="n">
        <v>45908</v>
      </c>
      <c r="D618" s="11" t="s">
        <v>52</v>
      </c>
      <c r="E618" s="11" t="s">
        <v>1527</v>
      </c>
      <c r="F618" s="11" t="s">
        <v>82</v>
      </c>
      <c r="G618" s="11" t="s">
        <v>131</v>
      </c>
      <c r="H618" s="11" t="s">
        <v>22</v>
      </c>
      <c r="I618" s="11" t="s">
        <v>113</v>
      </c>
      <c r="J618" s="11" t="s">
        <v>269</v>
      </c>
      <c r="K618" s="11" t="n">
        <v>3</v>
      </c>
      <c r="L618" s="15" t="n">
        <v>11284.39</v>
      </c>
      <c r="M618" s="11" t="n">
        <v>5</v>
      </c>
      <c r="N618" s="15" t="n">
        <v>33853.17</v>
      </c>
      <c r="O618" s="15" t="n">
        <v>1692.66</v>
      </c>
      <c r="P618" s="15" t="n">
        <v>32160.51</v>
      </c>
      <c r="Q618" s="15" t="n">
        <v>0</v>
      </c>
      <c r="R618" s="11" t="n">
        <v>0</v>
      </c>
      <c r="S618" s="15" t="n">
        <f aca="false">P618-Q618</f>
        <v>32160.51</v>
      </c>
      <c r="T618" s="11" t="n">
        <f aca="false">IF(OR(J618="Completed",J618="Returned"),1,0)</f>
        <v>1</v>
      </c>
    </row>
    <row r="619" customFormat="false" ht="15" hidden="false" customHeight="false" outlineLevel="0" collapsed="false">
      <c r="A619" s="11" t="s">
        <v>1529</v>
      </c>
      <c r="B619" s="11" t="s">
        <v>282</v>
      </c>
      <c r="C619" s="24" t="n">
        <v>45908</v>
      </c>
      <c r="D619" s="11" t="s">
        <v>52</v>
      </c>
      <c r="E619" s="11" t="s">
        <v>1527</v>
      </c>
      <c r="F619" s="11" t="s">
        <v>82</v>
      </c>
      <c r="G619" s="11" t="s">
        <v>621</v>
      </c>
      <c r="H619" s="11" t="s">
        <v>20</v>
      </c>
      <c r="I619" s="11" t="s">
        <v>113</v>
      </c>
      <c r="J619" s="11" t="s">
        <v>269</v>
      </c>
      <c r="K619" s="11" t="n">
        <v>4</v>
      </c>
      <c r="L619" s="15" t="n">
        <v>1165.83</v>
      </c>
      <c r="M619" s="11" t="n">
        <v>20</v>
      </c>
      <c r="N619" s="15" t="n">
        <v>4663.32</v>
      </c>
      <c r="O619" s="15" t="n">
        <v>932.66</v>
      </c>
      <c r="P619" s="15" t="n">
        <v>3730.66</v>
      </c>
      <c r="Q619" s="15" t="n">
        <v>0</v>
      </c>
      <c r="R619" s="11" t="n">
        <v>0</v>
      </c>
      <c r="S619" s="15" t="n">
        <f aca="false">P619-Q619</f>
        <v>3730.66</v>
      </c>
      <c r="T619" s="11" t="n">
        <f aca="false">IF(OR(J619="Completed",J619="Returned"),1,0)</f>
        <v>1</v>
      </c>
    </row>
    <row r="620" customFormat="false" ht="15" hidden="false" customHeight="false" outlineLevel="0" collapsed="false">
      <c r="A620" s="11" t="s">
        <v>1530</v>
      </c>
      <c r="B620" s="11" t="s">
        <v>435</v>
      </c>
      <c r="C620" s="24" t="n">
        <v>45517</v>
      </c>
      <c r="D620" s="11" t="s">
        <v>39</v>
      </c>
      <c r="E620" s="11" t="s">
        <v>1531</v>
      </c>
      <c r="F620" s="11" t="s">
        <v>74</v>
      </c>
      <c r="G620" s="11" t="s">
        <v>631</v>
      </c>
      <c r="H620" s="11" t="s">
        <v>24</v>
      </c>
      <c r="I620" s="11" t="s">
        <v>114</v>
      </c>
      <c r="J620" s="11" t="s">
        <v>242</v>
      </c>
      <c r="K620" s="11" t="n">
        <v>5</v>
      </c>
      <c r="L620" s="15" t="n">
        <v>11518.86</v>
      </c>
      <c r="M620" s="11" t="n">
        <v>0</v>
      </c>
      <c r="N620" s="15" t="n">
        <v>57594.3</v>
      </c>
      <c r="O620" s="15" t="n">
        <v>0</v>
      </c>
      <c r="P620" s="15" t="n">
        <v>57594.3</v>
      </c>
      <c r="Q620" s="15" t="n">
        <v>0</v>
      </c>
      <c r="R620" s="11" t="n">
        <v>0</v>
      </c>
      <c r="S620" s="15" t="n">
        <f aca="false">P620-Q620</f>
        <v>57594.3</v>
      </c>
      <c r="T620" s="11" t="n">
        <f aca="false">IF(OR(J620="Completed",J620="Returned"),1,0)</f>
        <v>1</v>
      </c>
    </row>
    <row r="621" customFormat="false" ht="15" hidden="false" customHeight="false" outlineLevel="0" collapsed="false">
      <c r="A621" s="11" t="s">
        <v>1532</v>
      </c>
      <c r="B621" s="11" t="s">
        <v>435</v>
      </c>
      <c r="C621" s="24" t="n">
        <v>45517</v>
      </c>
      <c r="D621" s="11" t="s">
        <v>39</v>
      </c>
      <c r="E621" s="11" t="s">
        <v>1531</v>
      </c>
      <c r="F621" s="11" t="s">
        <v>74</v>
      </c>
      <c r="G621" s="11" t="s">
        <v>141</v>
      </c>
      <c r="H621" s="11" t="s">
        <v>24</v>
      </c>
      <c r="I621" s="11" t="s">
        <v>114</v>
      </c>
      <c r="J621" s="11" t="s">
        <v>242</v>
      </c>
      <c r="K621" s="11" t="n">
        <v>3</v>
      </c>
      <c r="L621" s="15" t="n">
        <v>20481.04</v>
      </c>
      <c r="M621" s="11" t="n">
        <v>15</v>
      </c>
      <c r="N621" s="15" t="n">
        <v>61443.12</v>
      </c>
      <c r="O621" s="15" t="n">
        <v>9216.47</v>
      </c>
      <c r="P621" s="15" t="n">
        <v>52226.65</v>
      </c>
      <c r="Q621" s="15" t="n">
        <v>0</v>
      </c>
      <c r="R621" s="11" t="n">
        <v>0</v>
      </c>
      <c r="S621" s="15" t="n">
        <f aca="false">P621-Q621</f>
        <v>52226.65</v>
      </c>
      <c r="T621" s="11" t="n">
        <f aca="false">IF(OR(J621="Completed",J621="Returned"),1,0)</f>
        <v>1</v>
      </c>
    </row>
    <row r="622" customFormat="false" ht="15" hidden="false" customHeight="false" outlineLevel="0" collapsed="false">
      <c r="A622" s="11" t="s">
        <v>1533</v>
      </c>
      <c r="B622" s="11" t="s">
        <v>435</v>
      </c>
      <c r="C622" s="24" t="n">
        <v>45517</v>
      </c>
      <c r="D622" s="11" t="s">
        <v>39</v>
      </c>
      <c r="E622" s="11" t="s">
        <v>1531</v>
      </c>
      <c r="F622" s="11" t="s">
        <v>74</v>
      </c>
      <c r="G622" s="11" t="s">
        <v>603</v>
      </c>
      <c r="H622" s="11" t="s">
        <v>23</v>
      </c>
      <c r="I622" s="11" t="s">
        <v>114</v>
      </c>
      <c r="J622" s="11" t="s">
        <v>242</v>
      </c>
      <c r="K622" s="11" t="n">
        <v>2</v>
      </c>
      <c r="L622" s="15" t="n">
        <v>15622.68</v>
      </c>
      <c r="M622" s="11" t="n">
        <v>10</v>
      </c>
      <c r="N622" s="15" t="n">
        <v>31245.36</v>
      </c>
      <c r="O622" s="15" t="n">
        <v>3124.54</v>
      </c>
      <c r="P622" s="15" t="n">
        <v>28120.82</v>
      </c>
      <c r="Q622" s="15" t="n">
        <v>0</v>
      </c>
      <c r="R622" s="11" t="n">
        <v>0</v>
      </c>
      <c r="S622" s="15" t="n">
        <f aca="false">P622-Q622</f>
        <v>28120.82</v>
      </c>
      <c r="T622" s="11" t="n">
        <f aca="false">IF(OR(J622="Completed",J622="Returned"),1,0)</f>
        <v>1</v>
      </c>
    </row>
    <row r="623" customFormat="false" ht="15" hidden="false" customHeight="false" outlineLevel="0" collapsed="false">
      <c r="A623" s="11" t="s">
        <v>1534</v>
      </c>
      <c r="B623" s="11" t="s">
        <v>421</v>
      </c>
      <c r="C623" s="24" t="n">
        <v>45933</v>
      </c>
      <c r="D623" s="11" t="s">
        <v>53</v>
      </c>
      <c r="E623" s="11" t="s">
        <v>951</v>
      </c>
      <c r="F623" s="11" t="s">
        <v>78</v>
      </c>
      <c r="G623" s="11" t="s">
        <v>637</v>
      </c>
      <c r="H623" s="11" t="s">
        <v>21</v>
      </c>
      <c r="I623" s="11" t="s">
        <v>113</v>
      </c>
      <c r="J623" s="11" t="s">
        <v>250</v>
      </c>
      <c r="K623" s="11" t="n">
        <v>4</v>
      </c>
      <c r="L623" s="15" t="n">
        <v>3019.36</v>
      </c>
      <c r="M623" s="11" t="n">
        <v>0</v>
      </c>
      <c r="N623" s="15" t="n">
        <v>12077.44</v>
      </c>
      <c r="O623" s="15" t="n">
        <v>0</v>
      </c>
      <c r="P623" s="15" t="n">
        <v>12077.44</v>
      </c>
      <c r="Q623" s="15" t="n">
        <v>0</v>
      </c>
      <c r="R623" s="11" t="n">
        <v>0</v>
      </c>
      <c r="S623" s="15" t="n">
        <f aca="false">P623-Q623</f>
        <v>12077.44</v>
      </c>
      <c r="T623" s="11" t="n">
        <f aca="false">IF(OR(J623="Completed",J623="Returned"),1,0)</f>
        <v>0</v>
      </c>
    </row>
    <row r="624" customFormat="false" ht="15" hidden="false" customHeight="false" outlineLevel="0" collapsed="false">
      <c r="A624" s="11" t="s">
        <v>1535</v>
      </c>
      <c r="B624" s="11" t="s">
        <v>366</v>
      </c>
      <c r="C624" s="24" t="n">
        <v>45509</v>
      </c>
      <c r="D624" s="11" t="s">
        <v>39</v>
      </c>
      <c r="E624" s="11" t="s">
        <v>913</v>
      </c>
      <c r="F624" s="11" t="s">
        <v>74</v>
      </c>
      <c r="G624" s="11" t="s">
        <v>127</v>
      </c>
      <c r="H624" s="11" t="s">
        <v>21</v>
      </c>
      <c r="I624" s="11" t="s">
        <v>114</v>
      </c>
      <c r="J624" s="11" t="s">
        <v>246</v>
      </c>
      <c r="K624" s="11" t="n">
        <v>2</v>
      </c>
      <c r="L624" s="15" t="n">
        <v>1592.76</v>
      </c>
      <c r="M624" s="11" t="n">
        <v>0</v>
      </c>
      <c r="N624" s="15" t="n">
        <v>3185.52</v>
      </c>
      <c r="O624" s="15" t="n">
        <v>0</v>
      </c>
      <c r="P624" s="15" t="n">
        <v>3185.52</v>
      </c>
      <c r="Q624" s="15" t="n">
        <v>0</v>
      </c>
      <c r="R624" s="11" t="n">
        <v>0</v>
      </c>
      <c r="S624" s="15" t="n">
        <f aca="false">P624-Q624</f>
        <v>3185.52</v>
      </c>
      <c r="T624" s="11" t="n">
        <f aca="false">IF(OR(J624="Completed",J624="Returned"),1,0)</f>
        <v>0</v>
      </c>
    </row>
    <row r="625" customFormat="false" ht="15" hidden="false" customHeight="false" outlineLevel="0" collapsed="false">
      <c r="A625" s="11" t="s">
        <v>1536</v>
      </c>
      <c r="B625" s="11" t="s">
        <v>366</v>
      </c>
      <c r="C625" s="24" t="n">
        <v>45509</v>
      </c>
      <c r="D625" s="11" t="s">
        <v>39</v>
      </c>
      <c r="E625" s="11" t="s">
        <v>913</v>
      </c>
      <c r="F625" s="11" t="s">
        <v>74</v>
      </c>
      <c r="G625" s="11" t="s">
        <v>809</v>
      </c>
      <c r="H625" s="11" t="s">
        <v>22</v>
      </c>
      <c r="I625" s="11" t="s">
        <v>114</v>
      </c>
      <c r="J625" s="11" t="s">
        <v>246</v>
      </c>
      <c r="K625" s="11" t="n">
        <v>5</v>
      </c>
      <c r="L625" s="15" t="n">
        <v>22582.54</v>
      </c>
      <c r="M625" s="11" t="n">
        <v>10</v>
      </c>
      <c r="N625" s="15" t="n">
        <v>112912.7</v>
      </c>
      <c r="O625" s="15" t="n">
        <v>11291.27</v>
      </c>
      <c r="P625" s="15" t="n">
        <v>101621.43</v>
      </c>
      <c r="Q625" s="15" t="n">
        <v>0</v>
      </c>
      <c r="R625" s="11" t="n">
        <v>0</v>
      </c>
      <c r="S625" s="15" t="n">
        <f aca="false">P625-Q625</f>
        <v>101621.43</v>
      </c>
      <c r="T625" s="11" t="n">
        <f aca="false">IF(OR(J625="Completed",J625="Returned"),1,0)</f>
        <v>0</v>
      </c>
    </row>
    <row r="626" customFormat="false" ht="15" hidden="false" customHeight="false" outlineLevel="0" collapsed="false">
      <c r="A626" s="11" t="s">
        <v>1537</v>
      </c>
      <c r="B626" s="11" t="s">
        <v>366</v>
      </c>
      <c r="C626" s="24" t="n">
        <v>45509</v>
      </c>
      <c r="D626" s="11" t="s">
        <v>39</v>
      </c>
      <c r="E626" s="11" t="s">
        <v>913</v>
      </c>
      <c r="F626" s="11" t="s">
        <v>74</v>
      </c>
      <c r="G626" s="11" t="s">
        <v>615</v>
      </c>
      <c r="H626" s="11" t="s">
        <v>23</v>
      </c>
      <c r="I626" s="11" t="s">
        <v>114</v>
      </c>
      <c r="J626" s="11" t="s">
        <v>246</v>
      </c>
      <c r="K626" s="11" t="n">
        <v>1</v>
      </c>
      <c r="L626" s="15" t="n">
        <v>2863.09</v>
      </c>
      <c r="M626" s="11" t="n">
        <v>10</v>
      </c>
      <c r="N626" s="15" t="n">
        <v>2863.09</v>
      </c>
      <c r="O626" s="15" t="n">
        <v>286.31</v>
      </c>
      <c r="P626" s="15" t="n">
        <v>2576.78</v>
      </c>
      <c r="Q626" s="15" t="n">
        <v>0</v>
      </c>
      <c r="R626" s="11" t="n">
        <v>0</v>
      </c>
      <c r="S626" s="15" t="n">
        <f aca="false">P626-Q626</f>
        <v>2576.78</v>
      </c>
      <c r="T626" s="11" t="n">
        <f aca="false">IF(OR(J626="Completed",J626="Returned"),1,0)</f>
        <v>0</v>
      </c>
    </row>
    <row r="627" customFormat="false" ht="15" hidden="false" customHeight="false" outlineLevel="0" collapsed="false">
      <c r="A627" s="11" t="s">
        <v>1538</v>
      </c>
      <c r="B627" s="11" t="s">
        <v>325</v>
      </c>
      <c r="C627" s="24" t="n">
        <v>45816</v>
      </c>
      <c r="D627" s="11" t="s">
        <v>49</v>
      </c>
      <c r="E627" s="11" t="s">
        <v>1050</v>
      </c>
      <c r="F627" s="11" t="s">
        <v>74</v>
      </c>
      <c r="G627" s="11" t="s">
        <v>158</v>
      </c>
      <c r="H627" s="11" t="s">
        <v>22</v>
      </c>
      <c r="I627" s="11" t="s">
        <v>114</v>
      </c>
      <c r="J627" s="11" t="s">
        <v>242</v>
      </c>
      <c r="K627" s="11" t="n">
        <v>5</v>
      </c>
      <c r="L627" s="15" t="n">
        <v>5471.28</v>
      </c>
      <c r="M627" s="11" t="n">
        <v>0</v>
      </c>
      <c r="N627" s="15" t="n">
        <v>27356.4</v>
      </c>
      <c r="O627" s="15" t="n">
        <v>0</v>
      </c>
      <c r="P627" s="15" t="n">
        <v>27356.4</v>
      </c>
      <c r="Q627" s="15" t="n">
        <v>0</v>
      </c>
      <c r="R627" s="11" t="n">
        <v>0</v>
      </c>
      <c r="S627" s="15" t="n">
        <f aca="false">P627-Q627</f>
        <v>27356.4</v>
      </c>
      <c r="T627" s="11" t="n">
        <f aca="false">IF(OR(J627="Completed",J627="Returned"),1,0)</f>
        <v>1</v>
      </c>
    </row>
    <row r="628" customFormat="false" ht="15" hidden="false" customHeight="false" outlineLevel="0" collapsed="false">
      <c r="A628" s="11" t="s">
        <v>1539</v>
      </c>
      <c r="B628" s="11" t="s">
        <v>325</v>
      </c>
      <c r="C628" s="24" t="n">
        <v>45816</v>
      </c>
      <c r="D628" s="11" t="s">
        <v>49</v>
      </c>
      <c r="E628" s="11" t="s">
        <v>1050</v>
      </c>
      <c r="F628" s="11" t="s">
        <v>74</v>
      </c>
      <c r="G628" s="11" t="s">
        <v>148</v>
      </c>
      <c r="H628" s="11" t="s">
        <v>21</v>
      </c>
      <c r="I628" s="11" t="s">
        <v>114</v>
      </c>
      <c r="J628" s="11" t="s">
        <v>242</v>
      </c>
      <c r="K628" s="11" t="n">
        <v>4</v>
      </c>
      <c r="L628" s="15" t="n">
        <v>11434.02</v>
      </c>
      <c r="M628" s="11" t="n">
        <v>10</v>
      </c>
      <c r="N628" s="15" t="n">
        <v>45736.08</v>
      </c>
      <c r="O628" s="15" t="n">
        <v>4573.61</v>
      </c>
      <c r="P628" s="15" t="n">
        <v>41162.47</v>
      </c>
      <c r="Q628" s="15" t="n">
        <v>0</v>
      </c>
      <c r="R628" s="11" t="n">
        <v>0</v>
      </c>
      <c r="S628" s="15" t="n">
        <f aca="false">P628-Q628</f>
        <v>41162.47</v>
      </c>
      <c r="T628" s="11" t="n">
        <f aca="false">IF(OR(J628="Completed",J628="Returned"),1,0)</f>
        <v>1</v>
      </c>
    </row>
    <row r="629" customFormat="false" ht="15" hidden="false" customHeight="false" outlineLevel="0" collapsed="false">
      <c r="A629" s="11" t="s">
        <v>1540</v>
      </c>
      <c r="B629" s="11" t="s">
        <v>322</v>
      </c>
      <c r="C629" s="24" t="n">
        <v>45625</v>
      </c>
      <c r="D629" s="11" t="s">
        <v>42</v>
      </c>
      <c r="E629" s="11" t="s">
        <v>1541</v>
      </c>
      <c r="F629" s="11" t="s">
        <v>78</v>
      </c>
      <c r="G629" s="11" t="s">
        <v>137</v>
      </c>
      <c r="H629" s="11" t="s">
        <v>22</v>
      </c>
      <c r="I629" s="11" t="s">
        <v>114</v>
      </c>
      <c r="J629" s="11" t="s">
        <v>242</v>
      </c>
      <c r="K629" s="11" t="n">
        <v>2</v>
      </c>
      <c r="L629" s="15" t="n">
        <v>12393.99</v>
      </c>
      <c r="M629" s="11" t="n">
        <v>0</v>
      </c>
      <c r="N629" s="15" t="n">
        <v>24787.98</v>
      </c>
      <c r="O629" s="15" t="n">
        <v>0</v>
      </c>
      <c r="P629" s="15" t="n">
        <v>24787.98</v>
      </c>
      <c r="Q629" s="15" t="n">
        <v>0</v>
      </c>
      <c r="R629" s="11" t="n">
        <v>0</v>
      </c>
      <c r="S629" s="15" t="n">
        <f aca="false">P629-Q629</f>
        <v>24787.98</v>
      </c>
      <c r="T629" s="11" t="n">
        <f aca="false">IF(OR(J629="Completed",J629="Returned"),1,0)</f>
        <v>1</v>
      </c>
    </row>
    <row r="630" customFormat="false" ht="15" hidden="false" customHeight="false" outlineLevel="0" collapsed="false">
      <c r="A630" s="11" t="s">
        <v>1542</v>
      </c>
      <c r="B630" s="11" t="s">
        <v>571</v>
      </c>
      <c r="C630" s="24" t="n">
        <v>45420</v>
      </c>
      <c r="D630" s="11" t="s">
        <v>36</v>
      </c>
      <c r="E630" s="11" t="s">
        <v>774</v>
      </c>
      <c r="F630" s="11" t="s">
        <v>82</v>
      </c>
      <c r="G630" s="11" t="s">
        <v>986</v>
      </c>
      <c r="H630" s="11" t="s">
        <v>22</v>
      </c>
      <c r="I630" s="11" t="s">
        <v>113</v>
      </c>
      <c r="J630" s="11" t="s">
        <v>246</v>
      </c>
      <c r="K630" s="11" t="n">
        <v>4</v>
      </c>
      <c r="L630" s="15" t="n">
        <v>19639.31</v>
      </c>
      <c r="M630" s="11" t="n">
        <v>0</v>
      </c>
      <c r="N630" s="15" t="n">
        <v>78557.24</v>
      </c>
      <c r="O630" s="15" t="n">
        <v>0</v>
      </c>
      <c r="P630" s="15" t="n">
        <v>78557.24</v>
      </c>
      <c r="Q630" s="15" t="n">
        <v>0</v>
      </c>
      <c r="R630" s="11" t="n">
        <v>0</v>
      </c>
      <c r="S630" s="15" t="n">
        <f aca="false">P630-Q630</f>
        <v>78557.24</v>
      </c>
      <c r="T630" s="11" t="n">
        <f aca="false">IF(OR(J630="Completed",J630="Returned"),1,0)</f>
        <v>0</v>
      </c>
    </row>
    <row r="631" customFormat="false" ht="15" hidden="false" customHeight="false" outlineLevel="0" collapsed="false">
      <c r="A631" s="11" t="s">
        <v>1543</v>
      </c>
      <c r="B631" s="11" t="s">
        <v>571</v>
      </c>
      <c r="C631" s="24" t="n">
        <v>45420</v>
      </c>
      <c r="D631" s="11" t="s">
        <v>36</v>
      </c>
      <c r="E631" s="11" t="s">
        <v>774</v>
      </c>
      <c r="F631" s="11" t="s">
        <v>82</v>
      </c>
      <c r="G631" s="11" t="s">
        <v>986</v>
      </c>
      <c r="H631" s="11" t="s">
        <v>22</v>
      </c>
      <c r="I631" s="11" t="s">
        <v>113</v>
      </c>
      <c r="J631" s="11" t="s">
        <v>246</v>
      </c>
      <c r="K631" s="11" t="n">
        <v>5</v>
      </c>
      <c r="L631" s="15" t="n">
        <v>19639.31</v>
      </c>
      <c r="M631" s="11" t="n">
        <v>20</v>
      </c>
      <c r="N631" s="15" t="n">
        <v>98196.55</v>
      </c>
      <c r="O631" s="15" t="n">
        <v>19639.31</v>
      </c>
      <c r="P631" s="15" t="n">
        <v>78557.24</v>
      </c>
      <c r="Q631" s="15" t="n">
        <v>0</v>
      </c>
      <c r="R631" s="11" t="n">
        <v>0</v>
      </c>
      <c r="S631" s="15" t="n">
        <f aca="false">P631-Q631</f>
        <v>78557.24</v>
      </c>
      <c r="T631" s="11" t="n">
        <f aca="false">IF(OR(J631="Completed",J631="Returned"),1,0)</f>
        <v>0</v>
      </c>
    </row>
    <row r="632" customFormat="false" ht="15" hidden="false" customHeight="false" outlineLevel="0" collapsed="false">
      <c r="A632" s="11" t="s">
        <v>1544</v>
      </c>
      <c r="B632" s="11" t="s">
        <v>429</v>
      </c>
      <c r="C632" s="24" t="n">
        <v>45605</v>
      </c>
      <c r="D632" s="11" t="s">
        <v>42</v>
      </c>
      <c r="E632" s="11" t="s">
        <v>946</v>
      </c>
      <c r="F632" s="11" t="s">
        <v>70</v>
      </c>
      <c r="G632" s="11" t="s">
        <v>883</v>
      </c>
      <c r="H632" s="11" t="s">
        <v>21</v>
      </c>
      <c r="I632" s="11" t="s">
        <v>113</v>
      </c>
      <c r="J632" s="11" t="s">
        <v>242</v>
      </c>
      <c r="K632" s="11" t="n">
        <v>2</v>
      </c>
      <c r="L632" s="15" t="n">
        <v>11175.62</v>
      </c>
      <c r="M632" s="11" t="n">
        <v>10</v>
      </c>
      <c r="N632" s="15" t="n">
        <v>22351.24</v>
      </c>
      <c r="O632" s="15" t="n">
        <v>2235.12</v>
      </c>
      <c r="P632" s="15" t="n">
        <v>20116.12</v>
      </c>
      <c r="Q632" s="15" t="n">
        <v>0</v>
      </c>
      <c r="R632" s="11" t="n">
        <v>0</v>
      </c>
      <c r="S632" s="15" t="n">
        <f aca="false">P632-Q632</f>
        <v>20116.12</v>
      </c>
      <c r="T632" s="11" t="n">
        <f aca="false">IF(OR(J632="Completed",J632="Returned"),1,0)</f>
        <v>1</v>
      </c>
    </row>
    <row r="633" customFormat="false" ht="15" hidden="false" customHeight="false" outlineLevel="0" collapsed="false">
      <c r="A633" s="11" t="s">
        <v>1545</v>
      </c>
      <c r="B633" s="11" t="s">
        <v>429</v>
      </c>
      <c r="C633" s="24" t="n">
        <v>45605</v>
      </c>
      <c r="D633" s="11" t="s">
        <v>42</v>
      </c>
      <c r="E633" s="11" t="s">
        <v>946</v>
      </c>
      <c r="F633" s="11" t="s">
        <v>70</v>
      </c>
      <c r="G633" s="11" t="s">
        <v>137</v>
      </c>
      <c r="H633" s="11" t="s">
        <v>22</v>
      </c>
      <c r="I633" s="11" t="s">
        <v>113</v>
      </c>
      <c r="J633" s="11" t="s">
        <v>242</v>
      </c>
      <c r="K633" s="11" t="n">
        <v>5</v>
      </c>
      <c r="L633" s="15" t="n">
        <v>12393.99</v>
      </c>
      <c r="M633" s="11" t="n">
        <v>0</v>
      </c>
      <c r="N633" s="15" t="n">
        <v>61969.95</v>
      </c>
      <c r="O633" s="15" t="n">
        <v>0</v>
      </c>
      <c r="P633" s="15" t="n">
        <v>61969.95</v>
      </c>
      <c r="Q633" s="15" t="n">
        <v>0</v>
      </c>
      <c r="R633" s="11" t="n">
        <v>0</v>
      </c>
      <c r="S633" s="15" t="n">
        <f aca="false">P633-Q633</f>
        <v>61969.95</v>
      </c>
      <c r="T633" s="11" t="n">
        <f aca="false">IF(OR(J633="Completed",J633="Returned"),1,0)</f>
        <v>1</v>
      </c>
    </row>
    <row r="634" customFormat="false" ht="15" hidden="false" customHeight="false" outlineLevel="0" collapsed="false">
      <c r="A634" s="11" t="s">
        <v>1546</v>
      </c>
      <c r="B634" s="11" t="s">
        <v>429</v>
      </c>
      <c r="C634" s="24" t="n">
        <v>45605</v>
      </c>
      <c r="D634" s="11" t="s">
        <v>42</v>
      </c>
      <c r="E634" s="11" t="s">
        <v>946</v>
      </c>
      <c r="F634" s="11" t="s">
        <v>70</v>
      </c>
      <c r="G634" s="11" t="s">
        <v>981</v>
      </c>
      <c r="H634" s="11" t="s">
        <v>21</v>
      </c>
      <c r="I634" s="11" t="s">
        <v>113</v>
      </c>
      <c r="J634" s="11" t="s">
        <v>242</v>
      </c>
      <c r="K634" s="11" t="n">
        <v>5</v>
      </c>
      <c r="L634" s="15" t="n">
        <v>19552.29</v>
      </c>
      <c r="M634" s="11" t="n">
        <v>10</v>
      </c>
      <c r="N634" s="15" t="n">
        <v>97761.45</v>
      </c>
      <c r="O634" s="15" t="n">
        <v>9776.14</v>
      </c>
      <c r="P634" s="15" t="n">
        <v>87985.31</v>
      </c>
      <c r="Q634" s="15" t="n">
        <v>0</v>
      </c>
      <c r="R634" s="11" t="n">
        <v>0</v>
      </c>
      <c r="S634" s="15" t="n">
        <f aca="false">P634-Q634</f>
        <v>87985.31</v>
      </c>
      <c r="T634" s="11" t="n">
        <f aca="false">IF(OR(J634="Completed",J634="Returned"),1,0)</f>
        <v>1</v>
      </c>
    </row>
    <row r="635" customFormat="false" ht="15" hidden="false" customHeight="false" outlineLevel="0" collapsed="false">
      <c r="A635" s="11" t="s">
        <v>1547</v>
      </c>
      <c r="B635" s="11" t="s">
        <v>429</v>
      </c>
      <c r="C635" s="24" t="n">
        <v>45605</v>
      </c>
      <c r="D635" s="11" t="s">
        <v>42</v>
      </c>
      <c r="E635" s="11" t="s">
        <v>946</v>
      </c>
      <c r="F635" s="11" t="s">
        <v>70</v>
      </c>
      <c r="G635" s="11" t="s">
        <v>158</v>
      </c>
      <c r="H635" s="11" t="s">
        <v>22</v>
      </c>
      <c r="I635" s="11" t="s">
        <v>113</v>
      </c>
      <c r="J635" s="11" t="s">
        <v>242</v>
      </c>
      <c r="K635" s="11" t="n">
        <v>1</v>
      </c>
      <c r="L635" s="15" t="n">
        <v>5471.28</v>
      </c>
      <c r="M635" s="11" t="n">
        <v>20</v>
      </c>
      <c r="N635" s="15" t="n">
        <v>5471.28</v>
      </c>
      <c r="O635" s="15" t="n">
        <v>1094.26</v>
      </c>
      <c r="P635" s="15" t="n">
        <v>4377.02</v>
      </c>
      <c r="Q635" s="15" t="n">
        <v>0</v>
      </c>
      <c r="R635" s="11" t="n">
        <v>0</v>
      </c>
      <c r="S635" s="15" t="n">
        <f aca="false">P635-Q635</f>
        <v>4377.02</v>
      </c>
      <c r="T635" s="11" t="n">
        <f aca="false">IF(OR(J635="Completed",J635="Returned"),1,0)</f>
        <v>1</v>
      </c>
    </row>
    <row r="636" customFormat="false" ht="15" hidden="false" customHeight="false" outlineLevel="0" collapsed="false">
      <c r="A636" s="11" t="s">
        <v>1548</v>
      </c>
      <c r="B636" s="11" t="s">
        <v>272</v>
      </c>
      <c r="C636" s="24" t="n">
        <v>45676</v>
      </c>
      <c r="D636" s="11" t="s">
        <v>44</v>
      </c>
      <c r="E636" s="11" t="s">
        <v>1549</v>
      </c>
      <c r="F636" s="11" t="s">
        <v>82</v>
      </c>
      <c r="G636" s="11" t="s">
        <v>613</v>
      </c>
      <c r="H636" s="11" t="s">
        <v>23</v>
      </c>
      <c r="I636" s="11" t="s">
        <v>114</v>
      </c>
      <c r="J636" s="11" t="s">
        <v>242</v>
      </c>
      <c r="K636" s="11" t="n">
        <v>4</v>
      </c>
      <c r="L636" s="15" t="n">
        <v>7218.53</v>
      </c>
      <c r="M636" s="11" t="n">
        <v>5</v>
      </c>
      <c r="N636" s="15" t="n">
        <v>28874.12</v>
      </c>
      <c r="O636" s="15" t="n">
        <v>1443.71</v>
      </c>
      <c r="P636" s="15" t="n">
        <v>27430.41</v>
      </c>
      <c r="Q636" s="15" t="n">
        <v>0</v>
      </c>
      <c r="R636" s="11" t="n">
        <v>0</v>
      </c>
      <c r="S636" s="15" t="n">
        <f aca="false">P636-Q636</f>
        <v>27430.41</v>
      </c>
      <c r="T636" s="11" t="n">
        <f aca="false">IF(OR(J636="Completed",J636="Returned"),1,0)</f>
        <v>1</v>
      </c>
    </row>
    <row r="637" customFormat="false" ht="15" hidden="false" customHeight="false" outlineLevel="0" collapsed="false">
      <c r="A637" s="11" t="s">
        <v>1550</v>
      </c>
      <c r="B637" s="11" t="s">
        <v>491</v>
      </c>
      <c r="C637" s="24" t="n">
        <v>45718</v>
      </c>
      <c r="D637" s="11" t="s">
        <v>46</v>
      </c>
      <c r="E637" s="11" t="s">
        <v>1551</v>
      </c>
      <c r="F637" s="11" t="s">
        <v>82</v>
      </c>
      <c r="G637" s="11" t="s">
        <v>603</v>
      </c>
      <c r="H637" s="11" t="s">
        <v>23</v>
      </c>
      <c r="I637" s="11" t="s">
        <v>114</v>
      </c>
      <c r="J637" s="11" t="s">
        <v>250</v>
      </c>
      <c r="K637" s="11" t="n">
        <v>2</v>
      </c>
      <c r="L637" s="15" t="n">
        <v>15622.68</v>
      </c>
      <c r="M637" s="11" t="n">
        <v>15</v>
      </c>
      <c r="N637" s="15" t="n">
        <v>31245.36</v>
      </c>
      <c r="O637" s="15" t="n">
        <v>4686.8</v>
      </c>
      <c r="P637" s="15" t="n">
        <v>26558.56</v>
      </c>
      <c r="Q637" s="15" t="n">
        <v>0</v>
      </c>
      <c r="R637" s="11" t="n">
        <v>0</v>
      </c>
      <c r="S637" s="15" t="n">
        <f aca="false">P637-Q637</f>
        <v>26558.56</v>
      </c>
      <c r="T637" s="11" t="n">
        <f aca="false">IF(OR(J637="Completed",J637="Returned"),1,0)</f>
        <v>0</v>
      </c>
    </row>
    <row r="638" customFormat="false" ht="15" hidden="false" customHeight="false" outlineLevel="0" collapsed="false">
      <c r="A638" s="11" t="s">
        <v>1552</v>
      </c>
      <c r="B638" s="11" t="s">
        <v>491</v>
      </c>
      <c r="C638" s="24" t="n">
        <v>45718</v>
      </c>
      <c r="D638" s="11" t="s">
        <v>46</v>
      </c>
      <c r="E638" s="11" t="s">
        <v>1551</v>
      </c>
      <c r="F638" s="11" t="s">
        <v>82</v>
      </c>
      <c r="G638" s="11" t="s">
        <v>781</v>
      </c>
      <c r="H638" s="11" t="s">
        <v>21</v>
      </c>
      <c r="I638" s="11" t="s">
        <v>114</v>
      </c>
      <c r="J638" s="11" t="s">
        <v>250</v>
      </c>
      <c r="K638" s="11" t="n">
        <v>5</v>
      </c>
      <c r="L638" s="15" t="n">
        <v>3962.52</v>
      </c>
      <c r="M638" s="11" t="n">
        <v>20</v>
      </c>
      <c r="N638" s="15" t="n">
        <v>19812.6</v>
      </c>
      <c r="O638" s="15" t="n">
        <v>3962.52</v>
      </c>
      <c r="P638" s="15" t="n">
        <v>15850.08</v>
      </c>
      <c r="Q638" s="15" t="n">
        <v>0</v>
      </c>
      <c r="R638" s="11" t="n">
        <v>0</v>
      </c>
      <c r="S638" s="15" t="n">
        <f aca="false">P638-Q638</f>
        <v>15850.08</v>
      </c>
      <c r="T638" s="11" t="n">
        <f aca="false">IF(OR(J638="Completed",J638="Returned"),1,0)</f>
        <v>0</v>
      </c>
    </row>
    <row r="639" customFormat="false" ht="15" hidden="false" customHeight="false" outlineLevel="0" collapsed="false">
      <c r="A639" s="11" t="s">
        <v>1553</v>
      </c>
      <c r="B639" s="11" t="s">
        <v>491</v>
      </c>
      <c r="C639" s="24" t="n">
        <v>45718</v>
      </c>
      <c r="D639" s="11" t="s">
        <v>46</v>
      </c>
      <c r="E639" s="11" t="s">
        <v>1551</v>
      </c>
      <c r="F639" s="11" t="s">
        <v>82</v>
      </c>
      <c r="G639" s="11" t="s">
        <v>805</v>
      </c>
      <c r="H639" s="11" t="s">
        <v>21</v>
      </c>
      <c r="I639" s="11" t="s">
        <v>114</v>
      </c>
      <c r="J639" s="11" t="s">
        <v>250</v>
      </c>
      <c r="K639" s="11" t="n">
        <v>2</v>
      </c>
      <c r="L639" s="15" t="n">
        <v>23243.35</v>
      </c>
      <c r="M639" s="11" t="n">
        <v>20</v>
      </c>
      <c r="N639" s="15" t="n">
        <v>46486.7</v>
      </c>
      <c r="O639" s="15" t="n">
        <v>9297.34</v>
      </c>
      <c r="P639" s="15" t="n">
        <v>37189.36</v>
      </c>
      <c r="Q639" s="15" t="n">
        <v>0</v>
      </c>
      <c r="R639" s="11" t="n">
        <v>0</v>
      </c>
      <c r="S639" s="15" t="n">
        <f aca="false">P639-Q639</f>
        <v>37189.36</v>
      </c>
      <c r="T639" s="11" t="n">
        <f aca="false">IF(OR(J639="Completed",J639="Returned"),1,0)</f>
        <v>0</v>
      </c>
    </row>
    <row r="640" customFormat="false" ht="15" hidden="false" customHeight="false" outlineLevel="0" collapsed="false">
      <c r="A640" s="11" t="s">
        <v>1554</v>
      </c>
      <c r="B640" s="11" t="s">
        <v>418</v>
      </c>
      <c r="C640" s="24" t="n">
        <v>45818</v>
      </c>
      <c r="D640" s="11" t="s">
        <v>49</v>
      </c>
      <c r="E640" s="11" t="s">
        <v>1056</v>
      </c>
      <c r="F640" s="11" t="s">
        <v>70</v>
      </c>
      <c r="G640" s="11" t="s">
        <v>603</v>
      </c>
      <c r="H640" s="11" t="s">
        <v>23</v>
      </c>
      <c r="I640" s="11" t="s">
        <v>115</v>
      </c>
      <c r="J640" s="11" t="s">
        <v>250</v>
      </c>
      <c r="K640" s="11" t="n">
        <v>1</v>
      </c>
      <c r="L640" s="15" t="n">
        <v>15622.68</v>
      </c>
      <c r="M640" s="11" t="n">
        <v>0</v>
      </c>
      <c r="N640" s="15" t="n">
        <v>15622.68</v>
      </c>
      <c r="O640" s="15" t="n">
        <v>0</v>
      </c>
      <c r="P640" s="15" t="n">
        <v>15622.68</v>
      </c>
      <c r="Q640" s="15" t="n">
        <v>0</v>
      </c>
      <c r="R640" s="11" t="n">
        <v>0</v>
      </c>
      <c r="S640" s="15" t="n">
        <f aca="false">P640-Q640</f>
        <v>15622.68</v>
      </c>
      <c r="T640" s="11" t="n">
        <f aca="false">IF(OR(J640="Completed",J640="Returned"),1,0)</f>
        <v>0</v>
      </c>
    </row>
    <row r="641" customFormat="false" ht="15" hidden="false" customHeight="false" outlineLevel="0" collapsed="false">
      <c r="A641" s="11" t="s">
        <v>1555</v>
      </c>
      <c r="B641" s="11" t="s">
        <v>530</v>
      </c>
      <c r="C641" s="24" t="n">
        <v>45803</v>
      </c>
      <c r="D641" s="11" t="s">
        <v>48</v>
      </c>
      <c r="E641" s="11" t="s">
        <v>76</v>
      </c>
      <c r="F641" s="11" t="s">
        <v>78</v>
      </c>
      <c r="G641" s="11" t="s">
        <v>883</v>
      </c>
      <c r="H641" s="11" t="s">
        <v>21</v>
      </c>
      <c r="I641" s="11" t="s">
        <v>113</v>
      </c>
      <c r="J641" s="11" t="s">
        <v>246</v>
      </c>
      <c r="K641" s="11" t="n">
        <v>5</v>
      </c>
      <c r="L641" s="15" t="n">
        <v>11175.62</v>
      </c>
      <c r="M641" s="11" t="n">
        <v>5</v>
      </c>
      <c r="N641" s="15" t="n">
        <v>55878.1</v>
      </c>
      <c r="O641" s="15" t="n">
        <v>2793.9</v>
      </c>
      <c r="P641" s="15" t="n">
        <v>53084.2</v>
      </c>
      <c r="Q641" s="15" t="n">
        <v>0</v>
      </c>
      <c r="R641" s="11" t="n">
        <v>0</v>
      </c>
      <c r="S641" s="15" t="n">
        <f aca="false">P641-Q641</f>
        <v>53084.2</v>
      </c>
      <c r="T641" s="11" t="n">
        <f aca="false">IF(OR(J641="Completed",J641="Returned"),1,0)</f>
        <v>0</v>
      </c>
    </row>
    <row r="642" customFormat="false" ht="15" hidden="false" customHeight="false" outlineLevel="0" collapsed="false">
      <c r="A642" s="11" t="s">
        <v>1556</v>
      </c>
      <c r="B642" s="11" t="s">
        <v>530</v>
      </c>
      <c r="C642" s="24" t="n">
        <v>45803</v>
      </c>
      <c r="D642" s="11" t="s">
        <v>48</v>
      </c>
      <c r="E642" s="11" t="s">
        <v>76</v>
      </c>
      <c r="F642" s="11" t="s">
        <v>78</v>
      </c>
      <c r="G642" s="11" t="s">
        <v>137</v>
      </c>
      <c r="H642" s="11" t="s">
        <v>22</v>
      </c>
      <c r="I642" s="11" t="s">
        <v>113</v>
      </c>
      <c r="J642" s="11" t="s">
        <v>246</v>
      </c>
      <c r="K642" s="11" t="n">
        <v>2</v>
      </c>
      <c r="L642" s="15" t="n">
        <v>12393.99</v>
      </c>
      <c r="M642" s="11" t="n">
        <v>10</v>
      </c>
      <c r="N642" s="15" t="n">
        <v>24787.98</v>
      </c>
      <c r="O642" s="15" t="n">
        <v>2478.8</v>
      </c>
      <c r="P642" s="15" t="n">
        <v>22309.18</v>
      </c>
      <c r="Q642" s="15" t="n">
        <v>0</v>
      </c>
      <c r="R642" s="11" t="n">
        <v>0</v>
      </c>
      <c r="S642" s="15" t="n">
        <f aca="false">P642-Q642</f>
        <v>22309.18</v>
      </c>
      <c r="T642" s="11" t="n">
        <f aca="false">IF(OR(J642="Completed",J642="Returned"),1,0)</f>
        <v>0</v>
      </c>
    </row>
    <row r="643" customFormat="false" ht="15" hidden="false" customHeight="false" outlineLevel="0" collapsed="false">
      <c r="A643" s="11" t="s">
        <v>1557</v>
      </c>
      <c r="B643" s="11" t="s">
        <v>364</v>
      </c>
      <c r="C643" s="24" t="n">
        <v>45432</v>
      </c>
      <c r="D643" s="11" t="s">
        <v>36</v>
      </c>
      <c r="E643" s="11" t="s">
        <v>1558</v>
      </c>
      <c r="F643" s="11" t="s">
        <v>70</v>
      </c>
      <c r="G643" s="11" t="s">
        <v>611</v>
      </c>
      <c r="H643" s="11" t="s">
        <v>22</v>
      </c>
      <c r="I643" s="11" t="s">
        <v>114</v>
      </c>
      <c r="J643" s="11" t="s">
        <v>250</v>
      </c>
      <c r="K643" s="11" t="n">
        <v>1</v>
      </c>
      <c r="L643" s="15" t="n">
        <v>3634.57</v>
      </c>
      <c r="M643" s="11" t="n">
        <v>0</v>
      </c>
      <c r="N643" s="15" t="n">
        <v>3634.57</v>
      </c>
      <c r="O643" s="15" t="n">
        <v>0</v>
      </c>
      <c r="P643" s="15" t="n">
        <v>3634.57</v>
      </c>
      <c r="Q643" s="15" t="n">
        <v>0</v>
      </c>
      <c r="R643" s="11" t="n">
        <v>0</v>
      </c>
      <c r="S643" s="15" t="n">
        <f aca="false">P643-Q643</f>
        <v>3634.57</v>
      </c>
      <c r="T643" s="11" t="n">
        <f aca="false">IF(OR(J643="Completed",J643="Returned"),1,0)</f>
        <v>0</v>
      </c>
    </row>
    <row r="644" customFormat="false" ht="15" hidden="false" customHeight="false" outlineLevel="0" collapsed="false">
      <c r="A644" s="11" t="s">
        <v>1559</v>
      </c>
      <c r="B644" s="11" t="s">
        <v>364</v>
      </c>
      <c r="C644" s="24" t="n">
        <v>45432</v>
      </c>
      <c r="D644" s="11" t="s">
        <v>36</v>
      </c>
      <c r="E644" s="11" t="s">
        <v>1558</v>
      </c>
      <c r="F644" s="11" t="s">
        <v>70</v>
      </c>
      <c r="G644" s="11" t="s">
        <v>822</v>
      </c>
      <c r="H644" s="11" t="s">
        <v>21</v>
      </c>
      <c r="I644" s="11" t="s">
        <v>114</v>
      </c>
      <c r="J644" s="11" t="s">
        <v>250</v>
      </c>
      <c r="K644" s="11" t="n">
        <v>3</v>
      </c>
      <c r="L644" s="15" t="n">
        <v>11089.19</v>
      </c>
      <c r="M644" s="11" t="n">
        <v>10</v>
      </c>
      <c r="N644" s="15" t="n">
        <v>33267.57</v>
      </c>
      <c r="O644" s="15" t="n">
        <v>3326.76</v>
      </c>
      <c r="P644" s="15" t="n">
        <v>29940.81</v>
      </c>
      <c r="Q644" s="15" t="n">
        <v>0</v>
      </c>
      <c r="R644" s="11" t="n">
        <v>0</v>
      </c>
      <c r="S644" s="15" t="n">
        <f aca="false">P644-Q644</f>
        <v>29940.81</v>
      </c>
      <c r="T644" s="11" t="n">
        <f aca="false">IF(OR(J644="Completed",J644="Returned"),1,0)</f>
        <v>0</v>
      </c>
    </row>
    <row r="645" customFormat="false" ht="15" hidden="false" customHeight="false" outlineLevel="0" collapsed="false">
      <c r="A645" s="11" t="s">
        <v>1560</v>
      </c>
      <c r="B645" s="11" t="s">
        <v>364</v>
      </c>
      <c r="C645" s="24" t="n">
        <v>45432</v>
      </c>
      <c r="D645" s="11" t="s">
        <v>36</v>
      </c>
      <c r="E645" s="11" t="s">
        <v>1558</v>
      </c>
      <c r="F645" s="11" t="s">
        <v>70</v>
      </c>
      <c r="G645" s="11" t="s">
        <v>127</v>
      </c>
      <c r="H645" s="11" t="s">
        <v>21</v>
      </c>
      <c r="I645" s="11" t="s">
        <v>114</v>
      </c>
      <c r="J645" s="11" t="s">
        <v>250</v>
      </c>
      <c r="K645" s="11" t="n">
        <v>1</v>
      </c>
      <c r="L645" s="15" t="n">
        <v>1116.12</v>
      </c>
      <c r="M645" s="11" t="n">
        <v>10</v>
      </c>
      <c r="N645" s="15" t="n">
        <v>1116.12</v>
      </c>
      <c r="O645" s="15" t="n">
        <v>111.61</v>
      </c>
      <c r="P645" s="15" t="n">
        <v>1004.51</v>
      </c>
      <c r="Q645" s="15" t="n">
        <v>0</v>
      </c>
      <c r="R645" s="11" t="n">
        <v>0</v>
      </c>
      <c r="S645" s="15" t="n">
        <f aca="false">P645-Q645</f>
        <v>1004.51</v>
      </c>
      <c r="T645" s="11" t="n">
        <f aca="false">IF(OR(J645="Completed",J645="Returned"),1,0)</f>
        <v>0</v>
      </c>
    </row>
    <row r="646" customFormat="false" ht="15" hidden="false" customHeight="false" outlineLevel="0" collapsed="false">
      <c r="A646" s="11" t="s">
        <v>1561</v>
      </c>
      <c r="B646" s="11" t="s">
        <v>548</v>
      </c>
      <c r="C646" s="24" t="n">
        <v>45649</v>
      </c>
      <c r="D646" s="11" t="s">
        <v>43</v>
      </c>
      <c r="E646" s="11" t="s">
        <v>1551</v>
      </c>
      <c r="F646" s="11" t="s">
        <v>82</v>
      </c>
      <c r="G646" s="11" t="s">
        <v>152</v>
      </c>
      <c r="H646" s="11" t="s">
        <v>23</v>
      </c>
      <c r="I646" s="11" t="s">
        <v>115</v>
      </c>
      <c r="J646" s="11" t="s">
        <v>242</v>
      </c>
      <c r="K646" s="11" t="n">
        <v>4</v>
      </c>
      <c r="L646" s="15" t="n">
        <v>9953.59</v>
      </c>
      <c r="M646" s="11" t="n">
        <v>0</v>
      </c>
      <c r="N646" s="15" t="n">
        <v>39814.36</v>
      </c>
      <c r="O646" s="15" t="n">
        <v>0</v>
      </c>
      <c r="P646" s="15" t="n">
        <v>39814.36</v>
      </c>
      <c r="Q646" s="15" t="n">
        <v>0</v>
      </c>
      <c r="R646" s="11" t="n">
        <v>0</v>
      </c>
      <c r="S646" s="15" t="n">
        <f aca="false">P646-Q646</f>
        <v>39814.36</v>
      </c>
      <c r="T646" s="11" t="n">
        <f aca="false">IF(OR(J646="Completed",J646="Returned"),1,0)</f>
        <v>1</v>
      </c>
    </row>
    <row r="647" customFormat="false" ht="15" hidden="false" customHeight="false" outlineLevel="0" collapsed="false">
      <c r="A647" s="11" t="s">
        <v>1562</v>
      </c>
      <c r="B647" s="11" t="s">
        <v>548</v>
      </c>
      <c r="C647" s="24" t="n">
        <v>45649</v>
      </c>
      <c r="D647" s="11" t="s">
        <v>43</v>
      </c>
      <c r="E647" s="11" t="s">
        <v>1551</v>
      </c>
      <c r="F647" s="11" t="s">
        <v>82</v>
      </c>
      <c r="G647" s="11" t="s">
        <v>131</v>
      </c>
      <c r="H647" s="11" t="s">
        <v>22</v>
      </c>
      <c r="I647" s="11" t="s">
        <v>115</v>
      </c>
      <c r="J647" s="11" t="s">
        <v>242</v>
      </c>
      <c r="K647" s="11" t="n">
        <v>2</v>
      </c>
      <c r="L647" s="15" t="n">
        <v>11284.39</v>
      </c>
      <c r="M647" s="11" t="n">
        <v>5</v>
      </c>
      <c r="N647" s="15" t="n">
        <v>22568.78</v>
      </c>
      <c r="O647" s="15" t="n">
        <v>1128.44</v>
      </c>
      <c r="P647" s="15" t="n">
        <v>21440.34</v>
      </c>
      <c r="Q647" s="15" t="n">
        <v>20423.44</v>
      </c>
      <c r="R647" s="11" t="n">
        <v>2</v>
      </c>
      <c r="S647" s="15" t="n">
        <f aca="false">P647-Q647</f>
        <v>1016.9</v>
      </c>
      <c r="T647" s="11" t="n">
        <f aca="false">IF(OR(J647="Completed",J647="Returned"),1,0)</f>
        <v>1</v>
      </c>
    </row>
    <row r="648" customFormat="false" ht="15" hidden="false" customHeight="false" outlineLevel="0" collapsed="false">
      <c r="A648" s="11" t="s">
        <v>1563</v>
      </c>
      <c r="B648" s="11" t="s">
        <v>323</v>
      </c>
      <c r="C648" s="24" t="n">
        <v>45425</v>
      </c>
      <c r="D648" s="11" t="s">
        <v>36</v>
      </c>
      <c r="E648" s="11" t="s">
        <v>1207</v>
      </c>
      <c r="F648" s="11" t="s">
        <v>78</v>
      </c>
      <c r="G648" s="11" t="s">
        <v>160</v>
      </c>
      <c r="H648" s="11" t="s">
        <v>23</v>
      </c>
      <c r="I648" s="11" t="s">
        <v>113</v>
      </c>
      <c r="J648" s="11" t="s">
        <v>242</v>
      </c>
      <c r="K648" s="11" t="n">
        <v>3</v>
      </c>
      <c r="L648" s="15" t="n">
        <v>21122.18</v>
      </c>
      <c r="M648" s="11" t="n">
        <v>0</v>
      </c>
      <c r="N648" s="15" t="n">
        <v>63366.54</v>
      </c>
      <c r="O648" s="15" t="n">
        <v>0</v>
      </c>
      <c r="P648" s="15" t="n">
        <v>63366.54</v>
      </c>
      <c r="Q648" s="15" t="n">
        <v>0</v>
      </c>
      <c r="R648" s="11" t="n">
        <v>0</v>
      </c>
      <c r="S648" s="15" t="n">
        <f aca="false">P648-Q648</f>
        <v>63366.54</v>
      </c>
      <c r="T648" s="11" t="n">
        <f aca="false">IF(OR(J648="Completed",J648="Returned"),1,0)</f>
        <v>1</v>
      </c>
    </row>
    <row r="649" customFormat="false" ht="15" hidden="false" customHeight="false" outlineLevel="0" collapsed="false">
      <c r="A649" s="11" t="s">
        <v>1564</v>
      </c>
      <c r="B649" s="11" t="s">
        <v>323</v>
      </c>
      <c r="C649" s="24" t="n">
        <v>45425</v>
      </c>
      <c r="D649" s="11" t="s">
        <v>36</v>
      </c>
      <c r="E649" s="11" t="s">
        <v>1207</v>
      </c>
      <c r="F649" s="11" t="s">
        <v>78</v>
      </c>
      <c r="G649" s="11" t="s">
        <v>148</v>
      </c>
      <c r="H649" s="11" t="s">
        <v>21</v>
      </c>
      <c r="I649" s="11" t="s">
        <v>113</v>
      </c>
      <c r="J649" s="11" t="s">
        <v>242</v>
      </c>
      <c r="K649" s="11" t="n">
        <v>5</v>
      </c>
      <c r="L649" s="15" t="n">
        <v>11434.02</v>
      </c>
      <c r="M649" s="11" t="n">
        <v>0</v>
      </c>
      <c r="N649" s="15" t="n">
        <v>57170.1</v>
      </c>
      <c r="O649" s="15" t="n">
        <v>0</v>
      </c>
      <c r="P649" s="15" t="n">
        <v>57170.1</v>
      </c>
      <c r="Q649" s="15" t="n">
        <v>0</v>
      </c>
      <c r="R649" s="11" t="n">
        <v>0</v>
      </c>
      <c r="S649" s="15" t="n">
        <f aca="false">P649-Q649</f>
        <v>57170.1</v>
      </c>
      <c r="T649" s="11" t="n">
        <f aca="false">IF(OR(J649="Completed",J649="Returned"),1,0)</f>
        <v>1</v>
      </c>
    </row>
    <row r="650" customFormat="false" ht="15" hidden="false" customHeight="false" outlineLevel="0" collapsed="false">
      <c r="A650" s="11" t="s">
        <v>1565</v>
      </c>
      <c r="B650" s="11" t="s">
        <v>456</v>
      </c>
      <c r="C650" s="24" t="n">
        <v>45734</v>
      </c>
      <c r="D650" s="11" t="s">
        <v>46</v>
      </c>
      <c r="E650" s="11" t="s">
        <v>1050</v>
      </c>
      <c r="F650" s="11" t="s">
        <v>74</v>
      </c>
      <c r="G650" s="11" t="s">
        <v>970</v>
      </c>
      <c r="H650" s="11" t="s">
        <v>20</v>
      </c>
      <c r="I650" s="11" t="s">
        <v>115</v>
      </c>
      <c r="J650" s="11" t="s">
        <v>242</v>
      </c>
      <c r="K650" s="11" t="n">
        <v>4</v>
      </c>
      <c r="L650" s="15" t="n">
        <v>15383.27</v>
      </c>
      <c r="M650" s="11" t="n">
        <v>0</v>
      </c>
      <c r="N650" s="15" t="n">
        <v>61533.08</v>
      </c>
      <c r="O650" s="15" t="n">
        <v>0</v>
      </c>
      <c r="P650" s="15" t="n">
        <v>61533.08</v>
      </c>
      <c r="Q650" s="15" t="n">
        <v>0</v>
      </c>
      <c r="R650" s="11" t="n">
        <v>0</v>
      </c>
      <c r="S650" s="15" t="n">
        <f aca="false">P650-Q650</f>
        <v>61533.08</v>
      </c>
      <c r="T650" s="11" t="n">
        <f aca="false">IF(OR(J650="Completed",J650="Returned"),1,0)</f>
        <v>1</v>
      </c>
    </row>
    <row r="651" customFormat="false" ht="15" hidden="false" customHeight="false" outlineLevel="0" collapsed="false">
      <c r="A651" s="11" t="s">
        <v>1566</v>
      </c>
      <c r="B651" s="11" t="s">
        <v>456</v>
      </c>
      <c r="C651" s="24" t="n">
        <v>45734</v>
      </c>
      <c r="D651" s="11" t="s">
        <v>46</v>
      </c>
      <c r="E651" s="11" t="s">
        <v>1050</v>
      </c>
      <c r="F651" s="11" t="s">
        <v>74</v>
      </c>
      <c r="G651" s="11" t="s">
        <v>786</v>
      </c>
      <c r="H651" s="11" t="s">
        <v>24</v>
      </c>
      <c r="I651" s="11" t="s">
        <v>115</v>
      </c>
      <c r="J651" s="11" t="s">
        <v>242</v>
      </c>
      <c r="K651" s="11" t="n">
        <v>1</v>
      </c>
      <c r="L651" s="15" t="n">
        <v>17477.91</v>
      </c>
      <c r="M651" s="11" t="n">
        <v>20</v>
      </c>
      <c r="N651" s="15" t="n">
        <v>17477.91</v>
      </c>
      <c r="O651" s="15" t="n">
        <v>3495.58</v>
      </c>
      <c r="P651" s="15" t="n">
        <v>13982.33</v>
      </c>
      <c r="Q651" s="15" t="n">
        <v>0</v>
      </c>
      <c r="R651" s="11" t="n">
        <v>0</v>
      </c>
      <c r="S651" s="15" t="n">
        <f aca="false">P651-Q651</f>
        <v>13982.33</v>
      </c>
      <c r="T651" s="11" t="n">
        <f aca="false">IF(OR(J651="Completed",J651="Returned"),1,0)</f>
        <v>1</v>
      </c>
    </row>
    <row r="652" customFormat="false" ht="15" hidden="false" customHeight="false" outlineLevel="0" collapsed="false">
      <c r="A652" s="11" t="s">
        <v>1567</v>
      </c>
      <c r="B652" s="11" t="s">
        <v>260</v>
      </c>
      <c r="C652" s="24" t="n">
        <v>45542</v>
      </c>
      <c r="D652" s="11" t="s">
        <v>40</v>
      </c>
      <c r="E652" s="11" t="s">
        <v>68</v>
      </c>
      <c r="F652" s="11" t="s">
        <v>70</v>
      </c>
      <c r="G652" s="11" t="s">
        <v>1022</v>
      </c>
      <c r="H652" s="11" t="s">
        <v>20</v>
      </c>
      <c r="I652" s="11" t="s">
        <v>115</v>
      </c>
      <c r="J652" s="11" t="s">
        <v>242</v>
      </c>
      <c r="K652" s="11" t="n">
        <v>2</v>
      </c>
      <c r="L652" s="15" t="n">
        <v>13809.86</v>
      </c>
      <c r="M652" s="11" t="n">
        <v>0</v>
      </c>
      <c r="N652" s="15" t="n">
        <v>27619.72</v>
      </c>
      <c r="O652" s="15" t="n">
        <v>0</v>
      </c>
      <c r="P652" s="15" t="n">
        <v>27619.72</v>
      </c>
      <c r="Q652" s="15" t="n">
        <v>0</v>
      </c>
      <c r="R652" s="11" t="n">
        <v>0</v>
      </c>
      <c r="S652" s="15" t="n">
        <f aca="false">P652-Q652</f>
        <v>27619.72</v>
      </c>
      <c r="T652" s="11" t="n">
        <f aca="false">IF(OR(J652="Completed",J652="Returned"),1,0)</f>
        <v>1</v>
      </c>
    </row>
    <row r="653" customFormat="false" ht="15" hidden="false" customHeight="false" outlineLevel="0" collapsed="false">
      <c r="A653" s="11" t="s">
        <v>1568</v>
      </c>
      <c r="B653" s="11" t="s">
        <v>260</v>
      </c>
      <c r="C653" s="24" t="n">
        <v>45542</v>
      </c>
      <c r="D653" s="11" t="s">
        <v>40</v>
      </c>
      <c r="E653" s="11" t="s">
        <v>68</v>
      </c>
      <c r="F653" s="11" t="s">
        <v>70</v>
      </c>
      <c r="G653" s="11" t="s">
        <v>605</v>
      </c>
      <c r="H653" s="11" t="s">
        <v>24</v>
      </c>
      <c r="I653" s="11" t="s">
        <v>115</v>
      </c>
      <c r="J653" s="11" t="s">
        <v>242</v>
      </c>
      <c r="K653" s="11" t="n">
        <v>5</v>
      </c>
      <c r="L653" s="15" t="n">
        <v>5818.64</v>
      </c>
      <c r="M653" s="11" t="n">
        <v>0</v>
      </c>
      <c r="N653" s="15" t="n">
        <v>29093.2</v>
      </c>
      <c r="O653" s="15" t="n">
        <v>0</v>
      </c>
      <c r="P653" s="15" t="n">
        <v>29093.2</v>
      </c>
      <c r="Q653" s="15" t="n">
        <v>0</v>
      </c>
      <c r="R653" s="11" t="n">
        <v>0</v>
      </c>
      <c r="S653" s="15" t="n">
        <f aca="false">P653-Q653</f>
        <v>29093.2</v>
      </c>
      <c r="T653" s="11" t="n">
        <f aca="false">IF(OR(J653="Completed",J653="Returned"),1,0)</f>
        <v>1</v>
      </c>
    </row>
    <row r="654" customFormat="false" ht="15" hidden="false" customHeight="false" outlineLevel="0" collapsed="false">
      <c r="A654" s="11" t="s">
        <v>1569</v>
      </c>
      <c r="B654" s="11" t="s">
        <v>260</v>
      </c>
      <c r="C654" s="24" t="n">
        <v>45542</v>
      </c>
      <c r="D654" s="11" t="s">
        <v>40</v>
      </c>
      <c r="E654" s="11" t="s">
        <v>68</v>
      </c>
      <c r="F654" s="11" t="s">
        <v>70</v>
      </c>
      <c r="G654" s="11" t="s">
        <v>160</v>
      </c>
      <c r="H654" s="11" t="s">
        <v>23</v>
      </c>
      <c r="I654" s="11" t="s">
        <v>115</v>
      </c>
      <c r="J654" s="11" t="s">
        <v>242</v>
      </c>
      <c r="K654" s="11" t="n">
        <v>5</v>
      </c>
      <c r="L654" s="15" t="n">
        <v>21122.18</v>
      </c>
      <c r="M654" s="11" t="n">
        <v>20</v>
      </c>
      <c r="N654" s="15" t="n">
        <v>105610.9</v>
      </c>
      <c r="O654" s="15" t="n">
        <v>21122.18</v>
      </c>
      <c r="P654" s="15" t="n">
        <v>84488.72</v>
      </c>
      <c r="Q654" s="15" t="n">
        <v>0</v>
      </c>
      <c r="R654" s="11" t="n">
        <v>0</v>
      </c>
      <c r="S654" s="15" t="n">
        <f aca="false">P654-Q654</f>
        <v>84488.72</v>
      </c>
      <c r="T654" s="11" t="n">
        <f aca="false">IF(OR(J654="Completed",J654="Returned"),1,0)</f>
        <v>1</v>
      </c>
    </row>
    <row r="655" customFormat="false" ht="15" hidden="false" customHeight="false" outlineLevel="0" collapsed="false">
      <c r="A655" s="11" t="s">
        <v>1570</v>
      </c>
      <c r="B655" s="11" t="s">
        <v>465</v>
      </c>
      <c r="C655" s="24" t="n">
        <v>45309</v>
      </c>
      <c r="D655" s="11" t="s">
        <v>32</v>
      </c>
      <c r="E655" s="11" t="s">
        <v>961</v>
      </c>
      <c r="F655" s="11" t="s">
        <v>78</v>
      </c>
      <c r="G655" s="11" t="s">
        <v>156</v>
      </c>
      <c r="H655" s="11" t="s">
        <v>23</v>
      </c>
      <c r="I655" s="11" t="s">
        <v>113</v>
      </c>
      <c r="J655" s="11" t="s">
        <v>242</v>
      </c>
      <c r="K655" s="11" t="n">
        <v>4</v>
      </c>
      <c r="L655" s="15" t="n">
        <v>11992.92</v>
      </c>
      <c r="M655" s="11" t="n">
        <v>0</v>
      </c>
      <c r="N655" s="15" t="n">
        <v>47971.68</v>
      </c>
      <c r="O655" s="15" t="n">
        <v>0</v>
      </c>
      <c r="P655" s="15" t="n">
        <v>47971.68</v>
      </c>
      <c r="Q655" s="15" t="n">
        <v>0</v>
      </c>
      <c r="R655" s="11" t="n">
        <v>0</v>
      </c>
      <c r="S655" s="15" t="n">
        <f aca="false">P655-Q655</f>
        <v>47971.68</v>
      </c>
      <c r="T655" s="11" t="n">
        <f aca="false">IF(OR(J655="Completed",J655="Returned"),1,0)</f>
        <v>1</v>
      </c>
    </row>
    <row r="656" customFormat="false" ht="15" hidden="false" customHeight="false" outlineLevel="0" collapsed="false">
      <c r="A656" s="11" t="s">
        <v>1571</v>
      </c>
      <c r="B656" s="11" t="s">
        <v>493</v>
      </c>
      <c r="C656" s="24" t="n">
        <v>44133</v>
      </c>
      <c r="D656" s="11" t="s">
        <v>27</v>
      </c>
      <c r="E656" s="11" t="s">
        <v>98</v>
      </c>
      <c r="F656" s="11" t="s">
        <v>70</v>
      </c>
      <c r="G656" s="11" t="s">
        <v>835</v>
      </c>
      <c r="H656" s="11" t="s">
        <v>22</v>
      </c>
      <c r="I656" s="11" t="s">
        <v>114</v>
      </c>
      <c r="J656" s="11" t="s">
        <v>269</v>
      </c>
      <c r="K656" s="11" t="n">
        <v>2</v>
      </c>
      <c r="L656" s="15" t="n">
        <v>22572.25</v>
      </c>
      <c r="M656" s="11" t="n">
        <v>0</v>
      </c>
      <c r="N656" s="15" t="n">
        <v>45144.5</v>
      </c>
      <c r="O656" s="15" t="n">
        <v>0</v>
      </c>
      <c r="P656" s="15" t="n">
        <v>45144.5</v>
      </c>
      <c r="Q656" s="15" t="n">
        <v>0</v>
      </c>
      <c r="R656" s="11" t="n">
        <v>0</v>
      </c>
      <c r="S656" s="15" t="n">
        <f aca="false">P656-Q656</f>
        <v>45144.5</v>
      </c>
      <c r="T656" s="11" t="n">
        <f aca="false">IF(OR(J656="Completed",J656="Returned"),1,0)</f>
        <v>1</v>
      </c>
    </row>
    <row r="657" customFormat="false" ht="15" hidden="false" customHeight="false" outlineLevel="0" collapsed="false">
      <c r="A657" s="11" t="s">
        <v>1572</v>
      </c>
      <c r="B657" s="11" t="s">
        <v>527</v>
      </c>
      <c r="C657" s="24" t="n">
        <v>45467</v>
      </c>
      <c r="D657" s="11" t="s">
        <v>37</v>
      </c>
      <c r="E657" s="11" t="s">
        <v>1087</v>
      </c>
      <c r="F657" s="11" t="s">
        <v>78</v>
      </c>
      <c r="G657" s="11" t="s">
        <v>907</v>
      </c>
      <c r="H657" s="11" t="s">
        <v>22</v>
      </c>
      <c r="I657" s="11" t="s">
        <v>113</v>
      </c>
      <c r="J657" s="11" t="s">
        <v>242</v>
      </c>
      <c r="K657" s="11" t="n">
        <v>1</v>
      </c>
      <c r="L657" s="15" t="n">
        <v>25643.17</v>
      </c>
      <c r="M657" s="11" t="n">
        <v>10</v>
      </c>
      <c r="N657" s="15" t="n">
        <v>25643.17</v>
      </c>
      <c r="O657" s="15" t="n">
        <v>2564.32</v>
      </c>
      <c r="P657" s="15" t="n">
        <v>23078.85</v>
      </c>
      <c r="Q657" s="15" t="n">
        <v>0</v>
      </c>
      <c r="R657" s="11" t="n">
        <v>0</v>
      </c>
      <c r="S657" s="15" t="n">
        <f aca="false">P657-Q657</f>
        <v>23078.85</v>
      </c>
      <c r="T657" s="11" t="n">
        <f aca="false">IF(OR(J657="Completed",J657="Returned"),1,0)</f>
        <v>1</v>
      </c>
    </row>
    <row r="658" customFormat="false" ht="15" hidden="false" customHeight="false" outlineLevel="0" collapsed="false">
      <c r="A658" s="11" t="s">
        <v>1573</v>
      </c>
      <c r="B658" s="11" t="s">
        <v>527</v>
      </c>
      <c r="C658" s="24" t="n">
        <v>45467</v>
      </c>
      <c r="D658" s="11" t="s">
        <v>37</v>
      </c>
      <c r="E658" s="11" t="s">
        <v>1087</v>
      </c>
      <c r="F658" s="11" t="s">
        <v>78</v>
      </c>
      <c r="G658" s="11" t="s">
        <v>615</v>
      </c>
      <c r="H658" s="11" t="s">
        <v>23</v>
      </c>
      <c r="I658" s="11" t="s">
        <v>113</v>
      </c>
      <c r="J658" s="11" t="s">
        <v>242</v>
      </c>
      <c r="K658" s="11" t="n">
        <v>3</v>
      </c>
      <c r="L658" s="15" t="n">
        <v>2863.09</v>
      </c>
      <c r="M658" s="11" t="n">
        <v>0</v>
      </c>
      <c r="N658" s="15" t="n">
        <v>8589.27</v>
      </c>
      <c r="O658" s="15" t="n">
        <v>0</v>
      </c>
      <c r="P658" s="15" t="n">
        <v>8589.27</v>
      </c>
      <c r="Q658" s="15" t="n">
        <v>0</v>
      </c>
      <c r="R658" s="11" t="n">
        <v>0</v>
      </c>
      <c r="S658" s="15" t="n">
        <f aca="false">P658-Q658</f>
        <v>8589.27</v>
      </c>
      <c r="T658" s="11" t="n">
        <f aca="false">IF(OR(J658="Completed",J658="Returned"),1,0)</f>
        <v>1</v>
      </c>
    </row>
    <row r="659" customFormat="false" ht="15" hidden="false" customHeight="false" outlineLevel="0" collapsed="false">
      <c r="A659" s="11" t="s">
        <v>1574</v>
      </c>
      <c r="B659" s="11" t="s">
        <v>527</v>
      </c>
      <c r="C659" s="24" t="n">
        <v>45467</v>
      </c>
      <c r="D659" s="11" t="s">
        <v>37</v>
      </c>
      <c r="E659" s="11" t="s">
        <v>1087</v>
      </c>
      <c r="F659" s="11" t="s">
        <v>78</v>
      </c>
      <c r="G659" s="11" t="s">
        <v>137</v>
      </c>
      <c r="H659" s="11" t="s">
        <v>22</v>
      </c>
      <c r="I659" s="11" t="s">
        <v>113</v>
      </c>
      <c r="J659" s="11" t="s">
        <v>242</v>
      </c>
      <c r="K659" s="11" t="n">
        <v>1</v>
      </c>
      <c r="L659" s="15" t="n">
        <v>12393.99</v>
      </c>
      <c r="M659" s="11" t="n">
        <v>20</v>
      </c>
      <c r="N659" s="15" t="n">
        <v>12393.99</v>
      </c>
      <c r="O659" s="15" t="n">
        <v>2478.8</v>
      </c>
      <c r="P659" s="15" t="n">
        <v>9915.19</v>
      </c>
      <c r="Q659" s="15" t="n">
        <v>0</v>
      </c>
      <c r="R659" s="11" t="n">
        <v>0</v>
      </c>
      <c r="S659" s="15" t="n">
        <f aca="false">P659-Q659</f>
        <v>9915.19</v>
      </c>
      <c r="T659" s="11" t="n">
        <f aca="false">IF(OR(J659="Completed",J659="Returned"),1,0)</f>
        <v>1</v>
      </c>
    </row>
    <row r="660" customFormat="false" ht="15" hidden="false" customHeight="false" outlineLevel="0" collapsed="false">
      <c r="A660" s="11" t="s">
        <v>1575</v>
      </c>
      <c r="B660" s="11" t="s">
        <v>351</v>
      </c>
      <c r="C660" s="24" t="n">
        <v>45328</v>
      </c>
      <c r="D660" s="11" t="s">
        <v>33</v>
      </c>
      <c r="E660" s="11" t="s">
        <v>1576</v>
      </c>
      <c r="F660" s="11" t="s">
        <v>78</v>
      </c>
      <c r="G660" s="11" t="s">
        <v>148</v>
      </c>
      <c r="H660" s="11" t="s">
        <v>21</v>
      </c>
      <c r="I660" s="11" t="s">
        <v>115</v>
      </c>
      <c r="J660" s="11" t="s">
        <v>242</v>
      </c>
      <c r="K660" s="11" t="n">
        <v>5</v>
      </c>
      <c r="L660" s="15" t="n">
        <v>11434.02</v>
      </c>
      <c r="M660" s="11" t="n">
        <v>0</v>
      </c>
      <c r="N660" s="15" t="n">
        <v>57170.1</v>
      </c>
      <c r="O660" s="15" t="n">
        <v>0</v>
      </c>
      <c r="P660" s="15" t="n">
        <v>57170.1</v>
      </c>
      <c r="Q660" s="15" t="n">
        <v>0</v>
      </c>
      <c r="R660" s="11" t="n">
        <v>0</v>
      </c>
      <c r="S660" s="15" t="n">
        <f aca="false">P660-Q660</f>
        <v>57170.1</v>
      </c>
      <c r="T660" s="11" t="n">
        <f aca="false">IF(OR(J660="Completed",J660="Returned"),1,0)</f>
        <v>1</v>
      </c>
    </row>
    <row r="661" customFormat="false" ht="15" hidden="false" customHeight="false" outlineLevel="0" collapsed="false">
      <c r="A661" s="11" t="s">
        <v>1577</v>
      </c>
      <c r="B661" s="11" t="s">
        <v>351</v>
      </c>
      <c r="C661" s="24" t="n">
        <v>45328</v>
      </c>
      <c r="D661" s="11" t="s">
        <v>33</v>
      </c>
      <c r="E661" s="11" t="s">
        <v>1576</v>
      </c>
      <c r="F661" s="11" t="s">
        <v>78</v>
      </c>
      <c r="G661" s="11" t="s">
        <v>631</v>
      </c>
      <c r="H661" s="11" t="s">
        <v>24</v>
      </c>
      <c r="I661" s="11" t="s">
        <v>115</v>
      </c>
      <c r="J661" s="11" t="s">
        <v>242</v>
      </c>
      <c r="K661" s="11" t="n">
        <v>2</v>
      </c>
      <c r="L661" s="15" t="n">
        <v>11518.86</v>
      </c>
      <c r="M661" s="11" t="n">
        <v>15</v>
      </c>
      <c r="N661" s="15" t="n">
        <v>23037.72</v>
      </c>
      <c r="O661" s="15" t="n">
        <v>3455.66</v>
      </c>
      <c r="P661" s="15" t="n">
        <v>19582.06</v>
      </c>
      <c r="Q661" s="15" t="n">
        <v>0</v>
      </c>
      <c r="R661" s="11" t="n">
        <v>0</v>
      </c>
      <c r="S661" s="15" t="n">
        <f aca="false">P661-Q661</f>
        <v>19582.06</v>
      </c>
      <c r="T661" s="11" t="n">
        <f aca="false">IF(OR(J661="Completed",J661="Returned"),1,0)</f>
        <v>1</v>
      </c>
    </row>
    <row r="662" customFormat="false" ht="15" hidden="false" customHeight="false" outlineLevel="0" collapsed="false">
      <c r="A662" s="11" t="s">
        <v>1578</v>
      </c>
      <c r="B662" s="11" t="s">
        <v>438</v>
      </c>
      <c r="C662" s="24" t="n">
        <v>45859</v>
      </c>
      <c r="D662" s="11" t="s">
        <v>50</v>
      </c>
      <c r="E662" s="11" t="s">
        <v>1492</v>
      </c>
      <c r="F662" s="11" t="s">
        <v>70</v>
      </c>
      <c r="G662" s="11" t="s">
        <v>833</v>
      </c>
      <c r="H662" s="11" t="s">
        <v>23</v>
      </c>
      <c r="I662" s="11" t="s">
        <v>115</v>
      </c>
      <c r="J662" s="11" t="s">
        <v>250</v>
      </c>
      <c r="K662" s="11" t="n">
        <v>4</v>
      </c>
      <c r="L662" s="15" t="n">
        <v>14595.44</v>
      </c>
      <c r="M662" s="11" t="n">
        <v>0</v>
      </c>
      <c r="N662" s="15" t="n">
        <v>58381.76</v>
      </c>
      <c r="O662" s="15" t="n">
        <v>0</v>
      </c>
      <c r="P662" s="15" t="n">
        <v>58381.76</v>
      </c>
      <c r="Q662" s="15" t="n">
        <v>0</v>
      </c>
      <c r="R662" s="11" t="n">
        <v>0</v>
      </c>
      <c r="S662" s="15" t="n">
        <f aca="false">P662-Q662</f>
        <v>58381.76</v>
      </c>
      <c r="T662" s="11" t="n">
        <f aca="false">IF(OR(J662="Completed",J662="Returned"),1,0)</f>
        <v>0</v>
      </c>
    </row>
    <row r="663" customFormat="false" ht="15" hidden="false" customHeight="false" outlineLevel="0" collapsed="false">
      <c r="A663" s="11" t="s">
        <v>1579</v>
      </c>
      <c r="B663" s="11" t="s">
        <v>438</v>
      </c>
      <c r="C663" s="24" t="n">
        <v>45859</v>
      </c>
      <c r="D663" s="11" t="s">
        <v>50</v>
      </c>
      <c r="E663" s="11" t="s">
        <v>1492</v>
      </c>
      <c r="F663" s="11" t="s">
        <v>70</v>
      </c>
      <c r="G663" s="11" t="s">
        <v>607</v>
      </c>
      <c r="H663" s="11" t="s">
        <v>22</v>
      </c>
      <c r="I663" s="11" t="s">
        <v>115</v>
      </c>
      <c r="J663" s="11" t="s">
        <v>250</v>
      </c>
      <c r="K663" s="11" t="n">
        <v>3</v>
      </c>
      <c r="L663" s="15" t="n">
        <v>11569.57</v>
      </c>
      <c r="M663" s="11" t="n">
        <v>5</v>
      </c>
      <c r="N663" s="15" t="n">
        <v>34708.71</v>
      </c>
      <c r="O663" s="15" t="n">
        <v>1735.44</v>
      </c>
      <c r="P663" s="15" t="n">
        <v>32973.27</v>
      </c>
      <c r="Q663" s="15" t="n">
        <v>0</v>
      </c>
      <c r="R663" s="11" t="n">
        <v>0</v>
      </c>
      <c r="S663" s="15" t="n">
        <f aca="false">P663-Q663</f>
        <v>32973.27</v>
      </c>
      <c r="T663" s="11" t="n">
        <f aca="false">IF(OR(J663="Completed",J663="Returned"),1,0)</f>
        <v>0</v>
      </c>
    </row>
    <row r="664" customFormat="false" ht="15" hidden="false" customHeight="false" outlineLevel="0" collapsed="false">
      <c r="A664" s="11" t="s">
        <v>1580</v>
      </c>
      <c r="B664" s="11" t="s">
        <v>406</v>
      </c>
      <c r="C664" s="24" t="n">
        <v>45836</v>
      </c>
      <c r="D664" s="11" t="s">
        <v>49</v>
      </c>
      <c r="E664" s="11" t="s">
        <v>1581</v>
      </c>
      <c r="F664" s="11" t="s">
        <v>82</v>
      </c>
      <c r="G664" s="11" t="s">
        <v>131</v>
      </c>
      <c r="H664" s="11" t="s">
        <v>22</v>
      </c>
      <c r="I664" s="11" t="s">
        <v>114</v>
      </c>
      <c r="J664" s="11" t="s">
        <v>242</v>
      </c>
      <c r="K664" s="11" t="n">
        <v>3</v>
      </c>
      <c r="L664" s="15" t="n">
        <v>11284.39</v>
      </c>
      <c r="M664" s="11" t="n">
        <v>0</v>
      </c>
      <c r="N664" s="15" t="n">
        <v>33853.17</v>
      </c>
      <c r="O664" s="15" t="n">
        <v>0</v>
      </c>
      <c r="P664" s="15" t="n">
        <v>33853.17</v>
      </c>
      <c r="Q664" s="15" t="n">
        <v>0</v>
      </c>
      <c r="R664" s="11" t="n">
        <v>0</v>
      </c>
      <c r="S664" s="15" t="n">
        <f aca="false">P664-Q664</f>
        <v>33853.17</v>
      </c>
      <c r="T664" s="11" t="n">
        <f aca="false">IF(OR(J664="Completed",J664="Returned"),1,0)</f>
        <v>1</v>
      </c>
    </row>
    <row r="665" customFormat="false" ht="15" hidden="false" customHeight="false" outlineLevel="0" collapsed="false">
      <c r="A665" s="11" t="s">
        <v>1582</v>
      </c>
      <c r="B665" s="11" t="s">
        <v>406</v>
      </c>
      <c r="C665" s="24" t="n">
        <v>45836</v>
      </c>
      <c r="D665" s="11" t="s">
        <v>49</v>
      </c>
      <c r="E665" s="11" t="s">
        <v>1581</v>
      </c>
      <c r="F665" s="11" t="s">
        <v>82</v>
      </c>
      <c r="G665" s="11" t="s">
        <v>156</v>
      </c>
      <c r="H665" s="11" t="s">
        <v>23</v>
      </c>
      <c r="I665" s="11" t="s">
        <v>114</v>
      </c>
      <c r="J665" s="11" t="s">
        <v>242</v>
      </c>
      <c r="K665" s="11" t="n">
        <v>2</v>
      </c>
      <c r="L665" s="15" t="n">
        <v>11992.92</v>
      </c>
      <c r="M665" s="11" t="n">
        <v>0</v>
      </c>
      <c r="N665" s="15" t="n">
        <v>23985.84</v>
      </c>
      <c r="O665" s="15" t="n">
        <v>0</v>
      </c>
      <c r="P665" s="15" t="n">
        <v>23985.84</v>
      </c>
      <c r="Q665" s="15" t="n">
        <v>0</v>
      </c>
      <c r="R665" s="11" t="n">
        <v>0</v>
      </c>
      <c r="S665" s="15" t="n">
        <f aca="false">P665-Q665</f>
        <v>23985.84</v>
      </c>
      <c r="T665" s="11" t="n">
        <f aca="false">IF(OR(J665="Completed",J665="Returned"),1,0)</f>
        <v>1</v>
      </c>
    </row>
    <row r="666" customFormat="false" ht="15" hidden="false" customHeight="false" outlineLevel="0" collapsed="false">
      <c r="A666" s="11" t="s">
        <v>1583</v>
      </c>
      <c r="B666" s="11" t="s">
        <v>565</v>
      </c>
      <c r="C666" s="24" t="n">
        <v>45856</v>
      </c>
      <c r="D666" s="11" t="s">
        <v>50</v>
      </c>
      <c r="E666" s="11" t="s">
        <v>68</v>
      </c>
      <c r="F666" s="11" t="s">
        <v>70</v>
      </c>
      <c r="G666" s="11" t="s">
        <v>626</v>
      </c>
      <c r="H666" s="11" t="s">
        <v>24</v>
      </c>
      <c r="I666" s="11" t="s">
        <v>113</v>
      </c>
      <c r="J666" s="11" t="s">
        <v>269</v>
      </c>
      <c r="K666" s="11" t="n">
        <v>2</v>
      </c>
      <c r="L666" s="15" t="n">
        <v>11932.31</v>
      </c>
      <c r="M666" s="11" t="n">
        <v>10</v>
      </c>
      <c r="N666" s="15" t="n">
        <v>23864.62</v>
      </c>
      <c r="O666" s="15" t="n">
        <v>2386.46</v>
      </c>
      <c r="P666" s="15" t="n">
        <v>21478.16</v>
      </c>
      <c r="Q666" s="15" t="n">
        <v>0</v>
      </c>
      <c r="R666" s="11" t="n">
        <v>0</v>
      </c>
      <c r="S666" s="15" t="n">
        <f aca="false">P666-Q666</f>
        <v>21478.16</v>
      </c>
      <c r="T666" s="11" t="n">
        <f aca="false">IF(OR(J666="Completed",J666="Returned"),1,0)</f>
        <v>1</v>
      </c>
    </row>
    <row r="667" customFormat="false" ht="15" hidden="false" customHeight="false" outlineLevel="0" collapsed="false">
      <c r="A667" s="11" t="s">
        <v>1584</v>
      </c>
      <c r="B667" s="11" t="s">
        <v>565</v>
      </c>
      <c r="C667" s="24" t="n">
        <v>45856</v>
      </c>
      <c r="D667" s="11" t="s">
        <v>50</v>
      </c>
      <c r="E667" s="11" t="s">
        <v>68</v>
      </c>
      <c r="F667" s="11" t="s">
        <v>70</v>
      </c>
      <c r="G667" s="11" t="s">
        <v>129</v>
      </c>
      <c r="H667" s="11" t="s">
        <v>24</v>
      </c>
      <c r="I667" s="11" t="s">
        <v>113</v>
      </c>
      <c r="J667" s="11" t="s">
        <v>269</v>
      </c>
      <c r="K667" s="11" t="n">
        <v>4</v>
      </c>
      <c r="L667" s="15" t="n">
        <v>3184.81</v>
      </c>
      <c r="M667" s="11" t="n">
        <v>0</v>
      </c>
      <c r="N667" s="15" t="n">
        <v>12739.24</v>
      </c>
      <c r="O667" s="15" t="n">
        <v>0</v>
      </c>
      <c r="P667" s="15" t="n">
        <v>12739.24</v>
      </c>
      <c r="Q667" s="15" t="n">
        <v>0</v>
      </c>
      <c r="R667" s="11" t="n">
        <v>0</v>
      </c>
      <c r="S667" s="15" t="n">
        <f aca="false">P667-Q667</f>
        <v>12739.24</v>
      </c>
      <c r="T667" s="11" t="n">
        <f aca="false">IF(OR(J667="Completed",J667="Returned"),1,0)</f>
        <v>1</v>
      </c>
    </row>
    <row r="668" customFormat="false" ht="15" hidden="false" customHeight="false" outlineLevel="0" collapsed="false">
      <c r="A668" s="11" t="s">
        <v>1585</v>
      </c>
      <c r="B668" s="11" t="s">
        <v>565</v>
      </c>
      <c r="C668" s="24" t="n">
        <v>45856</v>
      </c>
      <c r="D668" s="11" t="s">
        <v>50</v>
      </c>
      <c r="E668" s="11" t="s">
        <v>68</v>
      </c>
      <c r="F668" s="11" t="s">
        <v>70</v>
      </c>
      <c r="G668" s="11" t="s">
        <v>637</v>
      </c>
      <c r="H668" s="11" t="s">
        <v>21</v>
      </c>
      <c r="I668" s="11" t="s">
        <v>113</v>
      </c>
      <c r="J668" s="11" t="s">
        <v>269</v>
      </c>
      <c r="K668" s="11" t="n">
        <v>5</v>
      </c>
      <c r="L668" s="15" t="n">
        <v>3019.36</v>
      </c>
      <c r="M668" s="11" t="n">
        <v>0</v>
      </c>
      <c r="N668" s="15" t="n">
        <v>15096.8</v>
      </c>
      <c r="O668" s="15" t="n">
        <v>0</v>
      </c>
      <c r="P668" s="15" t="n">
        <v>15096.8</v>
      </c>
      <c r="Q668" s="15" t="n">
        <v>0</v>
      </c>
      <c r="R668" s="11" t="n">
        <v>0</v>
      </c>
      <c r="S668" s="15" t="n">
        <f aca="false">P668-Q668</f>
        <v>15096.8</v>
      </c>
      <c r="T668" s="11" t="n">
        <f aca="false">IF(OR(J668="Completed",J668="Returned"),1,0)</f>
        <v>1</v>
      </c>
    </row>
    <row r="669" customFormat="false" ht="15" hidden="false" customHeight="false" outlineLevel="0" collapsed="false">
      <c r="A669" s="11" t="s">
        <v>1586</v>
      </c>
      <c r="B669" s="11" t="s">
        <v>492</v>
      </c>
      <c r="C669" s="24" t="n">
        <v>45714</v>
      </c>
      <c r="D669" s="11" t="s">
        <v>45</v>
      </c>
      <c r="E669" s="11" t="s">
        <v>917</v>
      </c>
      <c r="F669" s="11" t="s">
        <v>78</v>
      </c>
      <c r="G669" s="11" t="s">
        <v>628</v>
      </c>
      <c r="H669" s="11" t="s">
        <v>22</v>
      </c>
      <c r="I669" s="11" t="s">
        <v>115</v>
      </c>
      <c r="J669" s="11" t="s">
        <v>242</v>
      </c>
      <c r="K669" s="11" t="n">
        <v>4</v>
      </c>
      <c r="L669" s="15" t="n">
        <v>9269.43</v>
      </c>
      <c r="M669" s="11" t="n">
        <v>20</v>
      </c>
      <c r="N669" s="15" t="n">
        <v>37077.72</v>
      </c>
      <c r="O669" s="15" t="n">
        <v>7415.54</v>
      </c>
      <c r="P669" s="15" t="n">
        <v>29662.18</v>
      </c>
      <c r="Q669" s="15" t="n">
        <v>0</v>
      </c>
      <c r="R669" s="11" t="n">
        <v>0</v>
      </c>
      <c r="S669" s="15" t="n">
        <f aca="false">P669-Q669</f>
        <v>29662.18</v>
      </c>
      <c r="T669" s="11" t="n">
        <f aca="false">IF(OR(J669="Completed",J669="Returned"),1,0)</f>
        <v>1</v>
      </c>
    </row>
    <row r="670" customFormat="false" ht="15" hidden="false" customHeight="false" outlineLevel="0" collapsed="false">
      <c r="A670" s="11" t="s">
        <v>1587</v>
      </c>
      <c r="B670" s="11" t="s">
        <v>492</v>
      </c>
      <c r="C670" s="24" t="n">
        <v>45714</v>
      </c>
      <c r="D670" s="11" t="s">
        <v>45</v>
      </c>
      <c r="E670" s="11" t="s">
        <v>917</v>
      </c>
      <c r="F670" s="11" t="s">
        <v>78</v>
      </c>
      <c r="G670" s="11" t="s">
        <v>141</v>
      </c>
      <c r="H670" s="11" t="s">
        <v>24</v>
      </c>
      <c r="I670" s="11" t="s">
        <v>115</v>
      </c>
      <c r="J670" s="11" t="s">
        <v>242</v>
      </c>
      <c r="K670" s="11" t="n">
        <v>3</v>
      </c>
      <c r="L670" s="15" t="n">
        <v>20481.04</v>
      </c>
      <c r="M670" s="11" t="n">
        <v>20</v>
      </c>
      <c r="N670" s="15" t="n">
        <v>61443.12</v>
      </c>
      <c r="O670" s="15" t="n">
        <v>12288.62</v>
      </c>
      <c r="P670" s="15" t="n">
        <v>49154.5</v>
      </c>
      <c r="Q670" s="15" t="n">
        <v>0</v>
      </c>
      <c r="R670" s="11" t="n">
        <v>0</v>
      </c>
      <c r="S670" s="15" t="n">
        <f aca="false">P670-Q670</f>
        <v>49154.5</v>
      </c>
      <c r="T670" s="11" t="n">
        <f aca="false">IF(OR(J670="Completed",J670="Returned"),1,0)</f>
        <v>1</v>
      </c>
    </row>
    <row r="671" customFormat="false" ht="15" hidden="false" customHeight="false" outlineLevel="0" collapsed="false">
      <c r="A671" s="11" t="s">
        <v>1588</v>
      </c>
      <c r="B671" s="11" t="s">
        <v>492</v>
      </c>
      <c r="C671" s="24" t="n">
        <v>45714</v>
      </c>
      <c r="D671" s="11" t="s">
        <v>45</v>
      </c>
      <c r="E671" s="11" t="s">
        <v>917</v>
      </c>
      <c r="F671" s="11" t="s">
        <v>78</v>
      </c>
      <c r="G671" s="11" t="s">
        <v>1093</v>
      </c>
      <c r="H671" s="11" t="s">
        <v>21</v>
      </c>
      <c r="I671" s="11" t="s">
        <v>115</v>
      </c>
      <c r="J671" s="11" t="s">
        <v>242</v>
      </c>
      <c r="K671" s="11" t="n">
        <v>1</v>
      </c>
      <c r="L671" s="15" t="n">
        <v>13038.96</v>
      </c>
      <c r="M671" s="11" t="n">
        <v>15</v>
      </c>
      <c r="N671" s="15" t="n">
        <v>13038.96</v>
      </c>
      <c r="O671" s="15" t="n">
        <v>1955.84</v>
      </c>
      <c r="P671" s="15" t="n">
        <v>11083.12</v>
      </c>
      <c r="Q671" s="15" t="n">
        <v>0</v>
      </c>
      <c r="R671" s="11" t="n">
        <v>0</v>
      </c>
      <c r="S671" s="15" t="n">
        <f aca="false">P671-Q671</f>
        <v>11083.12</v>
      </c>
      <c r="T671" s="11" t="n">
        <f aca="false">IF(OR(J671="Completed",J671="Returned"),1,0)</f>
        <v>1</v>
      </c>
    </row>
    <row r="672" customFormat="false" ht="15" hidden="false" customHeight="false" outlineLevel="0" collapsed="false">
      <c r="A672" s="11" t="s">
        <v>1589</v>
      </c>
      <c r="B672" s="11" t="s">
        <v>281</v>
      </c>
      <c r="C672" s="24" t="n">
        <v>45698</v>
      </c>
      <c r="D672" s="11" t="s">
        <v>45</v>
      </c>
      <c r="E672" s="11" t="s">
        <v>1161</v>
      </c>
      <c r="F672" s="11" t="s">
        <v>78</v>
      </c>
      <c r="G672" s="11" t="s">
        <v>886</v>
      </c>
      <c r="H672" s="11" t="s">
        <v>21</v>
      </c>
      <c r="I672" s="11" t="s">
        <v>115</v>
      </c>
      <c r="J672" s="11" t="s">
        <v>242</v>
      </c>
      <c r="K672" s="11" t="n">
        <v>2</v>
      </c>
      <c r="L672" s="15" t="n">
        <v>25201.06</v>
      </c>
      <c r="M672" s="11" t="n">
        <v>15</v>
      </c>
      <c r="N672" s="15" t="n">
        <v>50402.12</v>
      </c>
      <c r="O672" s="15" t="n">
        <v>7560.32</v>
      </c>
      <c r="P672" s="15" t="n">
        <v>42841.8</v>
      </c>
      <c r="Q672" s="15" t="n">
        <v>0</v>
      </c>
      <c r="R672" s="11" t="n">
        <v>0</v>
      </c>
      <c r="S672" s="15" t="n">
        <f aca="false">P672-Q672</f>
        <v>42841.8</v>
      </c>
      <c r="T672" s="11" t="n">
        <f aca="false">IF(OR(J672="Completed",J672="Returned"),1,0)</f>
        <v>1</v>
      </c>
    </row>
    <row r="673" customFormat="false" ht="15" hidden="false" customHeight="false" outlineLevel="0" collapsed="false">
      <c r="A673" s="11" t="s">
        <v>1590</v>
      </c>
      <c r="B673" s="11" t="s">
        <v>281</v>
      </c>
      <c r="C673" s="24" t="n">
        <v>45698</v>
      </c>
      <c r="D673" s="11" t="s">
        <v>45</v>
      </c>
      <c r="E673" s="11" t="s">
        <v>1161</v>
      </c>
      <c r="F673" s="11" t="s">
        <v>78</v>
      </c>
      <c r="G673" s="11" t="s">
        <v>827</v>
      </c>
      <c r="H673" s="11" t="s">
        <v>23</v>
      </c>
      <c r="I673" s="11" t="s">
        <v>115</v>
      </c>
      <c r="J673" s="11" t="s">
        <v>242</v>
      </c>
      <c r="K673" s="11" t="n">
        <v>3</v>
      </c>
      <c r="L673" s="15" t="n">
        <v>7855.79</v>
      </c>
      <c r="M673" s="11" t="n">
        <v>10</v>
      </c>
      <c r="N673" s="15" t="n">
        <v>23567.37</v>
      </c>
      <c r="O673" s="15" t="n">
        <v>2356.74</v>
      </c>
      <c r="P673" s="15" t="n">
        <v>21210.63</v>
      </c>
      <c r="Q673" s="15" t="n">
        <v>21210.63</v>
      </c>
      <c r="R673" s="11" t="n">
        <v>3</v>
      </c>
      <c r="S673" s="15" t="n">
        <f aca="false">P673-Q673</f>
        <v>0</v>
      </c>
      <c r="T673" s="11" t="n">
        <f aca="false">IF(OR(J673="Completed",J673="Returned"),1,0)</f>
        <v>1</v>
      </c>
    </row>
    <row r="674" customFormat="false" ht="15" hidden="false" customHeight="false" outlineLevel="0" collapsed="false">
      <c r="A674" s="11" t="s">
        <v>1591</v>
      </c>
      <c r="B674" s="11" t="s">
        <v>304</v>
      </c>
      <c r="C674" s="24" t="n">
        <v>45503</v>
      </c>
      <c r="D674" s="11" t="s">
        <v>38</v>
      </c>
      <c r="E674" s="11" t="s">
        <v>1103</v>
      </c>
      <c r="F674" s="11" t="s">
        <v>70</v>
      </c>
      <c r="G674" s="11" t="s">
        <v>923</v>
      </c>
      <c r="H674" s="11" t="s">
        <v>22</v>
      </c>
      <c r="I674" s="11" t="s">
        <v>115</v>
      </c>
      <c r="J674" s="11" t="s">
        <v>242</v>
      </c>
      <c r="K674" s="11" t="n">
        <v>2</v>
      </c>
      <c r="L674" s="15" t="n">
        <v>5145.55</v>
      </c>
      <c r="M674" s="11" t="n">
        <v>20</v>
      </c>
      <c r="N674" s="15" t="n">
        <v>10291.1</v>
      </c>
      <c r="O674" s="15" t="n">
        <v>2058.22</v>
      </c>
      <c r="P674" s="15" t="n">
        <v>8232.88</v>
      </c>
      <c r="Q674" s="15" t="n">
        <v>0</v>
      </c>
      <c r="R674" s="11" t="n">
        <v>0</v>
      </c>
      <c r="S674" s="15" t="n">
        <f aca="false">P674-Q674</f>
        <v>8232.88</v>
      </c>
      <c r="T674" s="11" t="n">
        <f aca="false">IF(OR(J674="Completed",J674="Returned"),1,0)</f>
        <v>1</v>
      </c>
    </row>
    <row r="675" customFormat="false" ht="15" hidden="false" customHeight="false" outlineLevel="0" collapsed="false">
      <c r="A675" s="11" t="s">
        <v>1592</v>
      </c>
      <c r="B675" s="11" t="s">
        <v>304</v>
      </c>
      <c r="C675" s="24" t="n">
        <v>45503</v>
      </c>
      <c r="D675" s="11" t="s">
        <v>38</v>
      </c>
      <c r="E675" s="11" t="s">
        <v>1103</v>
      </c>
      <c r="F675" s="11" t="s">
        <v>70</v>
      </c>
      <c r="G675" s="11" t="s">
        <v>605</v>
      </c>
      <c r="H675" s="11" t="s">
        <v>24</v>
      </c>
      <c r="I675" s="11" t="s">
        <v>115</v>
      </c>
      <c r="J675" s="11" t="s">
        <v>242</v>
      </c>
      <c r="K675" s="11" t="n">
        <v>5</v>
      </c>
      <c r="L675" s="15" t="n">
        <v>5818.64</v>
      </c>
      <c r="M675" s="11" t="n">
        <v>10</v>
      </c>
      <c r="N675" s="15" t="n">
        <v>29093.2</v>
      </c>
      <c r="O675" s="15" t="n">
        <v>2909.32</v>
      </c>
      <c r="P675" s="15" t="n">
        <v>26183.88</v>
      </c>
      <c r="Q675" s="15" t="n">
        <v>0</v>
      </c>
      <c r="R675" s="11" t="n">
        <v>0</v>
      </c>
      <c r="S675" s="15" t="n">
        <f aca="false">P675-Q675</f>
        <v>26183.88</v>
      </c>
      <c r="T675" s="11" t="n">
        <f aca="false">IF(OR(J675="Completed",J675="Returned"),1,0)</f>
        <v>1</v>
      </c>
    </row>
    <row r="676" customFormat="false" ht="15" hidden="false" customHeight="false" outlineLevel="0" collapsed="false">
      <c r="A676" s="11" t="s">
        <v>1593</v>
      </c>
      <c r="B676" s="11" t="s">
        <v>304</v>
      </c>
      <c r="C676" s="24" t="n">
        <v>45503</v>
      </c>
      <c r="D676" s="11" t="s">
        <v>38</v>
      </c>
      <c r="E676" s="11" t="s">
        <v>1103</v>
      </c>
      <c r="F676" s="11" t="s">
        <v>70</v>
      </c>
      <c r="G676" s="11" t="s">
        <v>154</v>
      </c>
      <c r="H676" s="11" t="s">
        <v>21</v>
      </c>
      <c r="I676" s="11" t="s">
        <v>115</v>
      </c>
      <c r="J676" s="11" t="s">
        <v>242</v>
      </c>
      <c r="K676" s="11" t="n">
        <v>3</v>
      </c>
      <c r="L676" s="15" t="n">
        <v>2260.53</v>
      </c>
      <c r="M676" s="11" t="n">
        <v>20</v>
      </c>
      <c r="N676" s="15" t="n">
        <v>6781.59</v>
      </c>
      <c r="O676" s="15" t="n">
        <v>1356.32</v>
      </c>
      <c r="P676" s="15" t="n">
        <v>5425.27</v>
      </c>
      <c r="Q676" s="15" t="n">
        <v>0</v>
      </c>
      <c r="R676" s="11" t="n">
        <v>0</v>
      </c>
      <c r="S676" s="15" t="n">
        <f aca="false">P676-Q676</f>
        <v>5425.27</v>
      </c>
      <c r="T676" s="11" t="n">
        <f aca="false">IF(OR(J676="Completed",J676="Returned"),1,0)</f>
        <v>1</v>
      </c>
    </row>
    <row r="677" customFormat="false" ht="15" hidden="false" customHeight="false" outlineLevel="0" collapsed="false">
      <c r="A677" s="11" t="s">
        <v>1594</v>
      </c>
      <c r="B677" s="11" t="s">
        <v>372</v>
      </c>
      <c r="C677" s="24" t="n">
        <v>45702</v>
      </c>
      <c r="D677" s="11" t="s">
        <v>45</v>
      </c>
      <c r="E677" s="11" t="s">
        <v>1218</v>
      </c>
      <c r="F677" s="11" t="s">
        <v>78</v>
      </c>
      <c r="G677" s="11" t="s">
        <v>830</v>
      </c>
      <c r="H677" s="11" t="s">
        <v>22</v>
      </c>
      <c r="I677" s="11" t="s">
        <v>114</v>
      </c>
      <c r="J677" s="11" t="s">
        <v>269</v>
      </c>
      <c r="K677" s="11" t="n">
        <v>4</v>
      </c>
      <c r="L677" s="15" t="n">
        <v>1179.68</v>
      </c>
      <c r="M677" s="11" t="n">
        <v>20</v>
      </c>
      <c r="N677" s="15" t="n">
        <v>4718.72</v>
      </c>
      <c r="O677" s="15" t="n">
        <v>943.74</v>
      </c>
      <c r="P677" s="15" t="n">
        <v>3774.98</v>
      </c>
      <c r="Q677" s="15" t="n">
        <v>0</v>
      </c>
      <c r="R677" s="11" t="n">
        <v>0</v>
      </c>
      <c r="S677" s="15" t="n">
        <f aca="false">P677-Q677</f>
        <v>3774.98</v>
      </c>
      <c r="T677" s="11" t="n">
        <f aca="false">IF(OR(J677="Completed",J677="Returned"),1,0)</f>
        <v>1</v>
      </c>
    </row>
    <row r="678" customFormat="false" ht="15" hidden="false" customHeight="false" outlineLevel="0" collapsed="false">
      <c r="A678" s="11" t="s">
        <v>1595</v>
      </c>
      <c r="B678" s="11" t="s">
        <v>518</v>
      </c>
      <c r="C678" s="24" t="n">
        <v>45296</v>
      </c>
      <c r="D678" s="11" t="s">
        <v>32</v>
      </c>
      <c r="E678" s="11" t="s">
        <v>934</v>
      </c>
      <c r="F678" s="11" t="s">
        <v>82</v>
      </c>
      <c r="G678" s="11" t="s">
        <v>615</v>
      </c>
      <c r="H678" s="11" t="s">
        <v>23</v>
      </c>
      <c r="I678" s="11" t="s">
        <v>115</v>
      </c>
      <c r="J678" s="11" t="s">
        <v>250</v>
      </c>
      <c r="K678" s="11" t="n">
        <v>3</v>
      </c>
      <c r="L678" s="15" t="n">
        <v>2863.09</v>
      </c>
      <c r="M678" s="11" t="n">
        <v>5</v>
      </c>
      <c r="N678" s="15" t="n">
        <v>8589.27</v>
      </c>
      <c r="O678" s="15" t="n">
        <v>429.46</v>
      </c>
      <c r="P678" s="15" t="n">
        <v>8159.81</v>
      </c>
      <c r="Q678" s="15" t="n">
        <v>0</v>
      </c>
      <c r="R678" s="11" t="n">
        <v>0</v>
      </c>
      <c r="S678" s="15" t="n">
        <f aca="false">P678-Q678</f>
        <v>8159.81</v>
      </c>
      <c r="T678" s="11" t="n">
        <f aca="false">IF(OR(J678="Completed",J678="Returned"),1,0)</f>
        <v>0</v>
      </c>
    </row>
    <row r="679" customFormat="false" ht="15" hidden="false" customHeight="false" outlineLevel="0" collapsed="false">
      <c r="A679" s="11" t="s">
        <v>1596</v>
      </c>
      <c r="B679" s="11" t="s">
        <v>518</v>
      </c>
      <c r="C679" s="24" t="n">
        <v>45296</v>
      </c>
      <c r="D679" s="11" t="s">
        <v>32</v>
      </c>
      <c r="E679" s="11" t="s">
        <v>934</v>
      </c>
      <c r="F679" s="11" t="s">
        <v>82</v>
      </c>
      <c r="G679" s="11" t="s">
        <v>781</v>
      </c>
      <c r="H679" s="11" t="s">
        <v>21</v>
      </c>
      <c r="I679" s="11" t="s">
        <v>115</v>
      </c>
      <c r="J679" s="11" t="s">
        <v>250</v>
      </c>
      <c r="K679" s="11" t="n">
        <v>1</v>
      </c>
      <c r="L679" s="15" t="n">
        <v>3962.52</v>
      </c>
      <c r="M679" s="11" t="n">
        <v>20</v>
      </c>
      <c r="N679" s="15" t="n">
        <v>3962.52</v>
      </c>
      <c r="O679" s="15" t="n">
        <v>792.5</v>
      </c>
      <c r="P679" s="15" t="n">
        <v>3170.02</v>
      </c>
      <c r="Q679" s="15" t="n">
        <v>0</v>
      </c>
      <c r="R679" s="11" t="n">
        <v>0</v>
      </c>
      <c r="S679" s="15" t="n">
        <f aca="false">P679-Q679</f>
        <v>3170.02</v>
      </c>
      <c r="T679" s="11" t="n">
        <f aca="false">IF(OR(J679="Completed",J679="Returned"),1,0)</f>
        <v>0</v>
      </c>
    </row>
    <row r="680" customFormat="false" ht="15" hidden="false" customHeight="false" outlineLevel="0" collapsed="false">
      <c r="A680" s="11" t="s">
        <v>1597</v>
      </c>
      <c r="B680" s="11" t="s">
        <v>518</v>
      </c>
      <c r="C680" s="24" t="n">
        <v>45296</v>
      </c>
      <c r="D680" s="11" t="s">
        <v>32</v>
      </c>
      <c r="E680" s="11" t="s">
        <v>934</v>
      </c>
      <c r="F680" s="11" t="s">
        <v>82</v>
      </c>
      <c r="G680" s="11" t="s">
        <v>781</v>
      </c>
      <c r="H680" s="11" t="s">
        <v>21</v>
      </c>
      <c r="I680" s="11" t="s">
        <v>115</v>
      </c>
      <c r="J680" s="11" t="s">
        <v>250</v>
      </c>
      <c r="K680" s="11" t="n">
        <v>2</v>
      </c>
      <c r="L680" s="15" t="n">
        <v>3962.52</v>
      </c>
      <c r="M680" s="11" t="n">
        <v>15</v>
      </c>
      <c r="N680" s="15" t="n">
        <v>7925.04</v>
      </c>
      <c r="O680" s="15" t="n">
        <v>1188.76</v>
      </c>
      <c r="P680" s="15" t="n">
        <v>6736.28</v>
      </c>
      <c r="Q680" s="15" t="n">
        <v>0</v>
      </c>
      <c r="R680" s="11" t="n">
        <v>0</v>
      </c>
      <c r="S680" s="15" t="n">
        <f aca="false">P680-Q680</f>
        <v>6736.28</v>
      </c>
      <c r="T680" s="11" t="n">
        <f aca="false">IF(OR(J680="Completed",J680="Returned"),1,0)</f>
        <v>0</v>
      </c>
    </row>
    <row r="681" customFormat="false" ht="15" hidden="false" customHeight="false" outlineLevel="0" collapsed="false">
      <c r="A681" s="11" t="s">
        <v>1598</v>
      </c>
      <c r="B681" s="11" t="s">
        <v>263</v>
      </c>
      <c r="C681" s="24" t="n">
        <v>45904</v>
      </c>
      <c r="D681" s="11" t="s">
        <v>52</v>
      </c>
      <c r="E681" s="11" t="s">
        <v>1599</v>
      </c>
      <c r="F681" s="11" t="s">
        <v>82</v>
      </c>
      <c r="G681" s="11" t="s">
        <v>803</v>
      </c>
      <c r="H681" s="11" t="s">
        <v>25</v>
      </c>
      <c r="I681" s="11" t="s">
        <v>113</v>
      </c>
      <c r="J681" s="11" t="s">
        <v>242</v>
      </c>
      <c r="K681" s="11" t="n">
        <v>4</v>
      </c>
      <c r="L681" s="15" t="n">
        <v>1179.68</v>
      </c>
      <c r="M681" s="11" t="n">
        <v>20</v>
      </c>
      <c r="N681" s="15" t="n">
        <v>4718.72</v>
      </c>
      <c r="O681" s="15" t="n">
        <v>943.74</v>
      </c>
      <c r="P681" s="15" t="n">
        <v>3774.98</v>
      </c>
      <c r="Q681" s="15" t="n">
        <v>0</v>
      </c>
      <c r="R681" s="11" t="n">
        <v>0</v>
      </c>
      <c r="S681" s="15" t="n">
        <f aca="false">P681-Q681</f>
        <v>3774.98</v>
      </c>
      <c r="T681" s="11" t="n">
        <f aca="false">IF(OR(J681="Completed",J681="Returned"),1,0)</f>
        <v>1</v>
      </c>
    </row>
    <row r="682" customFormat="false" ht="15" hidden="false" customHeight="false" outlineLevel="0" collapsed="false">
      <c r="A682" s="11" t="s">
        <v>1600</v>
      </c>
      <c r="B682" s="11" t="s">
        <v>263</v>
      </c>
      <c r="C682" s="24" t="n">
        <v>45904</v>
      </c>
      <c r="D682" s="11" t="s">
        <v>52</v>
      </c>
      <c r="E682" s="11" t="s">
        <v>1599</v>
      </c>
      <c r="F682" s="11" t="s">
        <v>82</v>
      </c>
      <c r="G682" s="11" t="s">
        <v>794</v>
      </c>
      <c r="H682" s="11" t="s">
        <v>23</v>
      </c>
      <c r="I682" s="11" t="s">
        <v>113</v>
      </c>
      <c r="J682" s="11" t="s">
        <v>242</v>
      </c>
      <c r="K682" s="11" t="n">
        <v>4</v>
      </c>
      <c r="L682" s="15" t="n">
        <v>20253.93</v>
      </c>
      <c r="M682" s="11" t="n">
        <v>0</v>
      </c>
      <c r="N682" s="15" t="n">
        <v>81015.72</v>
      </c>
      <c r="O682" s="15" t="n">
        <v>0</v>
      </c>
      <c r="P682" s="15" t="n">
        <v>81015.72</v>
      </c>
      <c r="Q682" s="15" t="n">
        <v>0</v>
      </c>
      <c r="R682" s="11" t="n">
        <v>0</v>
      </c>
      <c r="S682" s="15" t="n">
        <f aca="false">P682-Q682</f>
        <v>81015.72</v>
      </c>
      <c r="T682" s="11" t="n">
        <f aca="false">IF(OR(J682="Completed",J682="Returned"),1,0)</f>
        <v>1</v>
      </c>
    </row>
    <row r="683" customFormat="false" ht="15" hidden="false" customHeight="false" outlineLevel="0" collapsed="false">
      <c r="A683" s="11" t="s">
        <v>1601</v>
      </c>
      <c r="B683" s="11" t="s">
        <v>263</v>
      </c>
      <c r="C683" s="24" t="n">
        <v>45904</v>
      </c>
      <c r="D683" s="11" t="s">
        <v>52</v>
      </c>
      <c r="E683" s="11" t="s">
        <v>1599</v>
      </c>
      <c r="F683" s="11" t="s">
        <v>82</v>
      </c>
      <c r="G683" s="11" t="s">
        <v>143</v>
      </c>
      <c r="H683" s="11" t="s">
        <v>23</v>
      </c>
      <c r="I683" s="11" t="s">
        <v>113</v>
      </c>
      <c r="J683" s="11" t="s">
        <v>242</v>
      </c>
      <c r="K683" s="11" t="n">
        <v>2</v>
      </c>
      <c r="L683" s="15" t="n">
        <v>8318.56</v>
      </c>
      <c r="M683" s="11" t="n">
        <v>0</v>
      </c>
      <c r="N683" s="15" t="n">
        <v>16637.12</v>
      </c>
      <c r="O683" s="15" t="n">
        <v>0</v>
      </c>
      <c r="P683" s="15" t="n">
        <v>16637.12</v>
      </c>
      <c r="Q683" s="15" t="n">
        <v>0</v>
      </c>
      <c r="R683" s="11" t="n">
        <v>0</v>
      </c>
      <c r="S683" s="15" t="n">
        <f aca="false">P683-Q683</f>
        <v>16637.12</v>
      </c>
      <c r="T683" s="11" t="n">
        <f aca="false">IF(OR(J683="Completed",J683="Returned"),1,0)</f>
        <v>1</v>
      </c>
    </row>
    <row r="684" customFormat="false" ht="15" hidden="false" customHeight="false" outlineLevel="0" collapsed="false">
      <c r="A684" s="11" t="s">
        <v>1602</v>
      </c>
      <c r="B684" s="11" t="s">
        <v>263</v>
      </c>
      <c r="C684" s="24" t="n">
        <v>45904</v>
      </c>
      <c r="D684" s="11" t="s">
        <v>52</v>
      </c>
      <c r="E684" s="11" t="s">
        <v>1599</v>
      </c>
      <c r="F684" s="11" t="s">
        <v>82</v>
      </c>
      <c r="G684" s="11" t="s">
        <v>133</v>
      </c>
      <c r="H684" s="11" t="s">
        <v>21</v>
      </c>
      <c r="I684" s="11" t="s">
        <v>113</v>
      </c>
      <c r="J684" s="11" t="s">
        <v>242</v>
      </c>
      <c r="K684" s="11" t="n">
        <v>5</v>
      </c>
      <c r="L684" s="15" t="n">
        <v>15706.03</v>
      </c>
      <c r="M684" s="11" t="n">
        <v>15</v>
      </c>
      <c r="N684" s="15" t="n">
        <v>78530.15</v>
      </c>
      <c r="O684" s="15" t="n">
        <v>11779.52</v>
      </c>
      <c r="P684" s="15" t="n">
        <v>66750.63</v>
      </c>
      <c r="Q684" s="15" t="n">
        <v>0</v>
      </c>
      <c r="R684" s="11" t="n">
        <v>0</v>
      </c>
      <c r="S684" s="15" t="n">
        <f aca="false">P684-Q684</f>
        <v>66750.63</v>
      </c>
      <c r="T684" s="11" t="n">
        <f aca="false">IF(OR(J684="Completed",J684="Returned"),1,0)</f>
        <v>1</v>
      </c>
    </row>
    <row r="685" customFormat="false" ht="15" hidden="false" customHeight="false" outlineLevel="0" collapsed="false">
      <c r="A685" s="11" t="s">
        <v>1603</v>
      </c>
      <c r="B685" s="11" t="s">
        <v>504</v>
      </c>
      <c r="C685" s="24" t="n">
        <v>45495</v>
      </c>
      <c r="D685" s="11" t="s">
        <v>38</v>
      </c>
      <c r="E685" s="11" t="s">
        <v>76</v>
      </c>
      <c r="F685" s="11" t="s">
        <v>78</v>
      </c>
      <c r="G685" s="11" t="s">
        <v>907</v>
      </c>
      <c r="H685" s="11" t="s">
        <v>22</v>
      </c>
      <c r="I685" s="11" t="s">
        <v>114</v>
      </c>
      <c r="J685" s="11" t="s">
        <v>242</v>
      </c>
      <c r="K685" s="11" t="n">
        <v>4</v>
      </c>
      <c r="L685" s="15" t="n">
        <v>25643.17</v>
      </c>
      <c r="M685" s="11" t="n">
        <v>20</v>
      </c>
      <c r="N685" s="15" t="n">
        <v>102572.68</v>
      </c>
      <c r="O685" s="15" t="n">
        <v>20514.54</v>
      </c>
      <c r="P685" s="15" t="n">
        <v>82058.14</v>
      </c>
      <c r="Q685" s="15" t="n">
        <v>0</v>
      </c>
      <c r="R685" s="11" t="n">
        <v>0</v>
      </c>
      <c r="S685" s="15" t="n">
        <f aca="false">P685-Q685</f>
        <v>82058.14</v>
      </c>
      <c r="T685" s="11" t="n">
        <f aca="false">IF(OR(J685="Completed",J685="Returned"),1,0)</f>
        <v>1</v>
      </c>
    </row>
    <row r="686" customFormat="false" ht="15" hidden="false" customHeight="false" outlineLevel="0" collapsed="false">
      <c r="A686" s="11" t="s">
        <v>1604</v>
      </c>
      <c r="B686" s="11" t="s">
        <v>504</v>
      </c>
      <c r="C686" s="24" t="n">
        <v>45495</v>
      </c>
      <c r="D686" s="11" t="s">
        <v>38</v>
      </c>
      <c r="E686" s="11" t="s">
        <v>76</v>
      </c>
      <c r="F686" s="11" t="s">
        <v>78</v>
      </c>
      <c r="G686" s="11" t="s">
        <v>775</v>
      </c>
      <c r="H686" s="11" t="s">
        <v>23</v>
      </c>
      <c r="I686" s="11" t="s">
        <v>114</v>
      </c>
      <c r="J686" s="11" t="s">
        <v>242</v>
      </c>
      <c r="K686" s="11" t="n">
        <v>2</v>
      </c>
      <c r="L686" s="15" t="n">
        <v>26274.11</v>
      </c>
      <c r="M686" s="11" t="n">
        <v>0</v>
      </c>
      <c r="N686" s="15" t="n">
        <v>52548.22</v>
      </c>
      <c r="O686" s="15" t="n">
        <v>0</v>
      </c>
      <c r="P686" s="15" t="n">
        <v>52548.22</v>
      </c>
      <c r="Q686" s="15" t="n">
        <v>0</v>
      </c>
      <c r="R686" s="11" t="n">
        <v>0</v>
      </c>
      <c r="S686" s="15" t="n">
        <f aca="false">P686-Q686</f>
        <v>52548.22</v>
      </c>
      <c r="T686" s="11" t="n">
        <f aca="false">IF(OR(J686="Completed",J686="Returned"),1,0)</f>
        <v>1</v>
      </c>
    </row>
    <row r="687" customFormat="false" ht="15" hidden="false" customHeight="false" outlineLevel="0" collapsed="false">
      <c r="A687" s="11" t="s">
        <v>1605</v>
      </c>
      <c r="B687" s="11" t="s">
        <v>340</v>
      </c>
      <c r="C687" s="24" t="n">
        <v>45707</v>
      </c>
      <c r="D687" s="11" t="s">
        <v>45</v>
      </c>
      <c r="E687" s="11" t="s">
        <v>98</v>
      </c>
      <c r="F687" s="11" t="s">
        <v>70</v>
      </c>
      <c r="G687" s="11" t="s">
        <v>809</v>
      </c>
      <c r="H687" s="11" t="s">
        <v>22</v>
      </c>
      <c r="I687" s="11" t="s">
        <v>114</v>
      </c>
      <c r="J687" s="11" t="s">
        <v>242</v>
      </c>
      <c r="K687" s="11" t="n">
        <v>3</v>
      </c>
      <c r="L687" s="15" t="n">
        <v>22582.54</v>
      </c>
      <c r="M687" s="11" t="n">
        <v>5</v>
      </c>
      <c r="N687" s="15" t="n">
        <v>67747.62</v>
      </c>
      <c r="O687" s="15" t="n">
        <v>3387.38</v>
      </c>
      <c r="P687" s="15" t="n">
        <v>64360.24</v>
      </c>
      <c r="Q687" s="15" t="n">
        <v>0</v>
      </c>
      <c r="R687" s="11" t="n">
        <v>0</v>
      </c>
      <c r="S687" s="15" t="n">
        <f aca="false">P687-Q687</f>
        <v>64360.24</v>
      </c>
      <c r="T687" s="11" t="n">
        <f aca="false">IF(OR(J687="Completed",J687="Returned"),1,0)</f>
        <v>1</v>
      </c>
    </row>
    <row r="688" customFormat="false" ht="15" hidden="false" customHeight="false" outlineLevel="0" collapsed="false">
      <c r="A688" s="11" t="s">
        <v>1606</v>
      </c>
      <c r="B688" s="11" t="s">
        <v>340</v>
      </c>
      <c r="C688" s="24" t="n">
        <v>45707</v>
      </c>
      <c r="D688" s="11" t="s">
        <v>45</v>
      </c>
      <c r="E688" s="11" t="s">
        <v>98</v>
      </c>
      <c r="F688" s="11" t="s">
        <v>70</v>
      </c>
      <c r="G688" s="11" t="s">
        <v>127</v>
      </c>
      <c r="H688" s="11" t="s">
        <v>21</v>
      </c>
      <c r="I688" s="11" t="s">
        <v>114</v>
      </c>
      <c r="J688" s="11" t="s">
        <v>242</v>
      </c>
      <c r="K688" s="11" t="n">
        <v>4</v>
      </c>
      <c r="L688" s="15" t="n">
        <v>1086.86</v>
      </c>
      <c r="M688" s="11" t="n">
        <v>0</v>
      </c>
      <c r="N688" s="15" t="n">
        <v>4347.44</v>
      </c>
      <c r="O688" s="15" t="n">
        <v>0</v>
      </c>
      <c r="P688" s="15" t="n">
        <v>4347.44</v>
      </c>
      <c r="Q688" s="15" t="n">
        <v>0</v>
      </c>
      <c r="R688" s="11" t="n">
        <v>0</v>
      </c>
      <c r="S688" s="15" t="n">
        <f aca="false">P688-Q688</f>
        <v>4347.44</v>
      </c>
      <c r="T688" s="11" t="n">
        <f aca="false">IF(OR(J688="Completed",J688="Returned"),1,0)</f>
        <v>1</v>
      </c>
    </row>
    <row r="689" customFormat="false" ht="15" hidden="false" customHeight="false" outlineLevel="0" collapsed="false">
      <c r="A689" s="11" t="s">
        <v>1607</v>
      </c>
      <c r="B689" s="11" t="s">
        <v>340</v>
      </c>
      <c r="C689" s="24" t="n">
        <v>45707</v>
      </c>
      <c r="D689" s="11" t="s">
        <v>45</v>
      </c>
      <c r="E689" s="11" t="s">
        <v>98</v>
      </c>
      <c r="F689" s="11" t="s">
        <v>70</v>
      </c>
      <c r="G689" s="11" t="s">
        <v>145</v>
      </c>
      <c r="H689" s="11" t="s">
        <v>20</v>
      </c>
      <c r="I689" s="11" t="s">
        <v>114</v>
      </c>
      <c r="J689" s="11" t="s">
        <v>242</v>
      </c>
      <c r="K689" s="11" t="n">
        <v>2</v>
      </c>
      <c r="L689" s="15" t="n">
        <v>20098.63</v>
      </c>
      <c r="M689" s="11" t="n">
        <v>10</v>
      </c>
      <c r="N689" s="15" t="n">
        <v>40197.26</v>
      </c>
      <c r="O689" s="15" t="n">
        <v>4019.73</v>
      </c>
      <c r="P689" s="15" t="n">
        <v>36177.53</v>
      </c>
      <c r="Q689" s="15" t="n">
        <v>0</v>
      </c>
      <c r="R689" s="11" t="n">
        <v>0</v>
      </c>
      <c r="S689" s="15" t="n">
        <f aca="false">P689-Q689</f>
        <v>36177.53</v>
      </c>
      <c r="T689" s="11" t="n">
        <f aca="false">IF(OR(J689="Completed",J689="Returned"),1,0)</f>
        <v>1</v>
      </c>
    </row>
    <row r="690" customFormat="false" ht="15" hidden="false" customHeight="false" outlineLevel="0" collapsed="false">
      <c r="A690" s="11" t="s">
        <v>1608</v>
      </c>
      <c r="B690" s="11" t="s">
        <v>340</v>
      </c>
      <c r="C690" s="24" t="n">
        <v>45707</v>
      </c>
      <c r="D690" s="11" t="s">
        <v>45</v>
      </c>
      <c r="E690" s="11" t="s">
        <v>98</v>
      </c>
      <c r="F690" s="11" t="s">
        <v>70</v>
      </c>
      <c r="G690" s="11" t="s">
        <v>160</v>
      </c>
      <c r="H690" s="11" t="s">
        <v>23</v>
      </c>
      <c r="I690" s="11" t="s">
        <v>114</v>
      </c>
      <c r="J690" s="11" t="s">
        <v>242</v>
      </c>
      <c r="K690" s="11" t="n">
        <v>5</v>
      </c>
      <c r="L690" s="15" t="n">
        <v>21122.18</v>
      </c>
      <c r="M690" s="11" t="n">
        <v>20</v>
      </c>
      <c r="N690" s="15" t="n">
        <v>105610.9</v>
      </c>
      <c r="O690" s="15" t="n">
        <v>21122.18</v>
      </c>
      <c r="P690" s="15" t="n">
        <v>84488.72</v>
      </c>
      <c r="Q690" s="15" t="n">
        <v>0</v>
      </c>
      <c r="R690" s="11" t="n">
        <v>0</v>
      </c>
      <c r="S690" s="15" t="n">
        <f aca="false">P690-Q690</f>
        <v>84488.72</v>
      </c>
      <c r="T690" s="11" t="n">
        <f aca="false">IF(OR(J690="Completed",J690="Returned"),1,0)</f>
        <v>1</v>
      </c>
    </row>
    <row r="691" customFormat="false" ht="15" hidden="false" customHeight="false" outlineLevel="0" collapsed="false">
      <c r="A691" s="11" t="s">
        <v>1609</v>
      </c>
      <c r="B691" s="11" t="s">
        <v>482</v>
      </c>
      <c r="C691" s="24" t="n">
        <v>45420</v>
      </c>
      <c r="D691" s="11" t="s">
        <v>36</v>
      </c>
      <c r="E691" s="11" t="s">
        <v>1558</v>
      </c>
      <c r="F691" s="11" t="s">
        <v>70</v>
      </c>
      <c r="G691" s="11" t="s">
        <v>1022</v>
      </c>
      <c r="H691" s="11" t="s">
        <v>20</v>
      </c>
      <c r="I691" s="11" t="s">
        <v>114</v>
      </c>
      <c r="J691" s="11" t="s">
        <v>269</v>
      </c>
      <c r="K691" s="11" t="n">
        <v>4</v>
      </c>
      <c r="L691" s="15" t="n">
        <v>13809.86</v>
      </c>
      <c r="M691" s="11" t="n">
        <v>0</v>
      </c>
      <c r="N691" s="15" t="n">
        <v>55239.44</v>
      </c>
      <c r="O691" s="15" t="n">
        <v>0</v>
      </c>
      <c r="P691" s="15" t="n">
        <v>55239.44</v>
      </c>
      <c r="Q691" s="15" t="n">
        <v>0</v>
      </c>
      <c r="R691" s="11" t="n">
        <v>0</v>
      </c>
      <c r="S691" s="15" t="n">
        <f aca="false">P691-Q691</f>
        <v>55239.44</v>
      </c>
      <c r="T691" s="11" t="n">
        <f aca="false">IF(OR(J691="Completed",J691="Returned"),1,0)</f>
        <v>1</v>
      </c>
    </row>
    <row r="692" customFormat="false" ht="15" hidden="false" customHeight="false" outlineLevel="0" collapsed="false">
      <c r="A692" s="11" t="s">
        <v>1610</v>
      </c>
      <c r="B692" s="11" t="s">
        <v>482</v>
      </c>
      <c r="C692" s="24" t="n">
        <v>45420</v>
      </c>
      <c r="D692" s="11" t="s">
        <v>36</v>
      </c>
      <c r="E692" s="11" t="s">
        <v>1558</v>
      </c>
      <c r="F692" s="11" t="s">
        <v>70</v>
      </c>
      <c r="G692" s="11" t="s">
        <v>886</v>
      </c>
      <c r="H692" s="11" t="s">
        <v>21</v>
      </c>
      <c r="I692" s="11" t="s">
        <v>114</v>
      </c>
      <c r="J692" s="11" t="s">
        <v>269</v>
      </c>
      <c r="K692" s="11" t="n">
        <v>1</v>
      </c>
      <c r="L692" s="15" t="n">
        <v>25201.06</v>
      </c>
      <c r="M692" s="11" t="n">
        <v>5</v>
      </c>
      <c r="N692" s="15" t="n">
        <v>25201.06</v>
      </c>
      <c r="O692" s="15" t="n">
        <v>1260.05</v>
      </c>
      <c r="P692" s="15" t="n">
        <v>23941.01</v>
      </c>
      <c r="Q692" s="15" t="n">
        <v>0</v>
      </c>
      <c r="R692" s="11" t="n">
        <v>0</v>
      </c>
      <c r="S692" s="15" t="n">
        <f aca="false">P692-Q692</f>
        <v>23941.01</v>
      </c>
      <c r="T692" s="11" t="n">
        <f aca="false">IF(OR(J692="Completed",J692="Returned"),1,0)</f>
        <v>1</v>
      </c>
    </row>
    <row r="693" customFormat="false" ht="15" hidden="false" customHeight="false" outlineLevel="0" collapsed="false">
      <c r="A693" s="11" t="s">
        <v>1611</v>
      </c>
      <c r="B693" s="11" t="s">
        <v>482</v>
      </c>
      <c r="C693" s="24" t="n">
        <v>45420</v>
      </c>
      <c r="D693" s="11" t="s">
        <v>36</v>
      </c>
      <c r="E693" s="11" t="s">
        <v>1558</v>
      </c>
      <c r="F693" s="11" t="s">
        <v>70</v>
      </c>
      <c r="G693" s="11" t="s">
        <v>637</v>
      </c>
      <c r="H693" s="11" t="s">
        <v>21</v>
      </c>
      <c r="I693" s="11" t="s">
        <v>114</v>
      </c>
      <c r="J693" s="11" t="s">
        <v>269</v>
      </c>
      <c r="K693" s="11" t="n">
        <v>2</v>
      </c>
      <c r="L693" s="15" t="n">
        <v>3019.36</v>
      </c>
      <c r="M693" s="11" t="n">
        <v>5</v>
      </c>
      <c r="N693" s="15" t="n">
        <v>6038.72</v>
      </c>
      <c r="O693" s="15" t="n">
        <v>301.94</v>
      </c>
      <c r="P693" s="15" t="n">
        <v>5736.78</v>
      </c>
      <c r="Q693" s="15" t="n">
        <v>0</v>
      </c>
      <c r="R693" s="11" t="n">
        <v>0</v>
      </c>
      <c r="S693" s="15" t="n">
        <f aca="false">P693-Q693</f>
        <v>5736.78</v>
      </c>
      <c r="T693" s="11" t="n">
        <f aca="false">IF(OR(J693="Completed",J693="Returned"),1,0)</f>
        <v>1</v>
      </c>
    </row>
    <row r="694" customFormat="false" ht="15" hidden="false" customHeight="false" outlineLevel="0" collapsed="false">
      <c r="A694" s="11" t="s">
        <v>1612</v>
      </c>
      <c r="B694" s="11" t="s">
        <v>482</v>
      </c>
      <c r="C694" s="24" t="n">
        <v>45420</v>
      </c>
      <c r="D694" s="11" t="s">
        <v>36</v>
      </c>
      <c r="E694" s="11" t="s">
        <v>1558</v>
      </c>
      <c r="F694" s="11" t="s">
        <v>70</v>
      </c>
      <c r="G694" s="11" t="s">
        <v>886</v>
      </c>
      <c r="H694" s="11" t="s">
        <v>21</v>
      </c>
      <c r="I694" s="11" t="s">
        <v>114</v>
      </c>
      <c r="J694" s="11" t="s">
        <v>269</v>
      </c>
      <c r="K694" s="11" t="n">
        <v>4</v>
      </c>
      <c r="L694" s="15" t="n">
        <v>25201.06</v>
      </c>
      <c r="M694" s="11" t="n">
        <v>5</v>
      </c>
      <c r="N694" s="15" t="n">
        <v>100804.24</v>
      </c>
      <c r="O694" s="15" t="n">
        <v>5040.21</v>
      </c>
      <c r="P694" s="15" t="n">
        <v>95764.03</v>
      </c>
      <c r="Q694" s="15" t="n">
        <v>0</v>
      </c>
      <c r="R694" s="11" t="n">
        <v>0</v>
      </c>
      <c r="S694" s="15" t="n">
        <f aca="false">P694-Q694</f>
        <v>95764.03</v>
      </c>
      <c r="T694" s="11" t="n">
        <f aca="false">IF(OR(J694="Completed",J694="Returned"),1,0)</f>
        <v>1</v>
      </c>
    </row>
    <row r="695" customFormat="false" ht="15" hidden="false" customHeight="false" outlineLevel="0" collapsed="false">
      <c r="A695" s="11" t="s">
        <v>1613</v>
      </c>
      <c r="B695" s="11" t="s">
        <v>309</v>
      </c>
      <c r="C695" s="24" t="n">
        <v>45458</v>
      </c>
      <c r="D695" s="11" t="s">
        <v>37</v>
      </c>
      <c r="E695" s="11" t="s">
        <v>943</v>
      </c>
      <c r="F695" s="11" t="s">
        <v>70</v>
      </c>
      <c r="G695" s="11" t="s">
        <v>1093</v>
      </c>
      <c r="H695" s="11" t="s">
        <v>21</v>
      </c>
      <c r="I695" s="11" t="s">
        <v>115</v>
      </c>
      <c r="J695" s="11" t="s">
        <v>246</v>
      </c>
      <c r="K695" s="11" t="n">
        <v>2</v>
      </c>
      <c r="L695" s="15" t="n">
        <v>13038.96</v>
      </c>
      <c r="M695" s="11" t="n">
        <v>20</v>
      </c>
      <c r="N695" s="15" t="n">
        <v>26077.92</v>
      </c>
      <c r="O695" s="15" t="n">
        <v>5215.58</v>
      </c>
      <c r="P695" s="15" t="n">
        <v>20862.34</v>
      </c>
      <c r="Q695" s="15" t="n">
        <v>20754.81</v>
      </c>
      <c r="R695" s="11" t="n">
        <v>2</v>
      </c>
      <c r="S695" s="15" t="n">
        <f aca="false">P695-Q695</f>
        <v>107.529999999999</v>
      </c>
      <c r="T695" s="11" t="n">
        <f aca="false">IF(OR(J695="Completed",J695="Returned"),1,0)</f>
        <v>0</v>
      </c>
    </row>
    <row r="696" customFormat="false" ht="15" hidden="false" customHeight="false" outlineLevel="0" collapsed="false">
      <c r="A696" s="11" t="s">
        <v>1614</v>
      </c>
      <c r="B696" s="11" t="s">
        <v>309</v>
      </c>
      <c r="C696" s="24" t="n">
        <v>45458</v>
      </c>
      <c r="D696" s="11" t="s">
        <v>37</v>
      </c>
      <c r="E696" s="11" t="s">
        <v>943</v>
      </c>
      <c r="F696" s="11" t="s">
        <v>70</v>
      </c>
      <c r="G696" s="11" t="s">
        <v>150</v>
      </c>
      <c r="H696" s="11" t="s">
        <v>22</v>
      </c>
      <c r="I696" s="11" t="s">
        <v>115</v>
      </c>
      <c r="J696" s="11" t="s">
        <v>246</v>
      </c>
      <c r="K696" s="11" t="n">
        <v>2</v>
      </c>
      <c r="L696" s="15" t="n">
        <v>21978.46</v>
      </c>
      <c r="M696" s="11" t="n">
        <v>0</v>
      </c>
      <c r="N696" s="15" t="n">
        <v>43956.92</v>
      </c>
      <c r="O696" s="15" t="n">
        <v>0</v>
      </c>
      <c r="P696" s="15" t="n">
        <v>43956.92</v>
      </c>
      <c r="Q696" s="15" t="n">
        <v>0</v>
      </c>
      <c r="R696" s="11" t="n">
        <v>0</v>
      </c>
      <c r="S696" s="15" t="n">
        <f aca="false">P696-Q696</f>
        <v>43956.92</v>
      </c>
      <c r="T696" s="11" t="n">
        <f aca="false">IF(OR(J696="Completed",J696="Returned"),1,0)</f>
        <v>0</v>
      </c>
    </row>
    <row r="697" customFormat="false" ht="15" hidden="false" customHeight="false" outlineLevel="0" collapsed="false">
      <c r="A697" s="11" t="s">
        <v>1615</v>
      </c>
      <c r="B697" s="11" t="s">
        <v>309</v>
      </c>
      <c r="C697" s="24" t="n">
        <v>45458</v>
      </c>
      <c r="D697" s="11" t="s">
        <v>37</v>
      </c>
      <c r="E697" s="11" t="s">
        <v>943</v>
      </c>
      <c r="F697" s="11" t="s">
        <v>70</v>
      </c>
      <c r="G697" s="11" t="s">
        <v>131</v>
      </c>
      <c r="H697" s="11" t="s">
        <v>22</v>
      </c>
      <c r="I697" s="11" t="s">
        <v>115</v>
      </c>
      <c r="J697" s="11" t="s">
        <v>246</v>
      </c>
      <c r="K697" s="11" t="n">
        <v>3</v>
      </c>
      <c r="L697" s="15" t="n">
        <v>11284.39</v>
      </c>
      <c r="M697" s="11" t="n">
        <v>10</v>
      </c>
      <c r="N697" s="15" t="n">
        <v>33853.17</v>
      </c>
      <c r="O697" s="15" t="n">
        <v>3385.32</v>
      </c>
      <c r="P697" s="15" t="n">
        <v>30467.85</v>
      </c>
      <c r="Q697" s="15" t="n">
        <v>0</v>
      </c>
      <c r="R697" s="11" t="n">
        <v>0</v>
      </c>
      <c r="S697" s="15" t="n">
        <f aca="false">P697-Q697</f>
        <v>30467.85</v>
      </c>
      <c r="T697" s="11" t="n">
        <f aca="false">IF(OR(J697="Completed",J697="Returned"),1,0)</f>
        <v>0</v>
      </c>
    </row>
    <row r="698" customFormat="false" ht="15" hidden="false" customHeight="false" outlineLevel="0" collapsed="false">
      <c r="A698" s="11" t="s">
        <v>1616</v>
      </c>
      <c r="B698" s="11" t="s">
        <v>309</v>
      </c>
      <c r="C698" s="24" t="n">
        <v>45458</v>
      </c>
      <c r="D698" s="11" t="s">
        <v>37</v>
      </c>
      <c r="E698" s="11" t="s">
        <v>943</v>
      </c>
      <c r="F698" s="11" t="s">
        <v>70</v>
      </c>
      <c r="G698" s="11" t="s">
        <v>152</v>
      </c>
      <c r="H698" s="11" t="s">
        <v>23</v>
      </c>
      <c r="I698" s="11" t="s">
        <v>115</v>
      </c>
      <c r="J698" s="11" t="s">
        <v>246</v>
      </c>
      <c r="K698" s="11" t="n">
        <v>4</v>
      </c>
      <c r="L698" s="15" t="n">
        <v>9953.59</v>
      </c>
      <c r="M698" s="11" t="n">
        <v>20</v>
      </c>
      <c r="N698" s="15" t="n">
        <v>39814.36</v>
      </c>
      <c r="O698" s="15" t="n">
        <v>7962.87</v>
      </c>
      <c r="P698" s="15" t="n">
        <v>31851.49</v>
      </c>
      <c r="Q698" s="15" t="n">
        <v>0</v>
      </c>
      <c r="R698" s="11" t="n">
        <v>0</v>
      </c>
      <c r="S698" s="15" t="n">
        <f aca="false">P698-Q698</f>
        <v>31851.49</v>
      </c>
      <c r="T698" s="11" t="n">
        <f aca="false">IF(OR(J698="Completed",J698="Returned"),1,0)</f>
        <v>0</v>
      </c>
    </row>
    <row r="699" customFormat="false" ht="15" hidden="false" customHeight="false" outlineLevel="0" collapsed="false">
      <c r="A699" s="11" t="s">
        <v>1617</v>
      </c>
      <c r="B699" s="11" t="s">
        <v>539</v>
      </c>
      <c r="C699" s="24" t="n">
        <v>45327</v>
      </c>
      <c r="D699" s="11" t="s">
        <v>33</v>
      </c>
      <c r="E699" s="11" t="s">
        <v>1236</v>
      </c>
      <c r="F699" s="11" t="s">
        <v>70</v>
      </c>
      <c r="G699" s="11" t="s">
        <v>156</v>
      </c>
      <c r="H699" s="11" t="s">
        <v>23</v>
      </c>
      <c r="I699" s="11" t="s">
        <v>114</v>
      </c>
      <c r="J699" s="11" t="s">
        <v>246</v>
      </c>
      <c r="K699" s="11" t="n">
        <v>5</v>
      </c>
      <c r="L699" s="15" t="n">
        <v>11992.92</v>
      </c>
      <c r="M699" s="11" t="n">
        <v>0</v>
      </c>
      <c r="N699" s="15" t="n">
        <v>59964.6</v>
      </c>
      <c r="O699" s="15" t="n">
        <v>0</v>
      </c>
      <c r="P699" s="15" t="n">
        <v>59964.6</v>
      </c>
      <c r="Q699" s="15" t="n">
        <v>0</v>
      </c>
      <c r="R699" s="11" t="n">
        <v>0</v>
      </c>
      <c r="S699" s="15" t="n">
        <f aca="false">P699-Q699</f>
        <v>59964.6</v>
      </c>
      <c r="T699" s="11" t="n">
        <f aca="false">IF(OR(J699="Completed",J699="Returned"),1,0)</f>
        <v>0</v>
      </c>
    </row>
    <row r="700" customFormat="false" ht="15" hidden="false" customHeight="false" outlineLevel="0" collapsed="false">
      <c r="A700" s="11" t="s">
        <v>1618</v>
      </c>
      <c r="B700" s="11" t="s">
        <v>539</v>
      </c>
      <c r="C700" s="24" t="n">
        <v>45327</v>
      </c>
      <c r="D700" s="11" t="s">
        <v>33</v>
      </c>
      <c r="E700" s="11" t="s">
        <v>1236</v>
      </c>
      <c r="F700" s="11" t="s">
        <v>70</v>
      </c>
      <c r="G700" s="11" t="s">
        <v>957</v>
      </c>
      <c r="H700" s="11" t="s">
        <v>23</v>
      </c>
      <c r="I700" s="11" t="s">
        <v>114</v>
      </c>
      <c r="J700" s="11" t="s">
        <v>246</v>
      </c>
      <c r="K700" s="11" t="n">
        <v>1</v>
      </c>
      <c r="L700" s="15" t="n">
        <v>1741.05</v>
      </c>
      <c r="M700" s="11" t="n">
        <v>10</v>
      </c>
      <c r="N700" s="15" t="n">
        <v>1741.05</v>
      </c>
      <c r="O700" s="15" t="n">
        <v>174.1</v>
      </c>
      <c r="P700" s="15" t="n">
        <v>1566.95</v>
      </c>
      <c r="Q700" s="15" t="n">
        <v>0</v>
      </c>
      <c r="R700" s="11" t="n">
        <v>0</v>
      </c>
      <c r="S700" s="15" t="n">
        <f aca="false">P700-Q700</f>
        <v>1566.95</v>
      </c>
      <c r="T700" s="11" t="n">
        <f aca="false">IF(OR(J700="Completed",J700="Returned"),1,0)</f>
        <v>0</v>
      </c>
    </row>
    <row r="701" customFormat="false" ht="15" hidden="false" customHeight="false" outlineLevel="0" collapsed="false">
      <c r="A701" s="11" t="s">
        <v>1619</v>
      </c>
      <c r="B701" s="11" t="s">
        <v>539</v>
      </c>
      <c r="C701" s="24" t="n">
        <v>45327</v>
      </c>
      <c r="D701" s="11" t="s">
        <v>33</v>
      </c>
      <c r="E701" s="11" t="s">
        <v>1236</v>
      </c>
      <c r="F701" s="11" t="s">
        <v>70</v>
      </c>
      <c r="G701" s="11" t="s">
        <v>633</v>
      </c>
      <c r="H701" s="11" t="s">
        <v>22</v>
      </c>
      <c r="I701" s="11" t="s">
        <v>114</v>
      </c>
      <c r="J701" s="11" t="s">
        <v>246</v>
      </c>
      <c r="K701" s="11" t="n">
        <v>4</v>
      </c>
      <c r="L701" s="15" t="n">
        <v>4574.41</v>
      </c>
      <c r="M701" s="11" t="n">
        <v>5</v>
      </c>
      <c r="N701" s="15" t="n">
        <v>18297.64</v>
      </c>
      <c r="O701" s="15" t="n">
        <v>914.88</v>
      </c>
      <c r="P701" s="15" t="n">
        <v>17382.76</v>
      </c>
      <c r="Q701" s="15" t="n">
        <v>0</v>
      </c>
      <c r="R701" s="11" t="n">
        <v>0</v>
      </c>
      <c r="S701" s="15" t="n">
        <f aca="false">P701-Q701</f>
        <v>17382.76</v>
      </c>
      <c r="T701" s="11" t="n">
        <f aca="false">IF(OR(J701="Completed",J701="Returned"),1,0)</f>
        <v>0</v>
      </c>
    </row>
    <row r="702" customFormat="false" ht="15" hidden="false" customHeight="false" outlineLevel="0" collapsed="false">
      <c r="A702" s="11" t="s">
        <v>1620</v>
      </c>
      <c r="B702" s="11" t="s">
        <v>424</v>
      </c>
      <c r="C702" s="24" t="n">
        <v>45529</v>
      </c>
      <c r="D702" s="11" t="s">
        <v>39</v>
      </c>
      <c r="E702" s="11" t="s">
        <v>819</v>
      </c>
      <c r="F702" s="11" t="s">
        <v>82</v>
      </c>
      <c r="G702" s="11" t="s">
        <v>635</v>
      </c>
      <c r="H702" s="11" t="s">
        <v>22</v>
      </c>
      <c r="I702" s="11" t="s">
        <v>113</v>
      </c>
      <c r="J702" s="11" t="s">
        <v>242</v>
      </c>
      <c r="K702" s="11" t="n">
        <v>3</v>
      </c>
      <c r="L702" s="15" t="n">
        <v>7877.61</v>
      </c>
      <c r="M702" s="11" t="n">
        <v>20</v>
      </c>
      <c r="N702" s="15" t="n">
        <v>23632.83</v>
      </c>
      <c r="O702" s="15" t="n">
        <v>4726.57</v>
      </c>
      <c r="P702" s="15" t="n">
        <v>18906.26</v>
      </c>
      <c r="Q702" s="15" t="n">
        <v>0</v>
      </c>
      <c r="R702" s="11" t="n">
        <v>0</v>
      </c>
      <c r="S702" s="15" t="n">
        <f aca="false">P702-Q702</f>
        <v>18906.26</v>
      </c>
      <c r="T702" s="11" t="n">
        <f aca="false">IF(OR(J702="Completed",J702="Returned"),1,0)</f>
        <v>1</v>
      </c>
    </row>
    <row r="703" customFormat="false" ht="15" hidden="false" customHeight="false" outlineLevel="0" collapsed="false">
      <c r="A703" s="11" t="s">
        <v>1621</v>
      </c>
      <c r="B703" s="11" t="s">
        <v>424</v>
      </c>
      <c r="C703" s="24" t="n">
        <v>45529</v>
      </c>
      <c r="D703" s="11" t="s">
        <v>39</v>
      </c>
      <c r="E703" s="11" t="s">
        <v>819</v>
      </c>
      <c r="F703" s="11" t="s">
        <v>82</v>
      </c>
      <c r="G703" s="11" t="s">
        <v>995</v>
      </c>
      <c r="H703" s="11" t="s">
        <v>24</v>
      </c>
      <c r="I703" s="11" t="s">
        <v>113</v>
      </c>
      <c r="J703" s="11" t="s">
        <v>242</v>
      </c>
      <c r="K703" s="11" t="n">
        <v>4</v>
      </c>
      <c r="L703" s="15" t="n">
        <v>11865.75</v>
      </c>
      <c r="M703" s="11" t="n">
        <v>20</v>
      </c>
      <c r="N703" s="15" t="n">
        <v>47463</v>
      </c>
      <c r="O703" s="15" t="n">
        <v>9492.6</v>
      </c>
      <c r="P703" s="15" t="n">
        <v>37970.4</v>
      </c>
      <c r="Q703" s="15" t="n">
        <v>0</v>
      </c>
      <c r="R703" s="11" t="n">
        <v>0</v>
      </c>
      <c r="S703" s="15" t="n">
        <f aca="false">P703-Q703</f>
        <v>37970.4</v>
      </c>
      <c r="T703" s="11" t="n">
        <f aca="false">IF(OR(J703="Completed",J703="Returned"),1,0)</f>
        <v>1</v>
      </c>
    </row>
    <row r="704" customFormat="false" ht="15" hidden="false" customHeight="false" outlineLevel="0" collapsed="false">
      <c r="A704" s="11" t="s">
        <v>1622</v>
      </c>
      <c r="B704" s="11" t="s">
        <v>424</v>
      </c>
      <c r="C704" s="24" t="n">
        <v>45529</v>
      </c>
      <c r="D704" s="11" t="s">
        <v>39</v>
      </c>
      <c r="E704" s="11" t="s">
        <v>819</v>
      </c>
      <c r="F704" s="11" t="s">
        <v>82</v>
      </c>
      <c r="G704" s="11" t="s">
        <v>781</v>
      </c>
      <c r="H704" s="11" t="s">
        <v>21</v>
      </c>
      <c r="I704" s="11" t="s">
        <v>113</v>
      </c>
      <c r="J704" s="11" t="s">
        <v>242</v>
      </c>
      <c r="K704" s="11" t="n">
        <v>1</v>
      </c>
      <c r="L704" s="15" t="n">
        <v>3962.52</v>
      </c>
      <c r="M704" s="11" t="n">
        <v>5</v>
      </c>
      <c r="N704" s="15" t="n">
        <v>3962.52</v>
      </c>
      <c r="O704" s="15" t="n">
        <v>198.13</v>
      </c>
      <c r="P704" s="15" t="n">
        <v>3764.39</v>
      </c>
      <c r="Q704" s="15" t="n">
        <v>0</v>
      </c>
      <c r="R704" s="11" t="n">
        <v>0</v>
      </c>
      <c r="S704" s="15" t="n">
        <f aca="false">P704-Q704</f>
        <v>3764.39</v>
      </c>
      <c r="T704" s="11" t="n">
        <f aca="false">IF(OR(J704="Completed",J704="Returned"),1,0)</f>
        <v>1</v>
      </c>
    </row>
    <row r="705" customFormat="false" ht="15" hidden="false" customHeight="false" outlineLevel="0" collapsed="false">
      <c r="A705" s="11" t="s">
        <v>1623</v>
      </c>
      <c r="B705" s="11" t="s">
        <v>425</v>
      </c>
      <c r="C705" s="24" t="n">
        <v>45742</v>
      </c>
      <c r="D705" s="11" t="s">
        <v>46</v>
      </c>
      <c r="E705" s="11" t="s">
        <v>87</v>
      </c>
      <c r="F705" s="11" t="s">
        <v>82</v>
      </c>
      <c r="G705" s="11" t="s">
        <v>854</v>
      </c>
      <c r="H705" s="11" t="s">
        <v>20</v>
      </c>
      <c r="I705" s="11" t="s">
        <v>114</v>
      </c>
      <c r="J705" s="11" t="s">
        <v>246</v>
      </c>
      <c r="K705" s="11" t="n">
        <v>4</v>
      </c>
      <c r="L705" s="15" t="n">
        <v>25742.49</v>
      </c>
      <c r="M705" s="11" t="n">
        <v>20</v>
      </c>
      <c r="N705" s="15" t="n">
        <v>102969.96</v>
      </c>
      <c r="O705" s="15" t="n">
        <v>20593.99</v>
      </c>
      <c r="P705" s="15" t="n">
        <v>82375.97</v>
      </c>
      <c r="Q705" s="15" t="n">
        <v>0</v>
      </c>
      <c r="R705" s="11" t="n">
        <v>0</v>
      </c>
      <c r="S705" s="15" t="n">
        <f aca="false">P705-Q705</f>
        <v>82375.97</v>
      </c>
      <c r="T705" s="11" t="n">
        <f aca="false">IF(OR(J705="Completed",J705="Returned"),1,0)</f>
        <v>0</v>
      </c>
    </row>
    <row r="706" customFormat="false" ht="15" hidden="false" customHeight="false" outlineLevel="0" collapsed="false">
      <c r="A706" s="11" t="s">
        <v>1624</v>
      </c>
      <c r="B706" s="11" t="s">
        <v>444</v>
      </c>
      <c r="C706" s="24" t="n">
        <v>45470</v>
      </c>
      <c r="D706" s="11" t="s">
        <v>37</v>
      </c>
      <c r="E706" s="11" t="s">
        <v>961</v>
      </c>
      <c r="F706" s="11" t="s">
        <v>78</v>
      </c>
      <c r="G706" s="11" t="s">
        <v>1166</v>
      </c>
      <c r="H706" s="11" t="s">
        <v>21</v>
      </c>
      <c r="I706" s="11" t="s">
        <v>115</v>
      </c>
      <c r="J706" s="11" t="s">
        <v>250</v>
      </c>
      <c r="K706" s="11" t="n">
        <v>5</v>
      </c>
      <c r="L706" s="15" t="n">
        <v>27280.24</v>
      </c>
      <c r="M706" s="11" t="n">
        <v>20</v>
      </c>
      <c r="N706" s="15" t="n">
        <v>136401.2</v>
      </c>
      <c r="O706" s="15" t="n">
        <v>27280.24</v>
      </c>
      <c r="P706" s="15" t="n">
        <v>109120.96</v>
      </c>
      <c r="Q706" s="15" t="n">
        <v>0</v>
      </c>
      <c r="R706" s="11" t="n">
        <v>0</v>
      </c>
      <c r="S706" s="15" t="n">
        <f aca="false">P706-Q706</f>
        <v>109120.96</v>
      </c>
      <c r="T706" s="11" t="n">
        <f aca="false">IF(OR(J706="Completed",J706="Returned"),1,0)</f>
        <v>0</v>
      </c>
    </row>
    <row r="707" customFormat="false" ht="15" hidden="false" customHeight="false" outlineLevel="0" collapsed="false">
      <c r="A707" s="11" t="s">
        <v>1625</v>
      </c>
      <c r="B707" s="11" t="s">
        <v>444</v>
      </c>
      <c r="C707" s="24" t="n">
        <v>45470</v>
      </c>
      <c r="D707" s="11" t="s">
        <v>37</v>
      </c>
      <c r="E707" s="11" t="s">
        <v>961</v>
      </c>
      <c r="F707" s="11" t="s">
        <v>78</v>
      </c>
      <c r="G707" s="11" t="s">
        <v>633</v>
      </c>
      <c r="H707" s="11" t="s">
        <v>22</v>
      </c>
      <c r="I707" s="11" t="s">
        <v>115</v>
      </c>
      <c r="J707" s="11" t="s">
        <v>250</v>
      </c>
      <c r="K707" s="11" t="n">
        <v>1</v>
      </c>
      <c r="L707" s="15" t="n">
        <v>4574.41</v>
      </c>
      <c r="M707" s="11" t="n">
        <v>20</v>
      </c>
      <c r="N707" s="15" t="n">
        <v>4574.41</v>
      </c>
      <c r="O707" s="15" t="n">
        <v>914.88</v>
      </c>
      <c r="P707" s="15" t="n">
        <v>3659.53</v>
      </c>
      <c r="Q707" s="15" t="n">
        <v>0</v>
      </c>
      <c r="R707" s="11" t="n">
        <v>0</v>
      </c>
      <c r="S707" s="15" t="n">
        <f aca="false">P707-Q707</f>
        <v>3659.53</v>
      </c>
      <c r="T707" s="11" t="n">
        <f aca="false">IF(OR(J707="Completed",J707="Returned"),1,0)</f>
        <v>0</v>
      </c>
    </row>
    <row r="708" customFormat="false" ht="15" hidden="false" customHeight="false" outlineLevel="0" collapsed="false">
      <c r="A708" s="11" t="s">
        <v>1626</v>
      </c>
      <c r="B708" s="11" t="s">
        <v>341</v>
      </c>
      <c r="C708" s="24" t="n">
        <v>45621</v>
      </c>
      <c r="D708" s="11" t="s">
        <v>42</v>
      </c>
      <c r="E708" s="11" t="s">
        <v>90</v>
      </c>
      <c r="F708" s="11" t="s">
        <v>74</v>
      </c>
      <c r="G708" s="11" t="s">
        <v>603</v>
      </c>
      <c r="H708" s="11" t="s">
        <v>23</v>
      </c>
      <c r="I708" s="11" t="s">
        <v>113</v>
      </c>
      <c r="J708" s="11" t="s">
        <v>242</v>
      </c>
      <c r="K708" s="11" t="n">
        <v>1</v>
      </c>
      <c r="L708" s="15" t="n">
        <v>15622.68</v>
      </c>
      <c r="M708" s="11" t="n">
        <v>15</v>
      </c>
      <c r="N708" s="15" t="n">
        <v>15622.68</v>
      </c>
      <c r="O708" s="15" t="n">
        <v>2343.4</v>
      </c>
      <c r="P708" s="15" t="n">
        <v>13279.28</v>
      </c>
      <c r="Q708" s="15" t="n">
        <v>0</v>
      </c>
      <c r="R708" s="11" t="n">
        <v>0</v>
      </c>
      <c r="S708" s="15" t="n">
        <f aca="false">P708-Q708</f>
        <v>13279.28</v>
      </c>
      <c r="T708" s="11" t="n">
        <f aca="false">IF(OR(J708="Completed",J708="Returned"),1,0)</f>
        <v>1</v>
      </c>
    </row>
    <row r="709" customFormat="false" ht="15" hidden="false" customHeight="false" outlineLevel="0" collapsed="false">
      <c r="A709" s="11" t="s">
        <v>1627</v>
      </c>
      <c r="B709" s="11" t="s">
        <v>341</v>
      </c>
      <c r="C709" s="24" t="n">
        <v>45621</v>
      </c>
      <c r="D709" s="11" t="s">
        <v>42</v>
      </c>
      <c r="E709" s="11" t="s">
        <v>90</v>
      </c>
      <c r="F709" s="11" t="s">
        <v>74</v>
      </c>
      <c r="G709" s="11" t="s">
        <v>143</v>
      </c>
      <c r="H709" s="11" t="s">
        <v>23</v>
      </c>
      <c r="I709" s="11" t="s">
        <v>113</v>
      </c>
      <c r="J709" s="11" t="s">
        <v>242</v>
      </c>
      <c r="K709" s="11" t="n">
        <v>2</v>
      </c>
      <c r="L709" s="15" t="n">
        <v>8318.56</v>
      </c>
      <c r="M709" s="11" t="n">
        <v>10</v>
      </c>
      <c r="N709" s="15" t="n">
        <v>16637.12</v>
      </c>
      <c r="O709" s="15" t="n">
        <v>1663.71</v>
      </c>
      <c r="P709" s="15" t="n">
        <v>14973.41</v>
      </c>
      <c r="Q709" s="15" t="n">
        <v>0</v>
      </c>
      <c r="R709" s="11" t="n">
        <v>0</v>
      </c>
      <c r="S709" s="15" t="n">
        <f aca="false">P709-Q709</f>
        <v>14973.41</v>
      </c>
      <c r="T709" s="11" t="n">
        <f aca="false">IF(OR(J709="Completed",J709="Returned"),1,0)</f>
        <v>1</v>
      </c>
    </row>
    <row r="710" customFormat="false" ht="15" hidden="false" customHeight="false" outlineLevel="0" collapsed="false">
      <c r="A710" s="11" t="s">
        <v>1628</v>
      </c>
      <c r="B710" s="11" t="s">
        <v>341</v>
      </c>
      <c r="C710" s="24" t="n">
        <v>45621</v>
      </c>
      <c r="D710" s="11" t="s">
        <v>42</v>
      </c>
      <c r="E710" s="11" t="s">
        <v>90</v>
      </c>
      <c r="F710" s="11" t="s">
        <v>74</v>
      </c>
      <c r="G710" s="11" t="s">
        <v>1166</v>
      </c>
      <c r="H710" s="11" t="s">
        <v>21</v>
      </c>
      <c r="I710" s="11" t="s">
        <v>113</v>
      </c>
      <c r="J710" s="11" t="s">
        <v>242</v>
      </c>
      <c r="K710" s="11" t="n">
        <v>5</v>
      </c>
      <c r="L710" s="15" t="n">
        <v>27280.24</v>
      </c>
      <c r="M710" s="11" t="n">
        <v>15</v>
      </c>
      <c r="N710" s="15" t="n">
        <v>136401.2</v>
      </c>
      <c r="O710" s="15" t="n">
        <v>20460.18</v>
      </c>
      <c r="P710" s="15" t="n">
        <v>115941.02</v>
      </c>
      <c r="Q710" s="15" t="n">
        <v>0</v>
      </c>
      <c r="R710" s="11" t="n">
        <v>0</v>
      </c>
      <c r="S710" s="15" t="n">
        <f aca="false">P710-Q710</f>
        <v>115941.02</v>
      </c>
      <c r="T710" s="11" t="n">
        <f aca="false">IF(OR(J710="Completed",J710="Returned"),1,0)</f>
        <v>1</v>
      </c>
    </row>
    <row r="711" customFormat="false" ht="15" hidden="false" customHeight="false" outlineLevel="0" collapsed="false">
      <c r="A711" s="11" t="s">
        <v>1629</v>
      </c>
      <c r="B711" s="11" t="s">
        <v>341</v>
      </c>
      <c r="C711" s="24" t="n">
        <v>45621</v>
      </c>
      <c r="D711" s="11" t="s">
        <v>42</v>
      </c>
      <c r="E711" s="11" t="s">
        <v>90</v>
      </c>
      <c r="F711" s="11" t="s">
        <v>74</v>
      </c>
      <c r="G711" s="11" t="s">
        <v>886</v>
      </c>
      <c r="H711" s="11" t="s">
        <v>21</v>
      </c>
      <c r="I711" s="11" t="s">
        <v>113</v>
      </c>
      <c r="J711" s="11" t="s">
        <v>242</v>
      </c>
      <c r="K711" s="11" t="n">
        <v>4</v>
      </c>
      <c r="L711" s="15" t="n">
        <v>25201.06</v>
      </c>
      <c r="M711" s="11" t="n">
        <v>20</v>
      </c>
      <c r="N711" s="15" t="n">
        <v>100804.24</v>
      </c>
      <c r="O711" s="15" t="n">
        <v>20160.85</v>
      </c>
      <c r="P711" s="15" t="n">
        <v>80643.39</v>
      </c>
      <c r="Q711" s="15" t="n">
        <v>0</v>
      </c>
      <c r="R711" s="11" t="n">
        <v>0</v>
      </c>
      <c r="S711" s="15" t="n">
        <f aca="false">P711-Q711</f>
        <v>80643.39</v>
      </c>
      <c r="T711" s="11" t="n">
        <f aca="false">IF(OR(J711="Completed",J711="Returned"),1,0)</f>
        <v>1</v>
      </c>
    </row>
    <row r="712" customFormat="false" ht="15" hidden="false" customHeight="false" outlineLevel="0" collapsed="false">
      <c r="A712" s="11" t="s">
        <v>1630</v>
      </c>
      <c r="B712" s="11" t="s">
        <v>451</v>
      </c>
      <c r="C712" s="24" t="n">
        <v>45937</v>
      </c>
      <c r="D712" s="11" t="s">
        <v>53</v>
      </c>
      <c r="E712" s="11" t="s">
        <v>824</v>
      </c>
      <c r="F712" s="11" t="s">
        <v>78</v>
      </c>
      <c r="G712" s="11" t="s">
        <v>778</v>
      </c>
      <c r="H712" s="11" t="s">
        <v>24</v>
      </c>
      <c r="I712" s="11" t="s">
        <v>114</v>
      </c>
      <c r="J712" s="11" t="s">
        <v>242</v>
      </c>
      <c r="K712" s="11" t="n">
        <v>3</v>
      </c>
      <c r="L712" s="15" t="n">
        <v>4516.1</v>
      </c>
      <c r="M712" s="11" t="n">
        <v>0</v>
      </c>
      <c r="N712" s="15" t="n">
        <v>13548.3</v>
      </c>
      <c r="O712" s="15" t="n">
        <v>0</v>
      </c>
      <c r="P712" s="15" t="n">
        <v>13548.3</v>
      </c>
      <c r="Q712" s="15" t="n">
        <v>0</v>
      </c>
      <c r="R712" s="11" t="n">
        <v>0</v>
      </c>
      <c r="S712" s="15" t="n">
        <f aca="false">P712-Q712</f>
        <v>13548.3</v>
      </c>
      <c r="T712" s="11" t="n">
        <f aca="false">IF(OR(J712="Completed",J712="Returned"),1,0)</f>
        <v>1</v>
      </c>
    </row>
    <row r="713" customFormat="false" ht="15" hidden="false" customHeight="false" outlineLevel="0" collapsed="false">
      <c r="A713" s="11" t="s">
        <v>1631</v>
      </c>
      <c r="B713" s="11" t="s">
        <v>321</v>
      </c>
      <c r="C713" s="24" t="n">
        <v>45900</v>
      </c>
      <c r="D713" s="11" t="s">
        <v>51</v>
      </c>
      <c r="E713" s="11" t="s">
        <v>951</v>
      </c>
      <c r="F713" s="11" t="s">
        <v>78</v>
      </c>
      <c r="G713" s="11" t="s">
        <v>986</v>
      </c>
      <c r="H713" s="11" t="s">
        <v>22</v>
      </c>
      <c r="I713" s="11" t="s">
        <v>115</v>
      </c>
      <c r="J713" s="11" t="s">
        <v>269</v>
      </c>
      <c r="K713" s="11" t="n">
        <v>2</v>
      </c>
      <c r="L713" s="15" t="n">
        <v>19639.31</v>
      </c>
      <c r="M713" s="11" t="n">
        <v>10</v>
      </c>
      <c r="N713" s="15" t="n">
        <v>39278.62</v>
      </c>
      <c r="O713" s="15" t="n">
        <v>3927.86</v>
      </c>
      <c r="P713" s="15" t="n">
        <v>35350.76</v>
      </c>
      <c r="Q713" s="15" t="n">
        <v>0</v>
      </c>
      <c r="R713" s="11" t="n">
        <v>0</v>
      </c>
      <c r="S713" s="15" t="n">
        <f aca="false">P713-Q713</f>
        <v>35350.76</v>
      </c>
      <c r="T713" s="11" t="n">
        <f aca="false">IF(OR(J713="Completed",J713="Returned"),1,0)</f>
        <v>1</v>
      </c>
    </row>
    <row r="714" customFormat="false" ht="15" hidden="false" customHeight="false" outlineLevel="0" collapsed="false">
      <c r="A714" s="11" t="s">
        <v>1632</v>
      </c>
      <c r="B714" s="11" t="s">
        <v>321</v>
      </c>
      <c r="C714" s="24" t="n">
        <v>45900</v>
      </c>
      <c r="D714" s="11" t="s">
        <v>51</v>
      </c>
      <c r="E714" s="11" t="s">
        <v>951</v>
      </c>
      <c r="F714" s="11" t="s">
        <v>78</v>
      </c>
      <c r="G714" s="11" t="s">
        <v>794</v>
      </c>
      <c r="H714" s="11" t="s">
        <v>23</v>
      </c>
      <c r="I714" s="11" t="s">
        <v>115</v>
      </c>
      <c r="J714" s="11" t="s">
        <v>269</v>
      </c>
      <c r="K714" s="11" t="n">
        <v>4</v>
      </c>
      <c r="L714" s="15" t="n">
        <v>20253.93</v>
      </c>
      <c r="M714" s="11" t="n">
        <v>15</v>
      </c>
      <c r="N714" s="15" t="n">
        <v>81015.72</v>
      </c>
      <c r="O714" s="15" t="n">
        <v>12152.36</v>
      </c>
      <c r="P714" s="15" t="n">
        <v>68863.36</v>
      </c>
      <c r="Q714" s="15" t="n">
        <v>0</v>
      </c>
      <c r="R714" s="11" t="n">
        <v>0</v>
      </c>
      <c r="S714" s="15" t="n">
        <f aca="false">P714-Q714</f>
        <v>68863.36</v>
      </c>
      <c r="T714" s="11" t="n">
        <f aca="false">IF(OR(J714="Completed",J714="Returned"),1,0)</f>
        <v>1</v>
      </c>
    </row>
    <row r="715" customFormat="false" ht="15" hidden="false" customHeight="false" outlineLevel="0" collapsed="false">
      <c r="A715" s="11" t="s">
        <v>1633</v>
      </c>
      <c r="B715" s="11" t="s">
        <v>461</v>
      </c>
      <c r="C715" s="24" t="n">
        <v>45360</v>
      </c>
      <c r="D715" s="11" t="s">
        <v>34</v>
      </c>
      <c r="E715" s="11" t="s">
        <v>891</v>
      </c>
      <c r="F715" s="11" t="s">
        <v>78</v>
      </c>
      <c r="G715" s="11" t="s">
        <v>613</v>
      </c>
      <c r="H715" s="11" t="s">
        <v>23</v>
      </c>
      <c r="I715" s="11" t="s">
        <v>114</v>
      </c>
      <c r="J715" s="11" t="s">
        <v>269</v>
      </c>
      <c r="K715" s="11" t="n">
        <v>2</v>
      </c>
      <c r="L715" s="15" t="n">
        <v>7218.53</v>
      </c>
      <c r="M715" s="11" t="n">
        <v>0</v>
      </c>
      <c r="N715" s="15" t="n">
        <v>14437.06</v>
      </c>
      <c r="O715" s="15" t="n">
        <v>0</v>
      </c>
      <c r="P715" s="15" t="n">
        <v>14437.06</v>
      </c>
      <c r="Q715" s="15" t="n">
        <v>0</v>
      </c>
      <c r="R715" s="11" t="n">
        <v>0</v>
      </c>
      <c r="S715" s="15" t="n">
        <f aca="false">P715-Q715</f>
        <v>14437.06</v>
      </c>
      <c r="T715" s="11" t="n">
        <f aca="false">IF(OR(J715="Completed",J715="Returned"),1,0)</f>
        <v>1</v>
      </c>
    </row>
    <row r="716" customFormat="false" ht="15" hidden="false" customHeight="false" outlineLevel="0" collapsed="false">
      <c r="A716" s="11" t="s">
        <v>1634</v>
      </c>
      <c r="B716" s="11" t="s">
        <v>461</v>
      </c>
      <c r="C716" s="24" t="n">
        <v>45360</v>
      </c>
      <c r="D716" s="11" t="s">
        <v>34</v>
      </c>
      <c r="E716" s="11" t="s">
        <v>891</v>
      </c>
      <c r="F716" s="11" t="s">
        <v>78</v>
      </c>
      <c r="G716" s="11" t="s">
        <v>626</v>
      </c>
      <c r="H716" s="11" t="s">
        <v>24</v>
      </c>
      <c r="I716" s="11" t="s">
        <v>114</v>
      </c>
      <c r="J716" s="11" t="s">
        <v>269</v>
      </c>
      <c r="K716" s="11" t="n">
        <v>2</v>
      </c>
      <c r="L716" s="15" t="n">
        <v>11932.31</v>
      </c>
      <c r="M716" s="11" t="n">
        <v>0</v>
      </c>
      <c r="N716" s="15" t="n">
        <v>23864.62</v>
      </c>
      <c r="O716" s="15" t="n">
        <v>0</v>
      </c>
      <c r="P716" s="15" t="n">
        <v>23864.62</v>
      </c>
      <c r="Q716" s="15" t="n">
        <v>0</v>
      </c>
      <c r="R716" s="11" t="n">
        <v>0</v>
      </c>
      <c r="S716" s="15" t="n">
        <f aca="false">P716-Q716</f>
        <v>23864.62</v>
      </c>
      <c r="T716" s="11" t="n">
        <f aca="false">IF(OR(J716="Completed",J716="Returned"),1,0)</f>
        <v>1</v>
      </c>
    </row>
    <row r="717" customFormat="false" ht="15" hidden="false" customHeight="false" outlineLevel="0" collapsed="false">
      <c r="A717" s="11" t="s">
        <v>1635</v>
      </c>
      <c r="B717" s="11" t="s">
        <v>461</v>
      </c>
      <c r="C717" s="24" t="n">
        <v>45360</v>
      </c>
      <c r="D717" s="11" t="s">
        <v>34</v>
      </c>
      <c r="E717" s="11" t="s">
        <v>891</v>
      </c>
      <c r="F717" s="11" t="s">
        <v>78</v>
      </c>
      <c r="G717" s="11" t="s">
        <v>1054</v>
      </c>
      <c r="H717" s="11" t="s">
        <v>21</v>
      </c>
      <c r="I717" s="11" t="s">
        <v>114</v>
      </c>
      <c r="J717" s="11" t="s">
        <v>269</v>
      </c>
      <c r="K717" s="11" t="n">
        <v>1</v>
      </c>
      <c r="L717" s="15" t="n">
        <v>19632.52</v>
      </c>
      <c r="M717" s="11" t="n">
        <v>10</v>
      </c>
      <c r="N717" s="15" t="n">
        <v>19632.52</v>
      </c>
      <c r="O717" s="15" t="n">
        <v>1963.25</v>
      </c>
      <c r="P717" s="15" t="n">
        <v>17669.27</v>
      </c>
      <c r="Q717" s="15" t="n">
        <v>0</v>
      </c>
      <c r="R717" s="11" t="n">
        <v>0</v>
      </c>
      <c r="S717" s="15" t="n">
        <f aca="false">P717-Q717</f>
        <v>17669.27</v>
      </c>
      <c r="T717" s="11" t="n">
        <f aca="false">IF(OR(J717="Completed",J717="Returned"),1,0)</f>
        <v>1</v>
      </c>
    </row>
    <row r="718" customFormat="false" ht="15" hidden="false" customHeight="false" outlineLevel="0" collapsed="false">
      <c r="A718" s="11" t="s">
        <v>1636</v>
      </c>
      <c r="B718" s="11" t="s">
        <v>461</v>
      </c>
      <c r="C718" s="24" t="n">
        <v>45360</v>
      </c>
      <c r="D718" s="11" t="s">
        <v>34</v>
      </c>
      <c r="E718" s="11" t="s">
        <v>891</v>
      </c>
      <c r="F718" s="11" t="s">
        <v>78</v>
      </c>
      <c r="G718" s="11" t="s">
        <v>623</v>
      </c>
      <c r="H718" s="11" t="s">
        <v>20</v>
      </c>
      <c r="I718" s="11" t="s">
        <v>114</v>
      </c>
      <c r="J718" s="11" t="s">
        <v>269</v>
      </c>
      <c r="K718" s="11" t="n">
        <v>1</v>
      </c>
      <c r="L718" s="15" t="n">
        <v>16535.66</v>
      </c>
      <c r="M718" s="11" t="n">
        <v>20</v>
      </c>
      <c r="N718" s="15" t="n">
        <v>16535.66</v>
      </c>
      <c r="O718" s="15" t="n">
        <v>3307.13</v>
      </c>
      <c r="P718" s="15" t="n">
        <v>13228.53</v>
      </c>
      <c r="Q718" s="15" t="n">
        <v>0</v>
      </c>
      <c r="R718" s="11" t="n">
        <v>0</v>
      </c>
      <c r="S718" s="15" t="n">
        <f aca="false">P718-Q718</f>
        <v>13228.53</v>
      </c>
      <c r="T718" s="11" t="n">
        <f aca="false">IF(OR(J718="Completed",J718="Returned"),1,0)</f>
        <v>1</v>
      </c>
    </row>
    <row r="719" customFormat="false" ht="15" hidden="false" customHeight="false" outlineLevel="0" collapsed="false">
      <c r="A719" s="11" t="s">
        <v>1637</v>
      </c>
      <c r="B719" s="11" t="s">
        <v>353</v>
      </c>
      <c r="C719" s="24" t="n">
        <v>45611</v>
      </c>
      <c r="D719" s="11" t="s">
        <v>42</v>
      </c>
      <c r="E719" s="11" t="s">
        <v>1492</v>
      </c>
      <c r="F719" s="11" t="s">
        <v>70</v>
      </c>
      <c r="G719" s="11" t="s">
        <v>143</v>
      </c>
      <c r="H719" s="11" t="s">
        <v>23</v>
      </c>
      <c r="I719" s="11" t="s">
        <v>114</v>
      </c>
      <c r="J719" s="11" t="s">
        <v>269</v>
      </c>
      <c r="K719" s="11" t="n">
        <v>4</v>
      </c>
      <c r="L719" s="15" t="n">
        <v>8318.56</v>
      </c>
      <c r="M719" s="11" t="n">
        <v>10</v>
      </c>
      <c r="N719" s="15" t="n">
        <v>33274.24</v>
      </c>
      <c r="O719" s="15" t="n">
        <v>3327.42</v>
      </c>
      <c r="P719" s="15" t="n">
        <v>29946.82</v>
      </c>
      <c r="Q719" s="15" t="n">
        <v>0</v>
      </c>
      <c r="R719" s="11" t="n">
        <v>0</v>
      </c>
      <c r="S719" s="15" t="n">
        <f aca="false">P719-Q719</f>
        <v>29946.82</v>
      </c>
      <c r="T719" s="11" t="n">
        <f aca="false">IF(OR(J719="Completed",J719="Returned"),1,0)</f>
        <v>1</v>
      </c>
    </row>
    <row r="720" customFormat="false" ht="15" hidden="false" customHeight="false" outlineLevel="0" collapsed="false">
      <c r="A720" s="11" t="s">
        <v>1638</v>
      </c>
      <c r="B720" s="11" t="s">
        <v>353</v>
      </c>
      <c r="C720" s="24" t="n">
        <v>45611</v>
      </c>
      <c r="D720" s="11" t="s">
        <v>42</v>
      </c>
      <c r="E720" s="11" t="s">
        <v>1492</v>
      </c>
      <c r="F720" s="11" t="s">
        <v>70</v>
      </c>
      <c r="G720" s="11" t="s">
        <v>778</v>
      </c>
      <c r="H720" s="11" t="s">
        <v>24</v>
      </c>
      <c r="I720" s="11" t="s">
        <v>114</v>
      </c>
      <c r="J720" s="11" t="s">
        <v>269</v>
      </c>
      <c r="K720" s="11" t="n">
        <v>2</v>
      </c>
      <c r="L720" s="15" t="n">
        <v>4516.1</v>
      </c>
      <c r="M720" s="11" t="n">
        <v>0</v>
      </c>
      <c r="N720" s="15" t="n">
        <v>9032.2</v>
      </c>
      <c r="O720" s="15" t="n">
        <v>0</v>
      </c>
      <c r="P720" s="15" t="n">
        <v>9032.2</v>
      </c>
      <c r="Q720" s="15" t="n">
        <v>0</v>
      </c>
      <c r="R720" s="11" t="n">
        <v>0</v>
      </c>
      <c r="S720" s="15" t="n">
        <f aca="false">P720-Q720</f>
        <v>9032.2</v>
      </c>
      <c r="T720" s="11" t="n">
        <f aca="false">IF(OR(J720="Completed",J720="Returned"),1,0)</f>
        <v>1</v>
      </c>
    </row>
    <row r="721" customFormat="false" ht="15" hidden="false" customHeight="false" outlineLevel="0" collapsed="false">
      <c r="A721" s="11" t="s">
        <v>1639</v>
      </c>
      <c r="B721" s="11" t="s">
        <v>305</v>
      </c>
      <c r="C721" s="24" t="n">
        <v>45667</v>
      </c>
      <c r="D721" s="11" t="s">
        <v>44</v>
      </c>
      <c r="E721" s="11" t="s">
        <v>80</v>
      </c>
      <c r="F721" s="11" t="s">
        <v>82</v>
      </c>
      <c r="G721" s="11" t="s">
        <v>827</v>
      </c>
      <c r="H721" s="11" t="s">
        <v>23</v>
      </c>
      <c r="I721" s="11" t="s">
        <v>113</v>
      </c>
      <c r="J721" s="11" t="s">
        <v>242</v>
      </c>
      <c r="K721" s="11" t="n">
        <v>3</v>
      </c>
      <c r="L721" s="15" t="n">
        <v>7855.79</v>
      </c>
      <c r="M721" s="11" t="n">
        <v>0</v>
      </c>
      <c r="N721" s="15" t="n">
        <v>23567.37</v>
      </c>
      <c r="O721" s="15" t="n">
        <v>0</v>
      </c>
      <c r="P721" s="15" t="n">
        <v>23567.37</v>
      </c>
      <c r="Q721" s="15" t="n">
        <v>0</v>
      </c>
      <c r="R721" s="11" t="n">
        <v>0</v>
      </c>
      <c r="S721" s="15" t="n">
        <f aca="false">P721-Q721</f>
        <v>23567.37</v>
      </c>
      <c r="T721" s="11" t="n">
        <f aca="false">IF(OR(J721="Completed",J721="Returned"),1,0)</f>
        <v>1</v>
      </c>
    </row>
    <row r="722" customFormat="false" ht="15" hidden="false" customHeight="false" outlineLevel="0" collapsed="false">
      <c r="A722" s="11" t="s">
        <v>1640</v>
      </c>
      <c r="B722" s="11" t="s">
        <v>305</v>
      </c>
      <c r="C722" s="24" t="n">
        <v>45667</v>
      </c>
      <c r="D722" s="11" t="s">
        <v>44</v>
      </c>
      <c r="E722" s="11" t="s">
        <v>80</v>
      </c>
      <c r="F722" s="11" t="s">
        <v>82</v>
      </c>
      <c r="G722" s="11" t="s">
        <v>619</v>
      </c>
      <c r="H722" s="11" t="s">
        <v>23</v>
      </c>
      <c r="I722" s="11" t="s">
        <v>113</v>
      </c>
      <c r="J722" s="11" t="s">
        <v>242</v>
      </c>
      <c r="K722" s="11" t="n">
        <v>2</v>
      </c>
      <c r="L722" s="15" t="n">
        <v>20550.39</v>
      </c>
      <c r="M722" s="11" t="n">
        <v>10</v>
      </c>
      <c r="N722" s="15" t="n">
        <v>41100.78</v>
      </c>
      <c r="O722" s="15" t="n">
        <v>4110.08</v>
      </c>
      <c r="P722" s="15" t="n">
        <v>36990.7</v>
      </c>
      <c r="Q722" s="15" t="n">
        <v>0</v>
      </c>
      <c r="R722" s="11" t="n">
        <v>0</v>
      </c>
      <c r="S722" s="15" t="n">
        <f aca="false">P722-Q722</f>
        <v>36990.7</v>
      </c>
      <c r="T722" s="11" t="n">
        <f aca="false">IF(OR(J722="Completed",J722="Returned"),1,0)</f>
        <v>1</v>
      </c>
    </row>
    <row r="723" customFormat="false" ht="15" hidden="false" customHeight="false" outlineLevel="0" collapsed="false">
      <c r="A723" s="11" t="s">
        <v>1641</v>
      </c>
      <c r="B723" s="11" t="s">
        <v>305</v>
      </c>
      <c r="C723" s="24" t="n">
        <v>45667</v>
      </c>
      <c r="D723" s="11" t="s">
        <v>44</v>
      </c>
      <c r="E723" s="11" t="s">
        <v>80</v>
      </c>
      <c r="F723" s="11" t="s">
        <v>82</v>
      </c>
      <c r="G723" s="11" t="s">
        <v>1054</v>
      </c>
      <c r="H723" s="11" t="s">
        <v>21</v>
      </c>
      <c r="I723" s="11" t="s">
        <v>113</v>
      </c>
      <c r="J723" s="11" t="s">
        <v>242</v>
      </c>
      <c r="K723" s="11" t="n">
        <v>1</v>
      </c>
      <c r="L723" s="15" t="n">
        <v>19632.52</v>
      </c>
      <c r="M723" s="11" t="n">
        <v>0</v>
      </c>
      <c r="N723" s="15" t="n">
        <v>19632.52</v>
      </c>
      <c r="O723" s="15" t="n">
        <v>0</v>
      </c>
      <c r="P723" s="15" t="n">
        <v>19632.52</v>
      </c>
      <c r="Q723" s="15" t="n">
        <v>0</v>
      </c>
      <c r="R723" s="11" t="n">
        <v>0</v>
      </c>
      <c r="S723" s="15" t="n">
        <f aca="false">P723-Q723</f>
        <v>19632.52</v>
      </c>
      <c r="T723" s="11" t="n">
        <f aca="false">IF(OR(J723="Completed",J723="Returned"),1,0)</f>
        <v>1</v>
      </c>
    </row>
    <row r="724" customFormat="false" ht="15" hidden="false" customHeight="false" outlineLevel="0" collapsed="false">
      <c r="A724" s="11" t="s">
        <v>1642</v>
      </c>
      <c r="B724" s="11" t="s">
        <v>473</v>
      </c>
      <c r="C724" s="24" t="n">
        <v>45498</v>
      </c>
      <c r="D724" s="11" t="s">
        <v>38</v>
      </c>
      <c r="E724" s="11" t="s">
        <v>1161</v>
      </c>
      <c r="F724" s="11" t="s">
        <v>78</v>
      </c>
      <c r="G724" s="11" t="s">
        <v>625</v>
      </c>
      <c r="H724" s="11" t="s">
        <v>21</v>
      </c>
      <c r="I724" s="11" t="s">
        <v>115</v>
      </c>
      <c r="J724" s="11" t="s">
        <v>242</v>
      </c>
      <c r="K724" s="11" t="n">
        <v>1</v>
      </c>
      <c r="L724" s="15" t="n">
        <v>15176.98</v>
      </c>
      <c r="M724" s="11" t="n">
        <v>20</v>
      </c>
      <c r="N724" s="15" t="n">
        <v>15176.98</v>
      </c>
      <c r="O724" s="15" t="n">
        <v>3035.4</v>
      </c>
      <c r="P724" s="15" t="n">
        <v>12141.58</v>
      </c>
      <c r="Q724" s="15" t="n">
        <v>0</v>
      </c>
      <c r="R724" s="11" t="n">
        <v>0</v>
      </c>
      <c r="S724" s="15" t="n">
        <f aca="false">P724-Q724</f>
        <v>12141.58</v>
      </c>
      <c r="T724" s="11" t="n">
        <f aca="false">IF(OR(J724="Completed",J724="Returned"),1,0)</f>
        <v>1</v>
      </c>
    </row>
    <row r="725" customFormat="false" ht="15" hidden="false" customHeight="false" outlineLevel="0" collapsed="false">
      <c r="A725" s="11" t="s">
        <v>1643</v>
      </c>
      <c r="B725" s="11" t="s">
        <v>332</v>
      </c>
      <c r="C725" s="24" t="n">
        <v>45847</v>
      </c>
      <c r="D725" s="11" t="s">
        <v>50</v>
      </c>
      <c r="E725" s="11" t="s">
        <v>1096</v>
      </c>
      <c r="F725" s="11" t="s">
        <v>78</v>
      </c>
      <c r="G725" s="11" t="s">
        <v>628</v>
      </c>
      <c r="H725" s="11" t="s">
        <v>22</v>
      </c>
      <c r="I725" s="11" t="s">
        <v>114</v>
      </c>
      <c r="J725" s="11" t="s">
        <v>242</v>
      </c>
      <c r="K725" s="11" t="n">
        <v>1</v>
      </c>
      <c r="L725" s="15" t="n">
        <v>9269.43</v>
      </c>
      <c r="M725" s="11" t="n">
        <v>10</v>
      </c>
      <c r="N725" s="15" t="n">
        <v>9269.43</v>
      </c>
      <c r="O725" s="15" t="n">
        <v>926.94</v>
      </c>
      <c r="P725" s="15" t="n">
        <v>8342.49</v>
      </c>
      <c r="Q725" s="15" t="n">
        <v>0</v>
      </c>
      <c r="R725" s="11" t="n">
        <v>0</v>
      </c>
      <c r="S725" s="15" t="n">
        <f aca="false">P725-Q725</f>
        <v>8342.49</v>
      </c>
      <c r="T725" s="11" t="n">
        <f aca="false">IF(OR(J725="Completed",J725="Returned"),1,0)</f>
        <v>1</v>
      </c>
    </row>
    <row r="726" customFormat="false" ht="15" hidden="false" customHeight="false" outlineLevel="0" collapsed="false">
      <c r="A726" s="11" t="s">
        <v>1644</v>
      </c>
      <c r="B726" s="11" t="s">
        <v>273</v>
      </c>
      <c r="C726" s="24" t="n">
        <v>45466</v>
      </c>
      <c r="D726" s="11" t="s">
        <v>37</v>
      </c>
      <c r="E726" s="11" t="s">
        <v>1230</v>
      </c>
      <c r="F726" s="11" t="s">
        <v>82</v>
      </c>
      <c r="G726" s="11" t="s">
        <v>1054</v>
      </c>
      <c r="H726" s="11" t="s">
        <v>21</v>
      </c>
      <c r="I726" s="11" t="s">
        <v>114</v>
      </c>
      <c r="J726" s="11" t="s">
        <v>269</v>
      </c>
      <c r="K726" s="11" t="n">
        <v>3</v>
      </c>
      <c r="L726" s="15" t="n">
        <v>19632.52</v>
      </c>
      <c r="M726" s="11" t="n">
        <v>15</v>
      </c>
      <c r="N726" s="15" t="n">
        <v>58897.56</v>
      </c>
      <c r="O726" s="15" t="n">
        <v>8834.63</v>
      </c>
      <c r="P726" s="15" t="n">
        <v>50062.93</v>
      </c>
      <c r="Q726" s="15" t="n">
        <v>0</v>
      </c>
      <c r="R726" s="11" t="n">
        <v>0</v>
      </c>
      <c r="S726" s="15" t="n">
        <f aca="false">P726-Q726</f>
        <v>50062.93</v>
      </c>
      <c r="T726" s="11" t="n">
        <f aca="false">IF(OR(J726="Completed",J726="Returned"),1,0)</f>
        <v>1</v>
      </c>
    </row>
    <row r="727" customFormat="false" ht="15" hidden="false" customHeight="false" outlineLevel="0" collapsed="false">
      <c r="A727" s="11" t="s">
        <v>1645</v>
      </c>
      <c r="B727" s="11" t="s">
        <v>273</v>
      </c>
      <c r="C727" s="24" t="n">
        <v>45466</v>
      </c>
      <c r="D727" s="11" t="s">
        <v>37</v>
      </c>
      <c r="E727" s="11" t="s">
        <v>1230</v>
      </c>
      <c r="F727" s="11" t="s">
        <v>82</v>
      </c>
      <c r="G727" s="11" t="s">
        <v>162</v>
      </c>
      <c r="H727" s="11" t="s">
        <v>20</v>
      </c>
      <c r="I727" s="11" t="s">
        <v>114</v>
      </c>
      <c r="J727" s="11" t="s">
        <v>269</v>
      </c>
      <c r="K727" s="11" t="n">
        <v>3</v>
      </c>
      <c r="L727" s="15" t="n">
        <v>16084.14</v>
      </c>
      <c r="M727" s="11" t="n">
        <v>5</v>
      </c>
      <c r="N727" s="15" t="n">
        <v>48252.42</v>
      </c>
      <c r="O727" s="15" t="n">
        <v>2412.62</v>
      </c>
      <c r="P727" s="15" t="n">
        <v>45839.8</v>
      </c>
      <c r="Q727" s="15" t="n">
        <v>0</v>
      </c>
      <c r="R727" s="11" t="n">
        <v>0</v>
      </c>
      <c r="S727" s="15" t="n">
        <f aca="false">P727-Q727</f>
        <v>45839.8</v>
      </c>
      <c r="T727" s="11" t="n">
        <f aca="false">IF(OR(J727="Completed",J727="Returned"),1,0)</f>
        <v>1</v>
      </c>
    </row>
    <row r="728" customFormat="false" ht="15" hidden="false" customHeight="false" outlineLevel="0" collapsed="false">
      <c r="A728" s="11" t="s">
        <v>1646</v>
      </c>
      <c r="B728" s="11" t="s">
        <v>273</v>
      </c>
      <c r="C728" s="24" t="n">
        <v>45466</v>
      </c>
      <c r="D728" s="11" t="s">
        <v>37</v>
      </c>
      <c r="E728" s="11" t="s">
        <v>1230</v>
      </c>
      <c r="F728" s="11" t="s">
        <v>82</v>
      </c>
      <c r="G728" s="11" t="s">
        <v>907</v>
      </c>
      <c r="H728" s="11" t="s">
        <v>22</v>
      </c>
      <c r="I728" s="11" t="s">
        <v>114</v>
      </c>
      <c r="J728" s="11" t="s">
        <v>269</v>
      </c>
      <c r="K728" s="11" t="n">
        <v>4</v>
      </c>
      <c r="L728" s="15" t="n">
        <v>25643.17</v>
      </c>
      <c r="M728" s="11" t="n">
        <v>10</v>
      </c>
      <c r="N728" s="15" t="n">
        <v>102572.68</v>
      </c>
      <c r="O728" s="15" t="n">
        <v>10257.27</v>
      </c>
      <c r="P728" s="15" t="n">
        <v>92315.41</v>
      </c>
      <c r="Q728" s="15" t="n">
        <v>0</v>
      </c>
      <c r="R728" s="11" t="n">
        <v>0</v>
      </c>
      <c r="S728" s="15" t="n">
        <f aca="false">P728-Q728</f>
        <v>92315.41</v>
      </c>
      <c r="T728" s="11" t="n">
        <f aca="false">IF(OR(J728="Completed",J728="Returned"),1,0)</f>
        <v>1</v>
      </c>
    </row>
    <row r="729" customFormat="false" ht="15" hidden="false" customHeight="false" outlineLevel="0" collapsed="false">
      <c r="A729" s="11" t="s">
        <v>1647</v>
      </c>
      <c r="B729" s="11" t="s">
        <v>316</v>
      </c>
      <c r="C729" s="24" t="n">
        <v>45528</v>
      </c>
      <c r="D729" s="11" t="s">
        <v>39</v>
      </c>
      <c r="E729" s="11" t="s">
        <v>1648</v>
      </c>
      <c r="F729" s="11" t="s">
        <v>78</v>
      </c>
      <c r="G729" s="11" t="s">
        <v>965</v>
      </c>
      <c r="H729" s="11" t="s">
        <v>23</v>
      </c>
      <c r="I729" s="11" t="s">
        <v>115</v>
      </c>
      <c r="J729" s="11" t="s">
        <v>250</v>
      </c>
      <c r="K729" s="11" t="n">
        <v>1</v>
      </c>
      <c r="L729" s="15" t="n">
        <v>4511.74</v>
      </c>
      <c r="M729" s="11" t="n">
        <v>0</v>
      </c>
      <c r="N729" s="15" t="n">
        <v>4511.74</v>
      </c>
      <c r="O729" s="15" t="n">
        <v>0</v>
      </c>
      <c r="P729" s="15" t="n">
        <v>4511.74</v>
      </c>
      <c r="Q729" s="15" t="n">
        <v>0</v>
      </c>
      <c r="R729" s="11" t="n">
        <v>0</v>
      </c>
      <c r="S729" s="15" t="n">
        <f aca="false">P729-Q729</f>
        <v>4511.74</v>
      </c>
      <c r="T729" s="11" t="n">
        <f aca="false">IF(OR(J729="Completed",J729="Returned"),1,0)</f>
        <v>0</v>
      </c>
    </row>
    <row r="730" customFormat="false" ht="15" hidden="false" customHeight="false" outlineLevel="0" collapsed="false">
      <c r="A730" s="11" t="s">
        <v>1649</v>
      </c>
      <c r="B730" s="11" t="s">
        <v>501</v>
      </c>
      <c r="C730" s="24" t="n">
        <v>45587</v>
      </c>
      <c r="D730" s="11" t="s">
        <v>41</v>
      </c>
      <c r="E730" s="11" t="s">
        <v>879</v>
      </c>
      <c r="F730" s="11" t="s">
        <v>82</v>
      </c>
      <c r="G730" s="11" t="s">
        <v>152</v>
      </c>
      <c r="H730" s="11" t="s">
        <v>23</v>
      </c>
      <c r="I730" s="11" t="s">
        <v>113</v>
      </c>
      <c r="J730" s="11" t="s">
        <v>246</v>
      </c>
      <c r="K730" s="11" t="n">
        <v>2</v>
      </c>
      <c r="L730" s="15" t="n">
        <v>9953.59</v>
      </c>
      <c r="M730" s="11" t="n">
        <v>0</v>
      </c>
      <c r="N730" s="15" t="n">
        <v>19907.18</v>
      </c>
      <c r="O730" s="15" t="n">
        <v>0</v>
      </c>
      <c r="P730" s="15" t="n">
        <v>19907.18</v>
      </c>
      <c r="Q730" s="15" t="n">
        <v>0</v>
      </c>
      <c r="R730" s="11" t="n">
        <v>0</v>
      </c>
      <c r="S730" s="15" t="n">
        <f aca="false">P730-Q730</f>
        <v>19907.18</v>
      </c>
      <c r="T730" s="11" t="n">
        <f aca="false">IF(OR(J730="Completed",J730="Returned"),1,0)</f>
        <v>0</v>
      </c>
    </row>
    <row r="731" customFormat="false" ht="15" hidden="false" customHeight="false" outlineLevel="0" collapsed="false">
      <c r="A731" s="11" t="s">
        <v>1650</v>
      </c>
      <c r="B731" s="11" t="s">
        <v>501</v>
      </c>
      <c r="C731" s="24" t="n">
        <v>45587</v>
      </c>
      <c r="D731" s="11" t="s">
        <v>41</v>
      </c>
      <c r="E731" s="11" t="s">
        <v>879</v>
      </c>
      <c r="F731" s="11" t="s">
        <v>82</v>
      </c>
      <c r="G731" s="11" t="s">
        <v>611</v>
      </c>
      <c r="H731" s="11" t="s">
        <v>22</v>
      </c>
      <c r="I731" s="11" t="s">
        <v>113</v>
      </c>
      <c r="J731" s="11" t="s">
        <v>246</v>
      </c>
      <c r="K731" s="11" t="n">
        <v>3</v>
      </c>
      <c r="L731" s="15" t="n">
        <v>3634.57</v>
      </c>
      <c r="M731" s="11" t="n">
        <v>20</v>
      </c>
      <c r="N731" s="15" t="n">
        <v>10903.71</v>
      </c>
      <c r="O731" s="15" t="n">
        <v>2180.74</v>
      </c>
      <c r="P731" s="15" t="n">
        <v>8722.97</v>
      </c>
      <c r="Q731" s="15" t="n">
        <v>0</v>
      </c>
      <c r="R731" s="11" t="n">
        <v>0</v>
      </c>
      <c r="S731" s="15" t="n">
        <f aca="false">P731-Q731</f>
        <v>8722.97</v>
      </c>
      <c r="T731" s="11" t="n">
        <f aca="false">IF(OR(J731="Completed",J731="Returned"),1,0)</f>
        <v>0</v>
      </c>
    </row>
    <row r="732" customFormat="false" ht="15" hidden="false" customHeight="false" outlineLevel="0" collapsed="false">
      <c r="A732" s="11" t="s">
        <v>1651</v>
      </c>
      <c r="B732" s="11" t="s">
        <v>501</v>
      </c>
      <c r="C732" s="24" t="n">
        <v>45587</v>
      </c>
      <c r="D732" s="11" t="s">
        <v>41</v>
      </c>
      <c r="E732" s="11" t="s">
        <v>879</v>
      </c>
      <c r="F732" s="11" t="s">
        <v>82</v>
      </c>
      <c r="G732" s="11" t="s">
        <v>781</v>
      </c>
      <c r="H732" s="11" t="s">
        <v>21</v>
      </c>
      <c r="I732" s="11" t="s">
        <v>113</v>
      </c>
      <c r="J732" s="11" t="s">
        <v>246</v>
      </c>
      <c r="K732" s="11" t="n">
        <v>5</v>
      </c>
      <c r="L732" s="15" t="n">
        <v>3962.52</v>
      </c>
      <c r="M732" s="11" t="n">
        <v>20</v>
      </c>
      <c r="N732" s="15" t="n">
        <v>19812.6</v>
      </c>
      <c r="O732" s="15" t="n">
        <v>3962.52</v>
      </c>
      <c r="P732" s="15" t="n">
        <v>15850.08</v>
      </c>
      <c r="Q732" s="15" t="n">
        <v>0</v>
      </c>
      <c r="R732" s="11" t="n">
        <v>0</v>
      </c>
      <c r="S732" s="15" t="n">
        <f aca="false">P732-Q732</f>
        <v>15850.08</v>
      </c>
      <c r="T732" s="11" t="n">
        <f aca="false">IF(OR(J732="Completed",J732="Returned"),1,0)</f>
        <v>0</v>
      </c>
    </row>
    <row r="733" customFormat="false" ht="15" hidden="false" customHeight="false" outlineLevel="0" collapsed="false">
      <c r="A733" s="11" t="s">
        <v>1652</v>
      </c>
      <c r="B733" s="11" t="s">
        <v>501</v>
      </c>
      <c r="C733" s="24" t="n">
        <v>45587</v>
      </c>
      <c r="D733" s="11" t="s">
        <v>41</v>
      </c>
      <c r="E733" s="11" t="s">
        <v>879</v>
      </c>
      <c r="F733" s="11" t="s">
        <v>82</v>
      </c>
      <c r="G733" s="11" t="s">
        <v>150</v>
      </c>
      <c r="H733" s="11" t="s">
        <v>22</v>
      </c>
      <c r="I733" s="11" t="s">
        <v>113</v>
      </c>
      <c r="J733" s="11" t="s">
        <v>246</v>
      </c>
      <c r="K733" s="11" t="n">
        <v>2</v>
      </c>
      <c r="L733" s="15" t="n">
        <v>21978.46</v>
      </c>
      <c r="M733" s="11" t="n">
        <v>0</v>
      </c>
      <c r="N733" s="15" t="n">
        <v>43956.92</v>
      </c>
      <c r="O733" s="15" t="n">
        <v>0</v>
      </c>
      <c r="P733" s="15" t="n">
        <v>43956.92</v>
      </c>
      <c r="Q733" s="15" t="n">
        <v>40668.25</v>
      </c>
      <c r="R733" s="11" t="n">
        <v>2</v>
      </c>
      <c r="S733" s="15" t="n">
        <f aca="false">P733-Q733</f>
        <v>3288.67</v>
      </c>
      <c r="T733" s="11" t="n">
        <f aca="false">IF(OR(J733="Completed",J733="Returned"),1,0)</f>
        <v>0</v>
      </c>
    </row>
    <row r="734" customFormat="false" ht="15" hidden="false" customHeight="false" outlineLevel="0" collapsed="false">
      <c r="A734" s="11" t="s">
        <v>1653</v>
      </c>
      <c r="B734" s="11" t="s">
        <v>478</v>
      </c>
      <c r="C734" s="24" t="n">
        <v>45852</v>
      </c>
      <c r="D734" s="11" t="s">
        <v>50</v>
      </c>
      <c r="E734" s="11" t="s">
        <v>1079</v>
      </c>
      <c r="F734" s="11" t="s">
        <v>78</v>
      </c>
      <c r="G734" s="11" t="s">
        <v>135</v>
      </c>
      <c r="H734" s="11" t="s">
        <v>22</v>
      </c>
      <c r="I734" s="11" t="s">
        <v>113</v>
      </c>
      <c r="J734" s="11" t="s">
        <v>246</v>
      </c>
      <c r="K734" s="11" t="n">
        <v>1</v>
      </c>
      <c r="L734" s="15" t="n">
        <v>22655.14</v>
      </c>
      <c r="M734" s="11" t="n">
        <v>20</v>
      </c>
      <c r="N734" s="15" t="n">
        <v>22655.14</v>
      </c>
      <c r="O734" s="15" t="n">
        <v>4531.03</v>
      </c>
      <c r="P734" s="15" t="n">
        <v>18124.11</v>
      </c>
      <c r="Q734" s="15" t="n">
        <v>0</v>
      </c>
      <c r="R734" s="11" t="n">
        <v>0</v>
      </c>
      <c r="S734" s="15" t="n">
        <f aca="false">P734-Q734</f>
        <v>18124.11</v>
      </c>
      <c r="T734" s="11" t="n">
        <f aca="false">IF(OR(J734="Completed",J734="Returned"),1,0)</f>
        <v>0</v>
      </c>
    </row>
    <row r="735" customFormat="false" ht="15" hidden="false" customHeight="false" outlineLevel="0" collapsed="false">
      <c r="A735" s="11" t="s">
        <v>1654</v>
      </c>
      <c r="B735" s="11" t="s">
        <v>478</v>
      </c>
      <c r="C735" s="24" t="n">
        <v>45852</v>
      </c>
      <c r="D735" s="11" t="s">
        <v>50</v>
      </c>
      <c r="E735" s="11" t="s">
        <v>1079</v>
      </c>
      <c r="F735" s="11" t="s">
        <v>78</v>
      </c>
      <c r="G735" s="11" t="s">
        <v>631</v>
      </c>
      <c r="H735" s="11" t="s">
        <v>24</v>
      </c>
      <c r="I735" s="11" t="s">
        <v>113</v>
      </c>
      <c r="J735" s="11" t="s">
        <v>246</v>
      </c>
      <c r="K735" s="11" t="n">
        <v>2</v>
      </c>
      <c r="L735" s="15" t="n">
        <v>11518.86</v>
      </c>
      <c r="M735" s="11" t="n">
        <v>15</v>
      </c>
      <c r="N735" s="15" t="n">
        <v>23037.72</v>
      </c>
      <c r="O735" s="15" t="n">
        <v>3455.66</v>
      </c>
      <c r="P735" s="15" t="n">
        <v>19582.06</v>
      </c>
      <c r="Q735" s="15" t="n">
        <v>0</v>
      </c>
      <c r="R735" s="11" t="n">
        <v>0</v>
      </c>
      <c r="S735" s="15" t="n">
        <f aca="false">P735-Q735</f>
        <v>19582.06</v>
      </c>
      <c r="T735" s="11" t="n">
        <f aca="false">IF(OR(J735="Completed",J735="Returned"),1,0)</f>
        <v>0</v>
      </c>
    </row>
    <row r="736" customFormat="false" ht="15" hidden="false" customHeight="false" outlineLevel="0" collapsed="false">
      <c r="A736" s="11" t="s">
        <v>1655</v>
      </c>
      <c r="B736" s="11" t="s">
        <v>478</v>
      </c>
      <c r="C736" s="24" t="n">
        <v>45852</v>
      </c>
      <c r="D736" s="11" t="s">
        <v>50</v>
      </c>
      <c r="E736" s="11" t="s">
        <v>1079</v>
      </c>
      <c r="F736" s="11" t="s">
        <v>78</v>
      </c>
      <c r="G736" s="11" t="s">
        <v>1054</v>
      </c>
      <c r="H736" s="11" t="s">
        <v>21</v>
      </c>
      <c r="I736" s="11" t="s">
        <v>113</v>
      </c>
      <c r="J736" s="11" t="s">
        <v>246</v>
      </c>
      <c r="K736" s="11" t="n">
        <v>5</v>
      </c>
      <c r="L736" s="15" t="n">
        <v>19632.52</v>
      </c>
      <c r="M736" s="11" t="n">
        <v>0</v>
      </c>
      <c r="N736" s="15" t="n">
        <v>98162.6</v>
      </c>
      <c r="O736" s="15" t="n">
        <v>0</v>
      </c>
      <c r="P736" s="15" t="n">
        <v>98162.6</v>
      </c>
      <c r="Q736" s="15" t="n">
        <v>0</v>
      </c>
      <c r="R736" s="11" t="n">
        <v>0</v>
      </c>
      <c r="S736" s="15" t="n">
        <f aca="false">P736-Q736</f>
        <v>98162.6</v>
      </c>
      <c r="T736" s="11" t="n">
        <f aca="false">IF(OR(J736="Completed",J736="Returned"),1,0)</f>
        <v>0</v>
      </c>
    </row>
    <row r="737" customFormat="false" ht="15" hidden="false" customHeight="false" outlineLevel="0" collapsed="false">
      <c r="A737" s="11" t="s">
        <v>1656</v>
      </c>
      <c r="B737" s="11" t="s">
        <v>398</v>
      </c>
      <c r="C737" s="24" t="n">
        <v>45774</v>
      </c>
      <c r="D737" s="11" t="s">
        <v>47</v>
      </c>
      <c r="E737" s="11" t="s">
        <v>1657</v>
      </c>
      <c r="F737" s="11" t="s">
        <v>74</v>
      </c>
      <c r="G737" s="11" t="s">
        <v>162</v>
      </c>
      <c r="H737" s="11" t="s">
        <v>20</v>
      </c>
      <c r="I737" s="11" t="s">
        <v>114</v>
      </c>
      <c r="J737" s="11" t="s">
        <v>269</v>
      </c>
      <c r="K737" s="11" t="n">
        <v>4</v>
      </c>
      <c r="L737" s="15" t="n">
        <v>16084.14</v>
      </c>
      <c r="M737" s="11" t="n">
        <v>20</v>
      </c>
      <c r="N737" s="15" t="n">
        <v>64336.56</v>
      </c>
      <c r="O737" s="15" t="n">
        <v>12867.31</v>
      </c>
      <c r="P737" s="15" t="n">
        <v>51469.25</v>
      </c>
      <c r="Q737" s="15" t="n">
        <v>0</v>
      </c>
      <c r="R737" s="11" t="n">
        <v>0</v>
      </c>
      <c r="S737" s="15" t="n">
        <f aca="false">P737-Q737</f>
        <v>51469.25</v>
      </c>
      <c r="T737" s="11" t="n">
        <f aca="false">IF(OR(J737="Completed",J737="Returned"),1,0)</f>
        <v>1</v>
      </c>
    </row>
    <row r="738" customFormat="false" ht="15" hidden="false" customHeight="false" outlineLevel="0" collapsed="false">
      <c r="A738" s="11" t="s">
        <v>1658</v>
      </c>
      <c r="B738" s="11" t="s">
        <v>398</v>
      </c>
      <c r="C738" s="24" t="n">
        <v>45774</v>
      </c>
      <c r="D738" s="11" t="s">
        <v>47</v>
      </c>
      <c r="E738" s="11" t="s">
        <v>1657</v>
      </c>
      <c r="F738" s="11" t="s">
        <v>74</v>
      </c>
      <c r="G738" s="11" t="s">
        <v>628</v>
      </c>
      <c r="H738" s="11" t="s">
        <v>22</v>
      </c>
      <c r="I738" s="11" t="s">
        <v>114</v>
      </c>
      <c r="J738" s="11" t="s">
        <v>269</v>
      </c>
      <c r="K738" s="11" t="n">
        <v>3</v>
      </c>
      <c r="L738" s="15" t="n">
        <v>9269.43</v>
      </c>
      <c r="M738" s="11" t="n">
        <v>15</v>
      </c>
      <c r="N738" s="15" t="n">
        <v>27808.29</v>
      </c>
      <c r="O738" s="15" t="n">
        <v>4171.24</v>
      </c>
      <c r="P738" s="15" t="n">
        <v>23637.05</v>
      </c>
      <c r="Q738" s="15" t="n">
        <v>0</v>
      </c>
      <c r="R738" s="11" t="n">
        <v>0</v>
      </c>
      <c r="S738" s="15" t="n">
        <f aca="false">P738-Q738</f>
        <v>23637.05</v>
      </c>
      <c r="T738" s="11" t="n">
        <f aca="false">IF(OR(J738="Completed",J738="Returned"),1,0)</f>
        <v>1</v>
      </c>
    </row>
    <row r="739" customFormat="false" ht="15" hidden="false" customHeight="false" outlineLevel="0" collapsed="false">
      <c r="A739" s="11" t="s">
        <v>1659</v>
      </c>
      <c r="B739" s="11" t="s">
        <v>398</v>
      </c>
      <c r="C739" s="24" t="n">
        <v>45774</v>
      </c>
      <c r="D739" s="11" t="s">
        <v>47</v>
      </c>
      <c r="E739" s="11" t="s">
        <v>1657</v>
      </c>
      <c r="F739" s="11" t="s">
        <v>74</v>
      </c>
      <c r="G739" s="11" t="s">
        <v>143</v>
      </c>
      <c r="H739" s="11" t="s">
        <v>23</v>
      </c>
      <c r="I739" s="11" t="s">
        <v>114</v>
      </c>
      <c r="J739" s="11" t="s">
        <v>269</v>
      </c>
      <c r="K739" s="11" t="n">
        <v>5</v>
      </c>
      <c r="L739" s="15" t="n">
        <v>8318.56</v>
      </c>
      <c r="M739" s="11" t="n">
        <v>15</v>
      </c>
      <c r="N739" s="15" t="n">
        <v>41592.8</v>
      </c>
      <c r="O739" s="15" t="n">
        <v>6238.92</v>
      </c>
      <c r="P739" s="15" t="n">
        <v>35353.88</v>
      </c>
      <c r="Q739" s="15" t="n">
        <v>0</v>
      </c>
      <c r="R739" s="11" t="n">
        <v>0</v>
      </c>
      <c r="S739" s="15" t="n">
        <f aca="false">P739-Q739</f>
        <v>35353.88</v>
      </c>
      <c r="T739" s="11" t="n">
        <f aca="false">IF(OR(J739="Completed",J739="Returned"),1,0)</f>
        <v>1</v>
      </c>
    </row>
    <row r="740" customFormat="false" ht="15" hidden="false" customHeight="false" outlineLevel="0" collapsed="false">
      <c r="A740" s="11" t="s">
        <v>1660</v>
      </c>
      <c r="B740" s="11" t="s">
        <v>326</v>
      </c>
      <c r="C740" s="24" t="n">
        <v>45430</v>
      </c>
      <c r="D740" s="11" t="s">
        <v>36</v>
      </c>
      <c r="E740" s="11" t="s">
        <v>803</v>
      </c>
      <c r="F740" s="11" t="s">
        <v>25</v>
      </c>
      <c r="G740" s="11" t="s">
        <v>133</v>
      </c>
      <c r="H740" s="11" t="s">
        <v>21</v>
      </c>
      <c r="I740" s="11" t="s">
        <v>114</v>
      </c>
      <c r="J740" s="11" t="s">
        <v>242</v>
      </c>
      <c r="K740" s="11" t="n">
        <v>1</v>
      </c>
      <c r="L740" s="15" t="n">
        <v>15706.03</v>
      </c>
      <c r="M740" s="11" t="n">
        <v>5</v>
      </c>
      <c r="N740" s="15" t="n">
        <v>15706.03</v>
      </c>
      <c r="O740" s="15" t="n">
        <v>785.3</v>
      </c>
      <c r="P740" s="15" t="n">
        <v>14920.73</v>
      </c>
      <c r="Q740" s="15" t="n">
        <v>0</v>
      </c>
      <c r="R740" s="11" t="n">
        <v>0</v>
      </c>
      <c r="S740" s="15" t="n">
        <f aca="false">P740-Q740</f>
        <v>14920.73</v>
      </c>
      <c r="T740" s="11" t="n">
        <f aca="false">IF(OR(J740="Completed",J740="Returned"),1,0)</f>
        <v>1</v>
      </c>
    </row>
    <row r="741" customFormat="false" ht="15" hidden="false" customHeight="false" outlineLevel="0" collapsed="false">
      <c r="A741" s="11" t="s">
        <v>1661</v>
      </c>
      <c r="B741" s="11" t="s">
        <v>419</v>
      </c>
      <c r="C741" s="24" t="n">
        <v>45425</v>
      </c>
      <c r="D741" s="11" t="s">
        <v>36</v>
      </c>
      <c r="E741" s="11" t="s">
        <v>1662</v>
      </c>
      <c r="F741" s="11" t="s">
        <v>74</v>
      </c>
      <c r="G741" s="11" t="s">
        <v>148</v>
      </c>
      <c r="H741" s="11" t="s">
        <v>21</v>
      </c>
      <c r="I741" s="11" t="s">
        <v>114</v>
      </c>
      <c r="J741" s="11" t="s">
        <v>242</v>
      </c>
      <c r="K741" s="11" t="n">
        <v>1</v>
      </c>
      <c r="L741" s="15" t="n">
        <v>11434.02</v>
      </c>
      <c r="M741" s="11" t="n">
        <v>10</v>
      </c>
      <c r="N741" s="15" t="n">
        <v>11434.02</v>
      </c>
      <c r="O741" s="15" t="n">
        <v>1143.4</v>
      </c>
      <c r="P741" s="15" t="n">
        <v>10290.62</v>
      </c>
      <c r="Q741" s="15" t="n">
        <v>0</v>
      </c>
      <c r="R741" s="11" t="n">
        <v>0</v>
      </c>
      <c r="S741" s="15" t="n">
        <f aca="false">P741-Q741</f>
        <v>10290.62</v>
      </c>
      <c r="T741" s="11" t="n">
        <f aca="false">IF(OR(J741="Completed",J741="Returned"),1,0)</f>
        <v>1</v>
      </c>
    </row>
    <row r="742" customFormat="false" ht="15" hidden="false" customHeight="false" outlineLevel="0" collapsed="false">
      <c r="A742" s="11" t="s">
        <v>1663</v>
      </c>
      <c r="B742" s="11" t="s">
        <v>419</v>
      </c>
      <c r="C742" s="24" t="n">
        <v>45425</v>
      </c>
      <c r="D742" s="11" t="s">
        <v>36</v>
      </c>
      <c r="E742" s="11" t="s">
        <v>1662</v>
      </c>
      <c r="F742" s="11" t="s">
        <v>74</v>
      </c>
      <c r="G742" s="11" t="s">
        <v>833</v>
      </c>
      <c r="H742" s="11" t="s">
        <v>23</v>
      </c>
      <c r="I742" s="11" t="s">
        <v>114</v>
      </c>
      <c r="J742" s="11" t="s">
        <v>242</v>
      </c>
      <c r="K742" s="11" t="n">
        <v>2</v>
      </c>
      <c r="L742" s="15" t="n">
        <v>14595.44</v>
      </c>
      <c r="M742" s="11" t="n">
        <v>0</v>
      </c>
      <c r="N742" s="15" t="n">
        <v>29190.88</v>
      </c>
      <c r="O742" s="15" t="n">
        <v>0</v>
      </c>
      <c r="P742" s="15" t="n">
        <v>29190.88</v>
      </c>
      <c r="Q742" s="15" t="n">
        <v>0</v>
      </c>
      <c r="R742" s="11" t="n">
        <v>0</v>
      </c>
      <c r="S742" s="15" t="n">
        <f aca="false">P742-Q742</f>
        <v>29190.88</v>
      </c>
      <c r="T742" s="11" t="n">
        <f aca="false">IF(OR(J742="Completed",J742="Returned"),1,0)</f>
        <v>1</v>
      </c>
    </row>
    <row r="743" customFormat="false" ht="15" hidden="false" customHeight="false" outlineLevel="0" collapsed="false">
      <c r="A743" s="11" t="s">
        <v>1664</v>
      </c>
      <c r="B743" s="11" t="s">
        <v>419</v>
      </c>
      <c r="C743" s="24" t="n">
        <v>45425</v>
      </c>
      <c r="D743" s="11" t="s">
        <v>36</v>
      </c>
      <c r="E743" s="11" t="s">
        <v>1662</v>
      </c>
      <c r="F743" s="11" t="s">
        <v>74</v>
      </c>
      <c r="G743" s="11" t="s">
        <v>630</v>
      </c>
      <c r="H743" s="11" t="s">
        <v>23</v>
      </c>
      <c r="I743" s="11" t="s">
        <v>114</v>
      </c>
      <c r="J743" s="11" t="s">
        <v>242</v>
      </c>
      <c r="K743" s="11" t="n">
        <v>1</v>
      </c>
      <c r="L743" s="15" t="n">
        <v>18828.5</v>
      </c>
      <c r="M743" s="11" t="n">
        <v>0</v>
      </c>
      <c r="N743" s="15" t="n">
        <v>18828.5</v>
      </c>
      <c r="O743" s="15" t="n">
        <v>0</v>
      </c>
      <c r="P743" s="15" t="n">
        <v>18828.5</v>
      </c>
      <c r="Q743" s="15" t="n">
        <v>0</v>
      </c>
      <c r="R743" s="11" t="n">
        <v>0</v>
      </c>
      <c r="S743" s="15" t="n">
        <f aca="false">P743-Q743</f>
        <v>18828.5</v>
      </c>
      <c r="T743" s="11" t="n">
        <f aca="false">IF(OR(J743="Completed",J743="Returned"),1,0)</f>
        <v>1</v>
      </c>
    </row>
    <row r="744" customFormat="false" ht="15" hidden="false" customHeight="false" outlineLevel="0" collapsed="false">
      <c r="A744" s="11" t="s">
        <v>1665</v>
      </c>
      <c r="B744" s="11" t="s">
        <v>419</v>
      </c>
      <c r="C744" s="24" t="n">
        <v>45425</v>
      </c>
      <c r="D744" s="11" t="s">
        <v>36</v>
      </c>
      <c r="E744" s="11" t="s">
        <v>1662</v>
      </c>
      <c r="F744" s="11" t="s">
        <v>74</v>
      </c>
      <c r="G744" s="11" t="s">
        <v>631</v>
      </c>
      <c r="H744" s="11" t="s">
        <v>24</v>
      </c>
      <c r="I744" s="11" t="s">
        <v>114</v>
      </c>
      <c r="J744" s="11" t="s">
        <v>242</v>
      </c>
      <c r="K744" s="11" t="n">
        <v>3</v>
      </c>
      <c r="L744" s="15" t="n">
        <v>11518.86</v>
      </c>
      <c r="M744" s="11" t="n">
        <v>0</v>
      </c>
      <c r="N744" s="15" t="n">
        <v>34556.58</v>
      </c>
      <c r="O744" s="15" t="n">
        <v>0</v>
      </c>
      <c r="P744" s="15" t="n">
        <v>34556.58</v>
      </c>
      <c r="Q744" s="15" t="n">
        <v>0</v>
      </c>
      <c r="R744" s="11" t="n">
        <v>0</v>
      </c>
      <c r="S744" s="15" t="n">
        <f aca="false">P744-Q744</f>
        <v>34556.58</v>
      </c>
      <c r="T744" s="11" t="n">
        <f aca="false">IF(OR(J744="Completed",J744="Returned"),1,0)</f>
        <v>1</v>
      </c>
    </row>
    <row r="745" customFormat="false" ht="15" hidden="false" customHeight="false" outlineLevel="0" collapsed="false">
      <c r="A745" s="11" t="s">
        <v>1666</v>
      </c>
      <c r="B745" s="11" t="s">
        <v>241</v>
      </c>
      <c r="C745" s="24" t="n">
        <v>44839</v>
      </c>
      <c r="D745" s="11" t="s">
        <v>31</v>
      </c>
      <c r="E745" s="11" t="s">
        <v>92</v>
      </c>
      <c r="F745" s="11" t="s">
        <v>70</v>
      </c>
      <c r="G745" s="11" t="s">
        <v>150</v>
      </c>
      <c r="H745" s="11" t="s">
        <v>22</v>
      </c>
      <c r="I745" s="11" t="s">
        <v>113</v>
      </c>
      <c r="J745" s="11" t="s">
        <v>242</v>
      </c>
      <c r="K745" s="11" t="n">
        <v>1</v>
      </c>
      <c r="L745" s="15" t="n">
        <v>21978.46</v>
      </c>
      <c r="M745" s="11" t="n">
        <v>20</v>
      </c>
      <c r="N745" s="15" t="n">
        <v>21978.46</v>
      </c>
      <c r="O745" s="15" t="n">
        <v>4395.69</v>
      </c>
      <c r="P745" s="15" t="n">
        <v>17582.77</v>
      </c>
      <c r="Q745" s="15" t="n">
        <v>0</v>
      </c>
      <c r="R745" s="11" t="n">
        <v>0</v>
      </c>
      <c r="S745" s="15" t="n">
        <f aca="false">P745-Q745</f>
        <v>17582.77</v>
      </c>
      <c r="T745" s="11" t="n">
        <f aca="false">IF(OR(J745="Completed",J745="Returned"),1,0)</f>
        <v>1</v>
      </c>
    </row>
    <row r="746" customFormat="false" ht="15" hidden="false" customHeight="false" outlineLevel="0" collapsed="false">
      <c r="A746" s="11" t="s">
        <v>1667</v>
      </c>
      <c r="B746" s="11" t="s">
        <v>241</v>
      </c>
      <c r="C746" s="24" t="n">
        <v>44839</v>
      </c>
      <c r="D746" s="11" t="s">
        <v>31</v>
      </c>
      <c r="E746" s="11" t="s">
        <v>92</v>
      </c>
      <c r="F746" s="11" t="s">
        <v>70</v>
      </c>
      <c r="G746" s="11" t="s">
        <v>141</v>
      </c>
      <c r="H746" s="11" t="s">
        <v>24</v>
      </c>
      <c r="I746" s="11" t="s">
        <v>113</v>
      </c>
      <c r="J746" s="11" t="s">
        <v>242</v>
      </c>
      <c r="K746" s="11" t="n">
        <v>4</v>
      </c>
      <c r="L746" s="15" t="n">
        <v>20481.04</v>
      </c>
      <c r="M746" s="11" t="n">
        <v>0</v>
      </c>
      <c r="N746" s="15" t="n">
        <v>81924.16</v>
      </c>
      <c r="O746" s="15" t="n">
        <v>0</v>
      </c>
      <c r="P746" s="15" t="n">
        <v>81924.16</v>
      </c>
      <c r="Q746" s="15" t="n">
        <v>0</v>
      </c>
      <c r="R746" s="11" t="n">
        <v>0</v>
      </c>
      <c r="S746" s="15" t="n">
        <f aca="false">P746-Q746</f>
        <v>81924.16</v>
      </c>
      <c r="T746" s="11" t="n">
        <f aca="false">IF(OR(J746="Completed",J746="Returned"),1,0)</f>
        <v>1</v>
      </c>
    </row>
    <row r="747" customFormat="false" ht="15" hidden="false" customHeight="false" outlineLevel="0" collapsed="false">
      <c r="A747" s="11" t="s">
        <v>1668</v>
      </c>
      <c r="B747" s="11" t="s">
        <v>241</v>
      </c>
      <c r="C747" s="24" t="n">
        <v>44839</v>
      </c>
      <c r="D747" s="11" t="s">
        <v>31</v>
      </c>
      <c r="E747" s="11" t="s">
        <v>92</v>
      </c>
      <c r="F747" s="11" t="s">
        <v>70</v>
      </c>
      <c r="G747" s="11" t="s">
        <v>154</v>
      </c>
      <c r="H747" s="11" t="s">
        <v>21</v>
      </c>
      <c r="I747" s="11" t="s">
        <v>113</v>
      </c>
      <c r="J747" s="11" t="s">
        <v>242</v>
      </c>
      <c r="K747" s="11" t="n">
        <v>5</v>
      </c>
      <c r="L747" s="15" t="n">
        <v>2260.53</v>
      </c>
      <c r="M747" s="11" t="n">
        <v>15</v>
      </c>
      <c r="N747" s="15" t="n">
        <v>11302.65</v>
      </c>
      <c r="O747" s="15" t="n">
        <v>1695.4</v>
      </c>
      <c r="P747" s="15" t="n">
        <v>9607.25</v>
      </c>
      <c r="Q747" s="15" t="n">
        <v>0</v>
      </c>
      <c r="R747" s="11" t="n">
        <v>0</v>
      </c>
      <c r="S747" s="15" t="n">
        <f aca="false">P747-Q747</f>
        <v>9607.25</v>
      </c>
      <c r="T747" s="11" t="n">
        <f aca="false">IF(OR(J747="Completed",J747="Returned"),1,0)</f>
        <v>1</v>
      </c>
    </row>
    <row r="748" customFormat="false" ht="15" hidden="false" customHeight="false" outlineLevel="0" collapsed="false">
      <c r="A748" s="11" t="s">
        <v>1669</v>
      </c>
      <c r="B748" s="11" t="s">
        <v>521</v>
      </c>
      <c r="C748" s="24" t="n">
        <v>45667</v>
      </c>
      <c r="D748" s="11" t="s">
        <v>44</v>
      </c>
      <c r="E748" s="11" t="s">
        <v>1240</v>
      </c>
      <c r="F748" s="11" t="s">
        <v>78</v>
      </c>
      <c r="G748" s="11" t="s">
        <v>619</v>
      </c>
      <c r="H748" s="11" t="s">
        <v>23</v>
      </c>
      <c r="I748" s="11" t="s">
        <v>113</v>
      </c>
      <c r="J748" s="11" t="s">
        <v>242</v>
      </c>
      <c r="K748" s="11" t="n">
        <v>4</v>
      </c>
      <c r="L748" s="15" t="n">
        <v>20550.39</v>
      </c>
      <c r="M748" s="11" t="n">
        <v>20</v>
      </c>
      <c r="N748" s="15" t="n">
        <v>82201.56</v>
      </c>
      <c r="O748" s="15" t="n">
        <v>16440.31</v>
      </c>
      <c r="P748" s="15" t="n">
        <v>65761.25</v>
      </c>
      <c r="Q748" s="15" t="n">
        <v>0</v>
      </c>
      <c r="R748" s="11" t="n">
        <v>0</v>
      </c>
      <c r="S748" s="15" t="n">
        <f aca="false">P748-Q748</f>
        <v>65761.25</v>
      </c>
      <c r="T748" s="11" t="n">
        <f aca="false">IF(OR(J748="Completed",J748="Returned"),1,0)</f>
        <v>1</v>
      </c>
    </row>
    <row r="749" customFormat="false" ht="15" hidden="false" customHeight="false" outlineLevel="0" collapsed="false">
      <c r="A749" s="11" t="s">
        <v>1670</v>
      </c>
      <c r="B749" s="11" t="s">
        <v>567</v>
      </c>
      <c r="C749" s="24" t="n">
        <v>45475</v>
      </c>
      <c r="D749" s="11" t="s">
        <v>38</v>
      </c>
      <c r="E749" s="11" t="s">
        <v>87</v>
      </c>
      <c r="F749" s="11" t="s">
        <v>82</v>
      </c>
      <c r="G749" s="11" t="s">
        <v>607</v>
      </c>
      <c r="H749" s="11" t="s">
        <v>22</v>
      </c>
      <c r="I749" s="11" t="s">
        <v>113</v>
      </c>
      <c r="J749" s="11" t="s">
        <v>250</v>
      </c>
      <c r="K749" s="11" t="n">
        <v>1</v>
      </c>
      <c r="L749" s="15" t="n">
        <v>11569.57</v>
      </c>
      <c r="M749" s="11" t="n">
        <v>5</v>
      </c>
      <c r="N749" s="15" t="n">
        <v>11569.57</v>
      </c>
      <c r="O749" s="15" t="n">
        <v>578.48</v>
      </c>
      <c r="P749" s="15" t="n">
        <v>10991.09</v>
      </c>
      <c r="Q749" s="15" t="n">
        <v>0</v>
      </c>
      <c r="R749" s="11" t="n">
        <v>0</v>
      </c>
      <c r="S749" s="15" t="n">
        <f aca="false">P749-Q749</f>
        <v>10991.09</v>
      </c>
      <c r="T749" s="11" t="n">
        <f aca="false">IF(OR(J749="Completed",J749="Returned"),1,0)</f>
        <v>0</v>
      </c>
    </row>
    <row r="750" customFormat="false" ht="15" hidden="false" customHeight="false" outlineLevel="0" collapsed="false">
      <c r="A750" s="11" t="s">
        <v>1671</v>
      </c>
      <c r="B750" s="11" t="s">
        <v>567</v>
      </c>
      <c r="C750" s="24" t="n">
        <v>45475</v>
      </c>
      <c r="D750" s="11" t="s">
        <v>38</v>
      </c>
      <c r="E750" s="11" t="s">
        <v>87</v>
      </c>
      <c r="F750" s="11" t="s">
        <v>82</v>
      </c>
      <c r="G750" s="11" t="s">
        <v>630</v>
      </c>
      <c r="H750" s="11" t="s">
        <v>23</v>
      </c>
      <c r="I750" s="11" t="s">
        <v>113</v>
      </c>
      <c r="J750" s="11" t="s">
        <v>250</v>
      </c>
      <c r="K750" s="11" t="n">
        <v>3</v>
      </c>
      <c r="L750" s="15" t="n">
        <v>18828.5</v>
      </c>
      <c r="M750" s="11" t="n">
        <v>20</v>
      </c>
      <c r="N750" s="15" t="n">
        <v>56485.5</v>
      </c>
      <c r="O750" s="15" t="n">
        <v>11297.1</v>
      </c>
      <c r="P750" s="15" t="n">
        <v>45188.4</v>
      </c>
      <c r="Q750" s="15" t="n">
        <v>0</v>
      </c>
      <c r="R750" s="11" t="n">
        <v>0</v>
      </c>
      <c r="S750" s="15" t="n">
        <f aca="false">P750-Q750</f>
        <v>45188.4</v>
      </c>
      <c r="T750" s="11" t="n">
        <f aca="false">IF(OR(J750="Completed",J750="Returned"),1,0)</f>
        <v>0</v>
      </c>
    </row>
    <row r="751" customFormat="false" ht="15" hidden="false" customHeight="false" outlineLevel="0" collapsed="false">
      <c r="A751" s="11" t="s">
        <v>1672</v>
      </c>
      <c r="B751" s="11" t="s">
        <v>567</v>
      </c>
      <c r="C751" s="24" t="n">
        <v>45475</v>
      </c>
      <c r="D751" s="11" t="s">
        <v>38</v>
      </c>
      <c r="E751" s="11" t="s">
        <v>87</v>
      </c>
      <c r="F751" s="11" t="s">
        <v>82</v>
      </c>
      <c r="G751" s="11" t="s">
        <v>143</v>
      </c>
      <c r="H751" s="11" t="s">
        <v>23</v>
      </c>
      <c r="I751" s="11" t="s">
        <v>113</v>
      </c>
      <c r="J751" s="11" t="s">
        <v>250</v>
      </c>
      <c r="K751" s="11" t="n">
        <v>1</v>
      </c>
      <c r="L751" s="15" t="n">
        <v>8318.56</v>
      </c>
      <c r="M751" s="11" t="n">
        <v>15</v>
      </c>
      <c r="N751" s="15" t="n">
        <v>8318.56</v>
      </c>
      <c r="O751" s="15" t="n">
        <v>1247.78</v>
      </c>
      <c r="P751" s="15" t="n">
        <v>7070.78</v>
      </c>
      <c r="Q751" s="15" t="n">
        <v>0</v>
      </c>
      <c r="R751" s="11" t="n">
        <v>0</v>
      </c>
      <c r="S751" s="15" t="n">
        <f aca="false">P751-Q751</f>
        <v>7070.78</v>
      </c>
      <c r="T751" s="11" t="n">
        <f aca="false">IF(OR(J751="Completed",J751="Returned"),1,0)</f>
        <v>0</v>
      </c>
    </row>
    <row r="752" customFormat="false" ht="15" hidden="false" customHeight="false" outlineLevel="0" collapsed="false">
      <c r="A752" s="11" t="s">
        <v>1673</v>
      </c>
      <c r="B752" s="11" t="s">
        <v>567</v>
      </c>
      <c r="C752" s="24" t="n">
        <v>45475</v>
      </c>
      <c r="D752" s="11" t="s">
        <v>38</v>
      </c>
      <c r="E752" s="11" t="s">
        <v>87</v>
      </c>
      <c r="F752" s="11" t="s">
        <v>82</v>
      </c>
      <c r="G752" s="11" t="s">
        <v>626</v>
      </c>
      <c r="H752" s="11" t="s">
        <v>24</v>
      </c>
      <c r="I752" s="11" t="s">
        <v>113</v>
      </c>
      <c r="J752" s="11" t="s">
        <v>250</v>
      </c>
      <c r="K752" s="11" t="n">
        <v>3</v>
      </c>
      <c r="L752" s="15" t="n">
        <v>11932.31</v>
      </c>
      <c r="M752" s="11" t="n">
        <v>10</v>
      </c>
      <c r="N752" s="15" t="n">
        <v>35796.93</v>
      </c>
      <c r="O752" s="15" t="n">
        <v>3579.69</v>
      </c>
      <c r="P752" s="15" t="n">
        <v>32217.24</v>
      </c>
      <c r="Q752" s="15" t="n">
        <v>0</v>
      </c>
      <c r="R752" s="11" t="n">
        <v>0</v>
      </c>
      <c r="S752" s="15" t="n">
        <f aca="false">P752-Q752</f>
        <v>32217.24</v>
      </c>
      <c r="T752" s="11" t="n">
        <f aca="false">IF(OR(J752="Completed",J752="Returned"),1,0)</f>
        <v>0</v>
      </c>
    </row>
    <row r="753" customFormat="false" ht="15" hidden="false" customHeight="false" outlineLevel="0" collapsed="false">
      <c r="A753" s="11" t="s">
        <v>1674</v>
      </c>
      <c r="B753" s="11" t="s">
        <v>280</v>
      </c>
      <c r="C753" s="24" t="n">
        <v>45829</v>
      </c>
      <c r="D753" s="11" t="s">
        <v>49</v>
      </c>
      <c r="E753" s="11" t="s">
        <v>84</v>
      </c>
      <c r="F753" s="11" t="s">
        <v>78</v>
      </c>
      <c r="G753" s="11" t="s">
        <v>986</v>
      </c>
      <c r="H753" s="11" t="s">
        <v>22</v>
      </c>
      <c r="I753" s="11" t="s">
        <v>115</v>
      </c>
      <c r="J753" s="11" t="s">
        <v>242</v>
      </c>
      <c r="K753" s="11" t="n">
        <v>5</v>
      </c>
      <c r="L753" s="15" t="n">
        <v>19639.31</v>
      </c>
      <c r="M753" s="11" t="n">
        <v>0</v>
      </c>
      <c r="N753" s="15" t="n">
        <v>98196.55</v>
      </c>
      <c r="O753" s="15" t="n">
        <v>0</v>
      </c>
      <c r="P753" s="15" t="n">
        <v>98196.55</v>
      </c>
      <c r="Q753" s="15" t="n">
        <v>0</v>
      </c>
      <c r="R753" s="11" t="n">
        <v>0</v>
      </c>
      <c r="S753" s="15" t="n">
        <f aca="false">P753-Q753</f>
        <v>98196.55</v>
      </c>
      <c r="T753" s="11" t="n">
        <f aca="false">IF(OR(J753="Completed",J753="Returned"),1,0)</f>
        <v>1</v>
      </c>
    </row>
    <row r="754" customFormat="false" ht="15" hidden="false" customHeight="false" outlineLevel="0" collapsed="false">
      <c r="A754" s="11" t="s">
        <v>1675</v>
      </c>
      <c r="B754" s="11" t="s">
        <v>551</v>
      </c>
      <c r="C754" s="24" t="n">
        <v>45472</v>
      </c>
      <c r="D754" s="11" t="s">
        <v>37</v>
      </c>
      <c r="E754" s="11" t="s">
        <v>1420</v>
      </c>
      <c r="F754" s="11" t="s">
        <v>70</v>
      </c>
      <c r="G754" s="11" t="s">
        <v>162</v>
      </c>
      <c r="H754" s="11" t="s">
        <v>20</v>
      </c>
      <c r="I754" s="11" t="s">
        <v>114</v>
      </c>
      <c r="J754" s="11" t="s">
        <v>250</v>
      </c>
      <c r="K754" s="11" t="n">
        <v>3</v>
      </c>
      <c r="L754" s="15" t="n">
        <v>16084.14</v>
      </c>
      <c r="M754" s="11" t="n">
        <v>20</v>
      </c>
      <c r="N754" s="15" t="n">
        <v>48252.42</v>
      </c>
      <c r="O754" s="15" t="n">
        <v>9650.48</v>
      </c>
      <c r="P754" s="15" t="n">
        <v>38601.94</v>
      </c>
      <c r="Q754" s="15" t="n">
        <v>0</v>
      </c>
      <c r="R754" s="11" t="n">
        <v>0</v>
      </c>
      <c r="S754" s="15" t="n">
        <f aca="false">P754-Q754</f>
        <v>38601.94</v>
      </c>
      <c r="T754" s="11" t="n">
        <f aca="false">IF(OR(J754="Completed",J754="Returned"),1,0)</f>
        <v>0</v>
      </c>
    </row>
    <row r="755" customFormat="false" ht="15" hidden="false" customHeight="false" outlineLevel="0" collapsed="false">
      <c r="A755" s="11" t="s">
        <v>1676</v>
      </c>
      <c r="B755" s="11" t="s">
        <v>551</v>
      </c>
      <c r="C755" s="24" t="n">
        <v>45472</v>
      </c>
      <c r="D755" s="11" t="s">
        <v>37</v>
      </c>
      <c r="E755" s="11" t="s">
        <v>1420</v>
      </c>
      <c r="F755" s="11" t="s">
        <v>70</v>
      </c>
      <c r="G755" s="11" t="s">
        <v>133</v>
      </c>
      <c r="H755" s="11" t="s">
        <v>21</v>
      </c>
      <c r="I755" s="11" t="s">
        <v>114</v>
      </c>
      <c r="J755" s="11" t="s">
        <v>250</v>
      </c>
      <c r="K755" s="11" t="n">
        <v>5</v>
      </c>
      <c r="L755" s="15" t="n">
        <v>15706.03</v>
      </c>
      <c r="M755" s="11" t="n">
        <v>15</v>
      </c>
      <c r="N755" s="15" t="n">
        <v>78530.15</v>
      </c>
      <c r="O755" s="15" t="n">
        <v>11779.52</v>
      </c>
      <c r="P755" s="15" t="n">
        <v>66750.63</v>
      </c>
      <c r="Q755" s="15" t="n">
        <v>0</v>
      </c>
      <c r="R755" s="11" t="n">
        <v>0</v>
      </c>
      <c r="S755" s="15" t="n">
        <f aca="false">P755-Q755</f>
        <v>66750.63</v>
      </c>
      <c r="T755" s="11" t="n">
        <f aca="false">IF(OR(J755="Completed",J755="Returned"),1,0)</f>
        <v>0</v>
      </c>
    </row>
    <row r="756" customFormat="false" ht="15" hidden="false" customHeight="false" outlineLevel="0" collapsed="false">
      <c r="A756" s="11" t="s">
        <v>1677</v>
      </c>
      <c r="B756" s="11" t="s">
        <v>551</v>
      </c>
      <c r="C756" s="24" t="n">
        <v>45472</v>
      </c>
      <c r="D756" s="11" t="s">
        <v>37</v>
      </c>
      <c r="E756" s="11" t="s">
        <v>1420</v>
      </c>
      <c r="F756" s="11" t="s">
        <v>70</v>
      </c>
      <c r="G756" s="11" t="s">
        <v>621</v>
      </c>
      <c r="H756" s="11" t="s">
        <v>20</v>
      </c>
      <c r="I756" s="11" t="s">
        <v>114</v>
      </c>
      <c r="J756" s="11" t="s">
        <v>250</v>
      </c>
      <c r="K756" s="11" t="n">
        <v>1</v>
      </c>
      <c r="L756" s="15" t="n">
        <v>1165.83</v>
      </c>
      <c r="M756" s="11" t="n">
        <v>15</v>
      </c>
      <c r="N756" s="15" t="n">
        <v>1165.83</v>
      </c>
      <c r="O756" s="15" t="n">
        <v>174.87</v>
      </c>
      <c r="P756" s="15" t="n">
        <v>990.96</v>
      </c>
      <c r="Q756" s="15" t="n">
        <v>0</v>
      </c>
      <c r="R756" s="11" t="n">
        <v>0</v>
      </c>
      <c r="S756" s="15" t="n">
        <f aca="false">P756-Q756</f>
        <v>990.96</v>
      </c>
      <c r="T756" s="11" t="n">
        <f aca="false">IF(OR(J756="Completed",J756="Returned"),1,0)</f>
        <v>0</v>
      </c>
    </row>
    <row r="757" customFormat="false" ht="15" hidden="false" customHeight="false" outlineLevel="0" collapsed="false">
      <c r="A757" s="11" t="s">
        <v>1678</v>
      </c>
      <c r="B757" s="11" t="s">
        <v>551</v>
      </c>
      <c r="C757" s="24" t="n">
        <v>45472</v>
      </c>
      <c r="D757" s="11" t="s">
        <v>37</v>
      </c>
      <c r="E757" s="11" t="s">
        <v>1420</v>
      </c>
      <c r="F757" s="11" t="s">
        <v>70</v>
      </c>
      <c r="G757" s="11" t="s">
        <v>158</v>
      </c>
      <c r="H757" s="11" t="s">
        <v>22</v>
      </c>
      <c r="I757" s="11" t="s">
        <v>114</v>
      </c>
      <c r="J757" s="11" t="s">
        <v>250</v>
      </c>
      <c r="K757" s="11" t="n">
        <v>3</v>
      </c>
      <c r="L757" s="15" t="n">
        <v>5471.28</v>
      </c>
      <c r="M757" s="11" t="n">
        <v>0</v>
      </c>
      <c r="N757" s="15" t="n">
        <v>16413.84</v>
      </c>
      <c r="O757" s="15" t="n">
        <v>0</v>
      </c>
      <c r="P757" s="15" t="n">
        <v>16413.84</v>
      </c>
      <c r="Q757" s="15" t="n">
        <v>0</v>
      </c>
      <c r="R757" s="11" t="n">
        <v>0</v>
      </c>
      <c r="S757" s="15" t="n">
        <f aca="false">P757-Q757</f>
        <v>16413.84</v>
      </c>
      <c r="T757" s="11" t="n">
        <f aca="false">IF(OR(J757="Completed",J757="Returned"),1,0)</f>
        <v>0</v>
      </c>
    </row>
    <row r="758" customFormat="false" ht="15" hidden="false" customHeight="false" outlineLevel="0" collapsed="false">
      <c r="A758" s="11" t="s">
        <v>1679</v>
      </c>
      <c r="B758" s="11" t="s">
        <v>368</v>
      </c>
      <c r="C758" s="24" t="n">
        <v>45465</v>
      </c>
      <c r="D758" s="11" t="s">
        <v>37</v>
      </c>
      <c r="E758" s="11" t="s">
        <v>1176</v>
      </c>
      <c r="F758" s="11" t="s">
        <v>70</v>
      </c>
      <c r="G758" s="11" t="s">
        <v>158</v>
      </c>
      <c r="H758" s="11" t="s">
        <v>22</v>
      </c>
      <c r="I758" s="11" t="s">
        <v>113</v>
      </c>
      <c r="J758" s="11" t="s">
        <v>246</v>
      </c>
      <c r="K758" s="11" t="n">
        <v>3</v>
      </c>
      <c r="L758" s="15" t="n">
        <v>5471.28</v>
      </c>
      <c r="M758" s="11" t="n">
        <v>0</v>
      </c>
      <c r="N758" s="15" t="n">
        <v>16413.84</v>
      </c>
      <c r="O758" s="15" t="n">
        <v>0</v>
      </c>
      <c r="P758" s="15" t="n">
        <v>16413.84</v>
      </c>
      <c r="Q758" s="15" t="n">
        <v>0</v>
      </c>
      <c r="R758" s="11" t="n">
        <v>0</v>
      </c>
      <c r="S758" s="15" t="n">
        <f aca="false">P758-Q758</f>
        <v>16413.84</v>
      </c>
      <c r="T758" s="11" t="n">
        <f aca="false">IF(OR(J758="Completed",J758="Returned"),1,0)</f>
        <v>0</v>
      </c>
    </row>
    <row r="759" customFormat="false" ht="15" hidden="false" customHeight="false" outlineLevel="0" collapsed="false">
      <c r="A759" s="11" t="s">
        <v>1680</v>
      </c>
      <c r="B759" s="11" t="s">
        <v>368</v>
      </c>
      <c r="C759" s="24" t="n">
        <v>45465</v>
      </c>
      <c r="D759" s="11" t="s">
        <v>37</v>
      </c>
      <c r="E759" s="11" t="s">
        <v>1176</v>
      </c>
      <c r="F759" s="11" t="s">
        <v>70</v>
      </c>
      <c r="G759" s="11" t="s">
        <v>605</v>
      </c>
      <c r="H759" s="11" t="s">
        <v>24</v>
      </c>
      <c r="I759" s="11" t="s">
        <v>113</v>
      </c>
      <c r="J759" s="11" t="s">
        <v>246</v>
      </c>
      <c r="K759" s="11" t="n">
        <v>3</v>
      </c>
      <c r="L759" s="15" t="n">
        <v>5818.64</v>
      </c>
      <c r="M759" s="11" t="n">
        <v>15</v>
      </c>
      <c r="N759" s="15" t="n">
        <v>17455.92</v>
      </c>
      <c r="O759" s="15" t="n">
        <v>2618.39</v>
      </c>
      <c r="P759" s="15" t="n">
        <v>14837.53</v>
      </c>
      <c r="Q759" s="15" t="n">
        <v>0</v>
      </c>
      <c r="R759" s="11" t="n">
        <v>0</v>
      </c>
      <c r="S759" s="15" t="n">
        <f aca="false">P759-Q759</f>
        <v>14837.53</v>
      </c>
      <c r="T759" s="11" t="n">
        <f aca="false">IF(OR(J759="Completed",J759="Returned"),1,0)</f>
        <v>0</v>
      </c>
    </row>
    <row r="760" customFormat="false" ht="15" hidden="false" customHeight="false" outlineLevel="0" collapsed="false">
      <c r="A760" s="11" t="s">
        <v>1681</v>
      </c>
      <c r="B760" s="11" t="s">
        <v>368</v>
      </c>
      <c r="C760" s="24" t="n">
        <v>45465</v>
      </c>
      <c r="D760" s="11" t="s">
        <v>37</v>
      </c>
      <c r="E760" s="11" t="s">
        <v>1176</v>
      </c>
      <c r="F760" s="11" t="s">
        <v>70</v>
      </c>
      <c r="G760" s="11" t="s">
        <v>611</v>
      </c>
      <c r="H760" s="11" t="s">
        <v>22</v>
      </c>
      <c r="I760" s="11" t="s">
        <v>113</v>
      </c>
      <c r="J760" s="11" t="s">
        <v>246</v>
      </c>
      <c r="K760" s="11" t="n">
        <v>5</v>
      </c>
      <c r="L760" s="15" t="n">
        <v>3634.57</v>
      </c>
      <c r="M760" s="11" t="n">
        <v>10</v>
      </c>
      <c r="N760" s="15" t="n">
        <v>18172.85</v>
      </c>
      <c r="O760" s="15" t="n">
        <v>1817.28</v>
      </c>
      <c r="P760" s="15" t="n">
        <v>16355.57</v>
      </c>
      <c r="Q760" s="15" t="n">
        <v>0</v>
      </c>
      <c r="R760" s="11" t="n">
        <v>0</v>
      </c>
      <c r="S760" s="15" t="n">
        <f aca="false">P760-Q760</f>
        <v>16355.57</v>
      </c>
      <c r="T760" s="11" t="n">
        <f aca="false">IF(OR(J760="Completed",J760="Returned"),1,0)</f>
        <v>0</v>
      </c>
    </row>
    <row r="761" customFormat="false" ht="15" hidden="false" customHeight="false" outlineLevel="0" collapsed="false">
      <c r="A761" s="11" t="s">
        <v>1682</v>
      </c>
      <c r="B761" s="11" t="s">
        <v>368</v>
      </c>
      <c r="C761" s="24" t="n">
        <v>45465</v>
      </c>
      <c r="D761" s="11" t="s">
        <v>37</v>
      </c>
      <c r="E761" s="11" t="s">
        <v>1176</v>
      </c>
      <c r="F761" s="11" t="s">
        <v>70</v>
      </c>
      <c r="G761" s="11" t="s">
        <v>623</v>
      </c>
      <c r="H761" s="11" t="s">
        <v>20</v>
      </c>
      <c r="I761" s="11" t="s">
        <v>113</v>
      </c>
      <c r="J761" s="11" t="s">
        <v>246</v>
      </c>
      <c r="K761" s="11" t="n">
        <v>4</v>
      </c>
      <c r="L761" s="15" t="n">
        <v>16535.66</v>
      </c>
      <c r="M761" s="11" t="n">
        <v>0</v>
      </c>
      <c r="N761" s="15" t="n">
        <v>66142.64</v>
      </c>
      <c r="O761" s="15" t="n">
        <v>0</v>
      </c>
      <c r="P761" s="15" t="n">
        <v>66142.64</v>
      </c>
      <c r="Q761" s="15" t="n">
        <v>0</v>
      </c>
      <c r="R761" s="11" t="n">
        <v>0</v>
      </c>
      <c r="S761" s="15" t="n">
        <f aca="false">P761-Q761</f>
        <v>66142.64</v>
      </c>
      <c r="T761" s="11" t="n">
        <f aca="false">IF(OR(J761="Completed",J761="Returned"),1,0)</f>
        <v>0</v>
      </c>
    </row>
    <row r="762" customFormat="false" ht="15" hidden="false" customHeight="false" outlineLevel="0" collapsed="false">
      <c r="A762" s="11" t="s">
        <v>1683</v>
      </c>
      <c r="B762" s="11" t="s">
        <v>303</v>
      </c>
      <c r="C762" s="24" t="n">
        <v>45328</v>
      </c>
      <c r="D762" s="11" t="s">
        <v>33</v>
      </c>
      <c r="E762" s="11" t="s">
        <v>812</v>
      </c>
      <c r="F762" s="11" t="s">
        <v>82</v>
      </c>
      <c r="G762" s="11" t="s">
        <v>1022</v>
      </c>
      <c r="H762" s="11" t="s">
        <v>20</v>
      </c>
      <c r="I762" s="11" t="s">
        <v>115</v>
      </c>
      <c r="J762" s="11" t="s">
        <v>242</v>
      </c>
      <c r="K762" s="11" t="n">
        <v>2</v>
      </c>
      <c r="L762" s="15" t="n">
        <v>13809.86</v>
      </c>
      <c r="M762" s="11" t="n">
        <v>20</v>
      </c>
      <c r="N762" s="15" t="n">
        <v>27619.72</v>
      </c>
      <c r="O762" s="15" t="n">
        <v>5523.94</v>
      </c>
      <c r="P762" s="15" t="n">
        <v>22095.78</v>
      </c>
      <c r="Q762" s="15" t="n">
        <v>0</v>
      </c>
      <c r="R762" s="11" t="n">
        <v>0</v>
      </c>
      <c r="S762" s="15" t="n">
        <f aca="false">P762-Q762</f>
        <v>22095.78</v>
      </c>
      <c r="T762" s="11" t="n">
        <f aca="false">IF(OR(J762="Completed",J762="Returned"),1,0)</f>
        <v>1</v>
      </c>
    </row>
    <row r="763" customFormat="false" ht="15" hidden="false" customHeight="false" outlineLevel="0" collapsed="false">
      <c r="A763" s="11" t="s">
        <v>1684</v>
      </c>
      <c r="B763" s="11" t="s">
        <v>303</v>
      </c>
      <c r="C763" s="24" t="n">
        <v>45328</v>
      </c>
      <c r="D763" s="11" t="s">
        <v>33</v>
      </c>
      <c r="E763" s="11" t="s">
        <v>812</v>
      </c>
      <c r="F763" s="11" t="s">
        <v>82</v>
      </c>
      <c r="G763" s="11" t="s">
        <v>621</v>
      </c>
      <c r="H763" s="11" t="s">
        <v>20</v>
      </c>
      <c r="I763" s="11" t="s">
        <v>115</v>
      </c>
      <c r="J763" s="11" t="s">
        <v>242</v>
      </c>
      <c r="K763" s="11" t="n">
        <v>1</v>
      </c>
      <c r="L763" s="15" t="n">
        <v>1165.83</v>
      </c>
      <c r="M763" s="11" t="n">
        <v>0</v>
      </c>
      <c r="N763" s="15" t="n">
        <v>1165.83</v>
      </c>
      <c r="O763" s="15" t="n">
        <v>0</v>
      </c>
      <c r="P763" s="15" t="n">
        <v>1165.83</v>
      </c>
      <c r="Q763" s="15" t="n">
        <v>0</v>
      </c>
      <c r="R763" s="11" t="n">
        <v>0</v>
      </c>
      <c r="S763" s="15" t="n">
        <f aca="false">P763-Q763</f>
        <v>1165.83</v>
      </c>
      <c r="T763" s="11" t="n">
        <f aca="false">IF(OR(J763="Completed",J763="Returned"),1,0)</f>
        <v>1</v>
      </c>
    </row>
    <row r="764" customFormat="false" ht="15" hidden="false" customHeight="false" outlineLevel="0" collapsed="false">
      <c r="A764" s="11" t="s">
        <v>1685</v>
      </c>
      <c r="B764" s="11" t="s">
        <v>303</v>
      </c>
      <c r="C764" s="24" t="n">
        <v>45328</v>
      </c>
      <c r="D764" s="11" t="s">
        <v>33</v>
      </c>
      <c r="E764" s="11" t="s">
        <v>812</v>
      </c>
      <c r="F764" s="11" t="s">
        <v>82</v>
      </c>
      <c r="G764" s="11" t="s">
        <v>1054</v>
      </c>
      <c r="H764" s="11" t="s">
        <v>21</v>
      </c>
      <c r="I764" s="11" t="s">
        <v>115</v>
      </c>
      <c r="J764" s="11" t="s">
        <v>242</v>
      </c>
      <c r="K764" s="11" t="n">
        <v>3</v>
      </c>
      <c r="L764" s="15" t="n">
        <v>19632.52</v>
      </c>
      <c r="M764" s="11" t="n">
        <v>20</v>
      </c>
      <c r="N764" s="15" t="n">
        <v>58897.56</v>
      </c>
      <c r="O764" s="15" t="n">
        <v>11779.51</v>
      </c>
      <c r="P764" s="15" t="n">
        <v>47118.05</v>
      </c>
      <c r="Q764" s="15" t="n">
        <v>0</v>
      </c>
      <c r="R764" s="11" t="n">
        <v>0</v>
      </c>
      <c r="S764" s="15" t="n">
        <f aca="false">P764-Q764</f>
        <v>47118.05</v>
      </c>
      <c r="T764" s="11" t="n">
        <f aca="false">IF(OR(J764="Completed",J764="Returned"),1,0)</f>
        <v>1</v>
      </c>
    </row>
    <row r="765" customFormat="false" ht="15" hidden="false" customHeight="false" outlineLevel="0" collapsed="false">
      <c r="A765" s="11" t="s">
        <v>1686</v>
      </c>
      <c r="B765" s="11" t="s">
        <v>274</v>
      </c>
      <c r="C765" s="24" t="n">
        <v>45564</v>
      </c>
      <c r="D765" s="11" t="s">
        <v>40</v>
      </c>
      <c r="E765" s="11" t="s">
        <v>1687</v>
      </c>
      <c r="F765" s="11" t="s">
        <v>70</v>
      </c>
      <c r="G765" s="11" t="s">
        <v>135</v>
      </c>
      <c r="H765" s="11" t="s">
        <v>22</v>
      </c>
      <c r="I765" s="11" t="s">
        <v>114</v>
      </c>
      <c r="J765" s="11" t="s">
        <v>250</v>
      </c>
      <c r="K765" s="11" t="n">
        <v>3</v>
      </c>
      <c r="L765" s="15" t="n">
        <v>22655.14</v>
      </c>
      <c r="M765" s="11" t="n">
        <v>10</v>
      </c>
      <c r="N765" s="15" t="n">
        <v>67965.42</v>
      </c>
      <c r="O765" s="15" t="n">
        <v>6796.54</v>
      </c>
      <c r="P765" s="15" t="n">
        <v>61168.88</v>
      </c>
      <c r="Q765" s="15" t="n">
        <v>59302.19</v>
      </c>
      <c r="R765" s="11" t="n">
        <v>3</v>
      </c>
      <c r="S765" s="15" t="n">
        <f aca="false">P765-Q765</f>
        <v>1866.69</v>
      </c>
      <c r="T765" s="11" t="n">
        <f aca="false">IF(OR(J765="Completed",J765="Returned"),1,0)</f>
        <v>0</v>
      </c>
    </row>
    <row r="766" customFormat="false" ht="15" hidden="false" customHeight="false" outlineLevel="0" collapsed="false">
      <c r="A766" s="11" t="s">
        <v>1688</v>
      </c>
      <c r="B766" s="11" t="s">
        <v>274</v>
      </c>
      <c r="C766" s="24" t="n">
        <v>45564</v>
      </c>
      <c r="D766" s="11" t="s">
        <v>40</v>
      </c>
      <c r="E766" s="11" t="s">
        <v>1687</v>
      </c>
      <c r="F766" s="11" t="s">
        <v>70</v>
      </c>
      <c r="G766" s="11" t="s">
        <v>150</v>
      </c>
      <c r="H766" s="11" t="s">
        <v>22</v>
      </c>
      <c r="I766" s="11" t="s">
        <v>114</v>
      </c>
      <c r="J766" s="11" t="s">
        <v>250</v>
      </c>
      <c r="K766" s="11" t="n">
        <v>4</v>
      </c>
      <c r="L766" s="15" t="n">
        <v>21978.46</v>
      </c>
      <c r="M766" s="11" t="n">
        <v>10</v>
      </c>
      <c r="N766" s="15" t="n">
        <v>87913.84</v>
      </c>
      <c r="O766" s="15" t="n">
        <v>8791.38</v>
      </c>
      <c r="P766" s="15" t="n">
        <v>79122.46</v>
      </c>
      <c r="Q766" s="15" t="n">
        <v>0</v>
      </c>
      <c r="R766" s="11" t="n">
        <v>0</v>
      </c>
      <c r="S766" s="15" t="n">
        <f aca="false">P766-Q766</f>
        <v>79122.46</v>
      </c>
      <c r="T766" s="11" t="n">
        <f aca="false">IF(OR(J766="Completed",J766="Returned"),1,0)</f>
        <v>0</v>
      </c>
    </row>
    <row r="767" customFormat="false" ht="15" hidden="false" customHeight="false" outlineLevel="0" collapsed="false">
      <c r="A767" s="11" t="s">
        <v>1689</v>
      </c>
      <c r="B767" s="11" t="s">
        <v>495</v>
      </c>
      <c r="C767" s="24" t="n">
        <v>45642</v>
      </c>
      <c r="D767" s="11" t="s">
        <v>43</v>
      </c>
      <c r="E767" s="11" t="s">
        <v>1690</v>
      </c>
      <c r="F767" s="11" t="s">
        <v>74</v>
      </c>
      <c r="G767" s="11" t="s">
        <v>981</v>
      </c>
      <c r="H767" s="11" t="s">
        <v>21</v>
      </c>
      <c r="I767" s="11" t="s">
        <v>113</v>
      </c>
      <c r="J767" s="11" t="s">
        <v>242</v>
      </c>
      <c r="K767" s="11" t="n">
        <v>3</v>
      </c>
      <c r="L767" s="15" t="n">
        <v>19552.29</v>
      </c>
      <c r="M767" s="11" t="n">
        <v>20</v>
      </c>
      <c r="N767" s="15" t="n">
        <v>58656.87</v>
      </c>
      <c r="O767" s="15" t="n">
        <v>11731.37</v>
      </c>
      <c r="P767" s="15" t="n">
        <v>46925.5</v>
      </c>
      <c r="Q767" s="15" t="n">
        <v>0</v>
      </c>
      <c r="R767" s="11" t="n">
        <v>0</v>
      </c>
      <c r="S767" s="15" t="n">
        <f aca="false">P767-Q767</f>
        <v>46925.5</v>
      </c>
      <c r="T767" s="11" t="n">
        <f aca="false">IF(OR(J767="Completed",J767="Returned"),1,0)</f>
        <v>1</v>
      </c>
    </row>
    <row r="768" customFormat="false" ht="15" hidden="false" customHeight="false" outlineLevel="0" collapsed="false">
      <c r="A768" s="11" t="s">
        <v>1691</v>
      </c>
      <c r="B768" s="11" t="s">
        <v>468</v>
      </c>
      <c r="C768" s="24" t="n">
        <v>45347</v>
      </c>
      <c r="D768" s="11" t="s">
        <v>33</v>
      </c>
      <c r="E768" s="11" t="s">
        <v>1084</v>
      </c>
      <c r="F768" s="11" t="s">
        <v>74</v>
      </c>
      <c r="G768" s="11" t="s">
        <v>603</v>
      </c>
      <c r="H768" s="11" t="s">
        <v>23</v>
      </c>
      <c r="I768" s="11" t="s">
        <v>113</v>
      </c>
      <c r="J768" s="11" t="s">
        <v>242</v>
      </c>
      <c r="K768" s="11" t="n">
        <v>3</v>
      </c>
      <c r="L768" s="15" t="n">
        <v>15622.68</v>
      </c>
      <c r="M768" s="11" t="n">
        <v>15</v>
      </c>
      <c r="N768" s="15" t="n">
        <v>46868.04</v>
      </c>
      <c r="O768" s="15" t="n">
        <v>7030.21</v>
      </c>
      <c r="P768" s="15" t="n">
        <v>39837.83</v>
      </c>
      <c r="Q768" s="15" t="n">
        <v>0</v>
      </c>
      <c r="R768" s="11" t="n">
        <v>0</v>
      </c>
      <c r="S768" s="15" t="n">
        <f aca="false">P768-Q768</f>
        <v>39837.83</v>
      </c>
      <c r="T768" s="11" t="n">
        <f aca="false">IF(OR(J768="Completed",J768="Returned"),1,0)</f>
        <v>1</v>
      </c>
    </row>
    <row r="769" customFormat="false" ht="15" hidden="false" customHeight="false" outlineLevel="0" collapsed="false">
      <c r="A769" s="11" t="s">
        <v>1692</v>
      </c>
      <c r="B769" s="11" t="s">
        <v>468</v>
      </c>
      <c r="C769" s="24" t="n">
        <v>45347</v>
      </c>
      <c r="D769" s="11" t="s">
        <v>33</v>
      </c>
      <c r="E769" s="11" t="s">
        <v>1084</v>
      </c>
      <c r="F769" s="11" t="s">
        <v>74</v>
      </c>
      <c r="G769" s="11" t="s">
        <v>835</v>
      </c>
      <c r="H769" s="11" t="s">
        <v>22</v>
      </c>
      <c r="I769" s="11" t="s">
        <v>113</v>
      </c>
      <c r="J769" s="11" t="s">
        <v>242</v>
      </c>
      <c r="K769" s="11" t="n">
        <v>3</v>
      </c>
      <c r="L769" s="15" t="n">
        <v>22572.25</v>
      </c>
      <c r="M769" s="11" t="n">
        <v>10</v>
      </c>
      <c r="N769" s="15" t="n">
        <v>67716.75</v>
      </c>
      <c r="O769" s="15" t="n">
        <v>6771.68</v>
      </c>
      <c r="P769" s="15" t="n">
        <v>60945.07</v>
      </c>
      <c r="Q769" s="15" t="n">
        <v>0</v>
      </c>
      <c r="R769" s="11" t="n">
        <v>0</v>
      </c>
      <c r="S769" s="15" t="n">
        <f aca="false">P769-Q769</f>
        <v>60945.07</v>
      </c>
      <c r="T769" s="11" t="n">
        <f aca="false">IF(OR(J769="Completed",J769="Returned"),1,0)</f>
        <v>1</v>
      </c>
    </row>
    <row r="770" customFormat="false" ht="15" hidden="false" customHeight="false" outlineLevel="0" collapsed="false">
      <c r="A770" s="11" t="s">
        <v>1693</v>
      </c>
      <c r="B770" s="11" t="s">
        <v>314</v>
      </c>
      <c r="C770" s="24" t="n">
        <v>45915</v>
      </c>
      <c r="D770" s="11" t="s">
        <v>52</v>
      </c>
      <c r="E770" s="11" t="s">
        <v>1134</v>
      </c>
      <c r="F770" s="11" t="s">
        <v>74</v>
      </c>
      <c r="G770" s="11" t="s">
        <v>141</v>
      </c>
      <c r="H770" s="11" t="s">
        <v>24</v>
      </c>
      <c r="I770" s="11" t="s">
        <v>113</v>
      </c>
      <c r="J770" s="11" t="s">
        <v>269</v>
      </c>
      <c r="K770" s="11" t="n">
        <v>4</v>
      </c>
      <c r="L770" s="15" t="n">
        <v>20481.04</v>
      </c>
      <c r="M770" s="11" t="n">
        <v>5</v>
      </c>
      <c r="N770" s="15" t="n">
        <v>81924.16</v>
      </c>
      <c r="O770" s="15" t="n">
        <v>4096.21</v>
      </c>
      <c r="P770" s="15" t="n">
        <v>77827.95</v>
      </c>
      <c r="Q770" s="15" t="n">
        <v>0</v>
      </c>
      <c r="R770" s="11" t="n">
        <v>0</v>
      </c>
      <c r="S770" s="15" t="n">
        <f aca="false">P770-Q770</f>
        <v>77827.95</v>
      </c>
      <c r="T770" s="11" t="n">
        <f aca="false">IF(OR(J770="Completed",J770="Returned"),1,0)</f>
        <v>1</v>
      </c>
    </row>
    <row r="771" customFormat="false" ht="15" hidden="false" customHeight="false" outlineLevel="0" collapsed="false">
      <c r="A771" s="11" t="s">
        <v>1694</v>
      </c>
      <c r="B771" s="11" t="s">
        <v>314</v>
      </c>
      <c r="C771" s="24" t="n">
        <v>45915</v>
      </c>
      <c r="D771" s="11" t="s">
        <v>52</v>
      </c>
      <c r="E771" s="11" t="s">
        <v>1134</v>
      </c>
      <c r="F771" s="11" t="s">
        <v>74</v>
      </c>
      <c r="G771" s="11" t="s">
        <v>854</v>
      </c>
      <c r="H771" s="11" t="s">
        <v>20</v>
      </c>
      <c r="I771" s="11" t="s">
        <v>113</v>
      </c>
      <c r="J771" s="11" t="s">
        <v>269</v>
      </c>
      <c r="K771" s="11" t="n">
        <v>2</v>
      </c>
      <c r="L771" s="15" t="n">
        <v>25742.49</v>
      </c>
      <c r="M771" s="11" t="n">
        <v>20</v>
      </c>
      <c r="N771" s="15" t="n">
        <v>51484.98</v>
      </c>
      <c r="O771" s="15" t="n">
        <v>10297</v>
      </c>
      <c r="P771" s="15" t="n">
        <v>41187.98</v>
      </c>
      <c r="Q771" s="15" t="n">
        <v>0</v>
      </c>
      <c r="R771" s="11" t="n">
        <v>0</v>
      </c>
      <c r="S771" s="15" t="n">
        <f aca="false">P771-Q771</f>
        <v>41187.98</v>
      </c>
      <c r="T771" s="11" t="n">
        <f aca="false">IF(OR(J771="Completed",J771="Returned"),1,0)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5"/>
  </cols>
  <sheetData>
    <row r="1" customFormat="false" ht="30" hidden="false" customHeight="true" outlineLevel="0" collapsed="false">
      <c r="A1" s="10" t="s">
        <v>1695</v>
      </c>
      <c r="B1" s="10" t="s">
        <v>60</v>
      </c>
      <c r="C1" s="10" t="s">
        <v>61</v>
      </c>
      <c r="D1" s="10" t="s">
        <v>62</v>
      </c>
      <c r="E1" s="10" t="s">
        <v>1696</v>
      </c>
      <c r="F1" s="10" t="s">
        <v>1697</v>
      </c>
      <c r="G1" s="10" t="s">
        <v>1698</v>
      </c>
      <c r="H1" s="10" t="s">
        <v>1699</v>
      </c>
      <c r="I1" s="10" t="s">
        <v>1700</v>
      </c>
      <c r="J1" s="10" t="s">
        <v>1701</v>
      </c>
      <c r="K1" s="10" t="s">
        <v>63</v>
      </c>
      <c r="L1" s="10" t="s">
        <v>1702</v>
      </c>
      <c r="M1" s="10" t="s">
        <v>1703</v>
      </c>
      <c r="N1" s="10" t="s">
        <v>1704</v>
      </c>
    </row>
    <row r="2" customFormat="false" ht="15" hidden="false" customHeight="false" outlineLevel="0" collapsed="false">
      <c r="A2" s="25" t="n">
        <v>-1</v>
      </c>
      <c r="B2" s="25" t="s">
        <v>803</v>
      </c>
      <c r="C2" s="25" t="s">
        <v>1705</v>
      </c>
      <c r="D2" s="25" t="s">
        <v>25</v>
      </c>
      <c r="E2" s="25" t="s">
        <v>1706</v>
      </c>
      <c r="F2" s="26" t="n">
        <v>1</v>
      </c>
      <c r="G2" s="26" t="n">
        <v>2958465</v>
      </c>
      <c r="H2" s="27" t="b">
        <f aca="false">TRUE()</f>
        <v>1</v>
      </c>
      <c r="I2" s="25"/>
      <c r="J2" s="25"/>
      <c r="K2" s="25"/>
      <c r="L2" s="25"/>
      <c r="M2" s="25"/>
      <c r="N2" s="25"/>
    </row>
    <row r="3" customFormat="false" ht="15" hidden="false" customHeight="false" outlineLevel="0" collapsed="false">
      <c r="A3" s="25" t="n">
        <v>1</v>
      </c>
      <c r="B3" s="25" t="s">
        <v>87</v>
      </c>
      <c r="C3" s="25" t="s">
        <v>88</v>
      </c>
      <c r="D3" s="25" t="s">
        <v>82</v>
      </c>
      <c r="E3" s="25" t="s">
        <v>1707</v>
      </c>
      <c r="F3" s="26" t="n">
        <v>45008</v>
      </c>
      <c r="G3" s="26" t="n">
        <v>2958465</v>
      </c>
      <c r="H3" s="27" t="b">
        <f aca="false">TRUE()</f>
        <v>1</v>
      </c>
      <c r="I3" s="25" t="s">
        <v>1708</v>
      </c>
      <c r="J3" s="25" t="s">
        <v>1709</v>
      </c>
      <c r="K3" s="25" t="s">
        <v>89</v>
      </c>
      <c r="L3" s="25" t="s">
        <v>1710</v>
      </c>
      <c r="M3" s="25" t="s">
        <v>188</v>
      </c>
      <c r="N3" s="26" t="n">
        <v>45008</v>
      </c>
    </row>
    <row r="4" customFormat="false" ht="15" hidden="false" customHeight="false" outlineLevel="0" collapsed="false">
      <c r="A4" s="25" t="n">
        <v>2</v>
      </c>
      <c r="B4" s="25" t="s">
        <v>946</v>
      </c>
      <c r="C4" s="25" t="s">
        <v>1711</v>
      </c>
      <c r="D4" s="25" t="s">
        <v>70</v>
      </c>
      <c r="E4" s="25" t="s">
        <v>1707</v>
      </c>
      <c r="F4" s="26" t="n">
        <v>44308</v>
      </c>
      <c r="G4" s="26" t="n">
        <v>2958465</v>
      </c>
      <c r="H4" s="27" t="b">
        <f aca="false">TRUE()</f>
        <v>1</v>
      </c>
      <c r="I4" s="25" t="s">
        <v>1712</v>
      </c>
      <c r="J4" s="25" t="s">
        <v>1713</v>
      </c>
      <c r="K4" s="25" t="s">
        <v>94</v>
      </c>
      <c r="L4" s="25" t="s">
        <v>1714</v>
      </c>
      <c r="M4" s="25" t="s">
        <v>188</v>
      </c>
      <c r="N4" s="26" t="n">
        <v>44308</v>
      </c>
    </row>
    <row r="5" customFormat="false" ht="15" hidden="false" customHeight="false" outlineLevel="0" collapsed="false">
      <c r="A5" s="25" t="n">
        <v>3</v>
      </c>
      <c r="B5" s="25" t="s">
        <v>808</v>
      </c>
      <c r="C5" s="25" t="s">
        <v>1715</v>
      </c>
      <c r="D5" s="25" t="s">
        <v>78</v>
      </c>
      <c r="E5" s="25" t="s">
        <v>1707</v>
      </c>
      <c r="F5" s="26" t="n">
        <v>44585</v>
      </c>
      <c r="G5" s="26" t="n">
        <v>2958465</v>
      </c>
      <c r="H5" s="27" t="b">
        <f aca="false">TRUE()</f>
        <v>1</v>
      </c>
      <c r="I5" s="25" t="s">
        <v>1716</v>
      </c>
      <c r="J5" s="25" t="s">
        <v>1717</v>
      </c>
      <c r="K5" s="25" t="s">
        <v>83</v>
      </c>
      <c r="L5" s="25" t="s">
        <v>1718</v>
      </c>
      <c r="M5" s="25" t="s">
        <v>188</v>
      </c>
      <c r="N5" s="26" t="n">
        <v>44585</v>
      </c>
    </row>
    <row r="6" customFormat="false" ht="15" hidden="false" customHeight="false" outlineLevel="0" collapsed="false">
      <c r="A6" s="25" t="n">
        <v>4</v>
      </c>
      <c r="B6" s="25" t="s">
        <v>862</v>
      </c>
      <c r="C6" s="25" t="s">
        <v>1719</v>
      </c>
      <c r="D6" s="25" t="s">
        <v>82</v>
      </c>
      <c r="E6" s="25" t="s">
        <v>1707</v>
      </c>
      <c r="F6" s="26" t="n">
        <v>45012</v>
      </c>
      <c r="G6" s="26" t="n">
        <v>2958465</v>
      </c>
      <c r="H6" s="27" t="b">
        <f aca="false">TRUE()</f>
        <v>1</v>
      </c>
      <c r="I6" s="25" t="s">
        <v>1720</v>
      </c>
      <c r="J6" s="25" t="s">
        <v>1721</v>
      </c>
      <c r="K6" s="25" t="s">
        <v>75</v>
      </c>
      <c r="L6" s="25" t="s">
        <v>1722</v>
      </c>
      <c r="M6" s="25" t="s">
        <v>188</v>
      </c>
      <c r="N6" s="26" t="n">
        <v>45012</v>
      </c>
    </row>
    <row r="7" customFormat="false" ht="15" hidden="false" customHeight="false" outlineLevel="0" collapsed="false">
      <c r="A7" s="25" t="n">
        <v>5</v>
      </c>
      <c r="B7" s="25" t="s">
        <v>850</v>
      </c>
      <c r="C7" s="25" t="s">
        <v>1723</v>
      </c>
      <c r="D7" s="25" t="s">
        <v>70</v>
      </c>
      <c r="E7" s="25" t="s">
        <v>1707</v>
      </c>
      <c r="F7" s="26" t="n">
        <v>44518</v>
      </c>
      <c r="G7" s="26" t="n">
        <v>2958465</v>
      </c>
      <c r="H7" s="27" t="b">
        <f aca="false">TRUE()</f>
        <v>1</v>
      </c>
      <c r="I7" s="25" t="s">
        <v>1724</v>
      </c>
      <c r="J7" s="25" t="s">
        <v>1725</v>
      </c>
      <c r="K7" s="25" t="s">
        <v>1726</v>
      </c>
      <c r="L7" s="25" t="s">
        <v>1710</v>
      </c>
      <c r="M7" s="25" t="s">
        <v>188</v>
      </c>
      <c r="N7" s="26" t="n">
        <v>44518</v>
      </c>
    </row>
    <row r="8" customFormat="false" ht="15" hidden="false" customHeight="false" outlineLevel="0" collapsed="false">
      <c r="A8" s="25" t="n">
        <v>6</v>
      </c>
      <c r="B8" s="25" t="s">
        <v>1123</v>
      </c>
      <c r="C8" s="25" t="s">
        <v>1727</v>
      </c>
      <c r="D8" s="25" t="s">
        <v>78</v>
      </c>
      <c r="E8" s="25" t="s">
        <v>1707</v>
      </c>
      <c r="F8" s="26" t="n">
        <v>44997</v>
      </c>
      <c r="G8" s="26" t="n">
        <v>2958465</v>
      </c>
      <c r="H8" s="27" t="b">
        <f aca="false">TRUE()</f>
        <v>1</v>
      </c>
      <c r="I8" s="25" t="s">
        <v>1728</v>
      </c>
      <c r="J8" s="25" t="s">
        <v>1729</v>
      </c>
      <c r="K8" s="25" t="s">
        <v>83</v>
      </c>
      <c r="L8" s="25" t="s">
        <v>1718</v>
      </c>
      <c r="M8" s="25" t="s">
        <v>188</v>
      </c>
      <c r="N8" s="26" t="n">
        <v>44997</v>
      </c>
    </row>
    <row r="9" customFormat="false" ht="15" hidden="false" customHeight="false" outlineLevel="0" collapsed="false">
      <c r="A9" s="25" t="n">
        <v>7</v>
      </c>
      <c r="B9" s="25" t="s">
        <v>980</v>
      </c>
      <c r="C9" s="25" t="s">
        <v>1730</v>
      </c>
      <c r="D9" s="25" t="s">
        <v>70</v>
      </c>
      <c r="E9" s="25" t="s">
        <v>1707</v>
      </c>
      <c r="F9" s="26" t="n">
        <v>44274</v>
      </c>
      <c r="G9" s="26" t="n">
        <v>2958465</v>
      </c>
      <c r="H9" s="27" t="b">
        <f aca="false">TRUE()</f>
        <v>1</v>
      </c>
      <c r="I9" s="25" t="s">
        <v>1731</v>
      </c>
      <c r="J9" s="25" t="s">
        <v>1732</v>
      </c>
      <c r="K9" s="25" t="s">
        <v>94</v>
      </c>
      <c r="L9" s="25" t="s">
        <v>1714</v>
      </c>
      <c r="M9" s="25" t="s">
        <v>188</v>
      </c>
      <c r="N9" s="26" t="n">
        <v>44274</v>
      </c>
    </row>
    <row r="10" customFormat="false" ht="15" hidden="false" customHeight="false" outlineLevel="0" collapsed="false">
      <c r="A10" s="25" t="n">
        <v>8</v>
      </c>
      <c r="B10" s="25" t="s">
        <v>1733</v>
      </c>
      <c r="C10" s="25" t="s">
        <v>1734</v>
      </c>
      <c r="D10" s="25" t="s">
        <v>82</v>
      </c>
      <c r="E10" s="25" t="s">
        <v>1707</v>
      </c>
      <c r="F10" s="26" t="n">
        <v>44637</v>
      </c>
      <c r="G10" s="26" t="n">
        <v>2958465</v>
      </c>
      <c r="H10" s="27" t="b">
        <f aca="false">TRUE()</f>
        <v>1</v>
      </c>
      <c r="I10" s="25" t="s">
        <v>25</v>
      </c>
      <c r="J10" s="25" t="s">
        <v>1735</v>
      </c>
      <c r="K10" s="25" t="s">
        <v>1726</v>
      </c>
      <c r="L10" s="25" t="s">
        <v>1710</v>
      </c>
      <c r="M10" s="25" t="s">
        <v>188</v>
      </c>
      <c r="N10" s="26" t="n">
        <v>44637</v>
      </c>
    </row>
    <row r="11" customFormat="false" ht="15" hidden="false" customHeight="false" outlineLevel="0" collapsed="false">
      <c r="A11" s="25" t="n">
        <v>9</v>
      </c>
      <c r="B11" s="25" t="s">
        <v>1243</v>
      </c>
      <c r="C11" s="25" t="s">
        <v>1736</v>
      </c>
      <c r="D11" s="25" t="s">
        <v>74</v>
      </c>
      <c r="E11" s="25" t="s">
        <v>1707</v>
      </c>
      <c r="F11" s="26" t="n">
        <v>44611</v>
      </c>
      <c r="G11" s="26" t="n">
        <v>2958465</v>
      </c>
      <c r="H11" s="27" t="b">
        <f aca="false">TRUE()</f>
        <v>1</v>
      </c>
      <c r="I11" s="25" t="s">
        <v>25</v>
      </c>
      <c r="J11" s="25" t="s">
        <v>1737</v>
      </c>
      <c r="K11" s="25" t="s">
        <v>1738</v>
      </c>
      <c r="L11" s="25" t="s">
        <v>1739</v>
      </c>
      <c r="M11" s="25" t="s">
        <v>188</v>
      </c>
      <c r="N11" s="26" t="n">
        <v>44611</v>
      </c>
    </row>
    <row r="12" customFormat="false" ht="15" hidden="false" customHeight="false" outlineLevel="0" collapsed="false">
      <c r="A12" s="25" t="n">
        <v>10</v>
      </c>
      <c r="B12" s="25" t="s">
        <v>1050</v>
      </c>
      <c r="C12" s="25" t="s">
        <v>1740</v>
      </c>
      <c r="D12" s="25" t="s">
        <v>74</v>
      </c>
      <c r="E12" s="25" t="s">
        <v>1707</v>
      </c>
      <c r="F12" s="26" t="n">
        <v>44535</v>
      </c>
      <c r="G12" s="26" t="n">
        <v>2958465</v>
      </c>
      <c r="H12" s="27" t="b">
        <f aca="false">TRUE()</f>
        <v>1</v>
      </c>
      <c r="I12" s="25" t="s">
        <v>1741</v>
      </c>
      <c r="J12" s="25" t="s">
        <v>1742</v>
      </c>
      <c r="K12" s="25" t="s">
        <v>1743</v>
      </c>
      <c r="L12" s="25" t="s">
        <v>1743</v>
      </c>
      <c r="M12" s="25" t="s">
        <v>188</v>
      </c>
      <c r="N12" s="26" t="n">
        <v>44535</v>
      </c>
    </row>
    <row r="13" customFormat="false" ht="15" hidden="false" customHeight="false" outlineLevel="0" collapsed="false">
      <c r="A13" s="25" t="n">
        <v>11</v>
      </c>
      <c r="B13" s="25" t="s">
        <v>1531</v>
      </c>
      <c r="C13" s="25" t="s">
        <v>1744</v>
      </c>
      <c r="D13" s="25" t="s">
        <v>74</v>
      </c>
      <c r="E13" s="25" t="s">
        <v>1707</v>
      </c>
      <c r="F13" s="26" t="n">
        <v>44487</v>
      </c>
      <c r="G13" s="26" t="n">
        <v>2958465</v>
      </c>
      <c r="H13" s="27" t="b">
        <f aca="false">TRUE()</f>
        <v>1</v>
      </c>
      <c r="I13" s="25" t="s">
        <v>1745</v>
      </c>
      <c r="J13" s="25" t="s">
        <v>1746</v>
      </c>
      <c r="K13" s="25" t="s">
        <v>94</v>
      </c>
      <c r="L13" s="25" t="s">
        <v>1714</v>
      </c>
      <c r="M13" s="25" t="s">
        <v>188</v>
      </c>
      <c r="N13" s="26" t="n">
        <v>44487</v>
      </c>
    </row>
    <row r="14" customFormat="false" ht="15" hidden="false" customHeight="false" outlineLevel="0" collapsed="false">
      <c r="A14" s="25" t="n">
        <v>12</v>
      </c>
      <c r="B14" s="25" t="s">
        <v>1747</v>
      </c>
      <c r="C14" s="25" t="s">
        <v>1748</v>
      </c>
      <c r="D14" s="25" t="s">
        <v>74</v>
      </c>
      <c r="E14" s="25" t="s">
        <v>1707</v>
      </c>
      <c r="F14" s="26" t="n">
        <v>1</v>
      </c>
      <c r="G14" s="26" t="n">
        <v>2958465</v>
      </c>
      <c r="H14" s="27" t="b">
        <f aca="false">TRUE()</f>
        <v>1</v>
      </c>
      <c r="I14" s="25" t="s">
        <v>1749</v>
      </c>
      <c r="J14" s="25" t="s">
        <v>1750</v>
      </c>
      <c r="K14" s="25" t="s">
        <v>1738</v>
      </c>
      <c r="L14" s="25" t="s">
        <v>1739</v>
      </c>
      <c r="M14" s="25" t="s">
        <v>188</v>
      </c>
      <c r="N14" s="25"/>
    </row>
    <row r="15" customFormat="false" ht="15" hidden="false" customHeight="false" outlineLevel="0" collapsed="false">
      <c r="A15" s="25" t="n">
        <v>13</v>
      </c>
      <c r="B15" s="25" t="s">
        <v>1179</v>
      </c>
      <c r="C15" s="25" t="s">
        <v>1751</v>
      </c>
      <c r="D15" s="25" t="s">
        <v>78</v>
      </c>
      <c r="E15" s="25" t="s">
        <v>1707</v>
      </c>
      <c r="F15" s="26" t="n">
        <v>44426</v>
      </c>
      <c r="G15" s="26" t="n">
        <v>2958465</v>
      </c>
      <c r="H15" s="27" t="b">
        <f aca="false">TRUE()</f>
        <v>1</v>
      </c>
      <c r="I15" s="25" t="s">
        <v>1752</v>
      </c>
      <c r="J15" s="25" t="s">
        <v>1753</v>
      </c>
      <c r="K15" s="25" t="s">
        <v>79</v>
      </c>
      <c r="L15" s="25" t="s">
        <v>1754</v>
      </c>
      <c r="M15" s="25" t="s">
        <v>188</v>
      </c>
      <c r="N15" s="26" t="n">
        <v>44426</v>
      </c>
    </row>
    <row r="16" customFormat="false" ht="15" hidden="false" customHeight="false" outlineLevel="0" collapsed="false">
      <c r="A16" s="25" t="n">
        <v>14</v>
      </c>
      <c r="B16" s="25" t="s">
        <v>1322</v>
      </c>
      <c r="C16" s="25" t="s">
        <v>1755</v>
      </c>
      <c r="D16" s="25" t="s">
        <v>78</v>
      </c>
      <c r="E16" s="25" t="s">
        <v>1707</v>
      </c>
      <c r="F16" s="26" t="n">
        <v>44919</v>
      </c>
      <c r="G16" s="26" t="n">
        <v>2958465</v>
      </c>
      <c r="H16" s="27" t="b">
        <f aca="false">TRUE()</f>
        <v>1</v>
      </c>
      <c r="I16" s="25" t="s">
        <v>1756</v>
      </c>
      <c r="J16" s="25" t="s">
        <v>1757</v>
      </c>
      <c r="K16" s="25" t="s">
        <v>75</v>
      </c>
      <c r="L16" s="25" t="s">
        <v>1722</v>
      </c>
      <c r="M16" s="25" t="s">
        <v>188</v>
      </c>
      <c r="N16" s="26" t="n">
        <v>44919</v>
      </c>
    </row>
    <row r="17" customFormat="false" ht="15" hidden="false" customHeight="false" outlineLevel="0" collapsed="false">
      <c r="A17" s="25" t="n">
        <v>15</v>
      </c>
      <c r="B17" s="25" t="s">
        <v>1527</v>
      </c>
      <c r="C17" s="25" t="s">
        <v>1758</v>
      </c>
      <c r="D17" s="25" t="s">
        <v>82</v>
      </c>
      <c r="E17" s="25" t="s">
        <v>1707</v>
      </c>
      <c r="F17" s="26" t="n">
        <v>44228</v>
      </c>
      <c r="G17" s="26" t="n">
        <v>2958465</v>
      </c>
      <c r="H17" s="27" t="b">
        <f aca="false">TRUE()</f>
        <v>1</v>
      </c>
      <c r="I17" s="25" t="s">
        <v>1759</v>
      </c>
      <c r="J17" s="25" t="s">
        <v>1760</v>
      </c>
      <c r="K17" s="25" t="s">
        <v>89</v>
      </c>
      <c r="L17" s="25" t="s">
        <v>1710</v>
      </c>
      <c r="M17" s="25" t="s">
        <v>188</v>
      </c>
      <c r="N17" s="26" t="n">
        <v>44228</v>
      </c>
    </row>
    <row r="18" customFormat="false" ht="15" hidden="false" customHeight="false" outlineLevel="0" collapsed="false">
      <c r="A18" s="25" t="n">
        <v>16</v>
      </c>
      <c r="B18" s="25" t="s">
        <v>1499</v>
      </c>
      <c r="C18" s="25" t="s">
        <v>1761</v>
      </c>
      <c r="D18" s="25" t="s">
        <v>70</v>
      </c>
      <c r="E18" s="25" t="s">
        <v>1707</v>
      </c>
      <c r="F18" s="26" t="n">
        <v>45204</v>
      </c>
      <c r="G18" s="26" t="n">
        <v>2958465</v>
      </c>
      <c r="H18" s="27" t="b">
        <f aca="false">TRUE()</f>
        <v>1</v>
      </c>
      <c r="I18" s="25" t="s">
        <v>1762</v>
      </c>
      <c r="J18" s="25" t="s">
        <v>1763</v>
      </c>
      <c r="K18" s="25" t="s">
        <v>1738</v>
      </c>
      <c r="L18" s="25" t="s">
        <v>1739</v>
      </c>
      <c r="M18" s="25" t="s">
        <v>188</v>
      </c>
      <c r="N18" s="26" t="n">
        <v>45204</v>
      </c>
    </row>
    <row r="19" customFormat="false" ht="15" hidden="false" customHeight="false" outlineLevel="0" collapsed="false">
      <c r="A19" s="25" t="n">
        <v>17</v>
      </c>
      <c r="B19" s="25" t="s">
        <v>1445</v>
      </c>
      <c r="C19" s="25" t="s">
        <v>1764</v>
      </c>
      <c r="D19" s="25" t="s">
        <v>78</v>
      </c>
      <c r="E19" s="25" t="s">
        <v>1707</v>
      </c>
      <c r="F19" s="26" t="n">
        <v>44737</v>
      </c>
      <c r="G19" s="26" t="n">
        <v>2958465</v>
      </c>
      <c r="H19" s="27" t="b">
        <f aca="false">TRUE()</f>
        <v>1</v>
      </c>
      <c r="I19" s="25" t="s">
        <v>1765</v>
      </c>
      <c r="J19" s="25" t="s">
        <v>1766</v>
      </c>
      <c r="K19" s="25" t="s">
        <v>94</v>
      </c>
      <c r="L19" s="25" t="s">
        <v>1714</v>
      </c>
      <c r="M19" s="25" t="s">
        <v>188</v>
      </c>
      <c r="N19" s="26" t="n">
        <v>44737</v>
      </c>
    </row>
    <row r="20" customFormat="false" ht="15" hidden="false" customHeight="false" outlineLevel="0" collapsed="false">
      <c r="A20" s="25" t="n">
        <v>18</v>
      </c>
      <c r="B20" s="25" t="s">
        <v>1073</v>
      </c>
      <c r="C20" s="25" t="s">
        <v>1767</v>
      </c>
      <c r="D20" s="25" t="s">
        <v>70</v>
      </c>
      <c r="E20" s="25" t="s">
        <v>1707</v>
      </c>
      <c r="F20" s="26" t="n">
        <v>44727</v>
      </c>
      <c r="G20" s="26" t="n">
        <v>2958465</v>
      </c>
      <c r="H20" s="27" t="b">
        <f aca="false">TRUE()</f>
        <v>1</v>
      </c>
      <c r="I20" s="25" t="s">
        <v>1768</v>
      </c>
      <c r="J20" s="25" t="s">
        <v>1769</v>
      </c>
      <c r="K20" s="25" t="s">
        <v>1770</v>
      </c>
      <c r="L20" s="25" t="s">
        <v>1739</v>
      </c>
      <c r="M20" s="25" t="s">
        <v>188</v>
      </c>
      <c r="N20" s="26" t="n">
        <v>44727</v>
      </c>
    </row>
    <row r="21" customFormat="false" ht="15" hidden="false" customHeight="false" outlineLevel="0" collapsed="false">
      <c r="A21" s="25" t="n">
        <v>19</v>
      </c>
      <c r="B21" s="25" t="s">
        <v>993</v>
      </c>
      <c r="C21" s="25" t="s">
        <v>1771</v>
      </c>
      <c r="D21" s="25" t="s">
        <v>74</v>
      </c>
      <c r="E21" s="25" t="s">
        <v>1707</v>
      </c>
      <c r="F21" s="26" t="n">
        <v>44718</v>
      </c>
      <c r="G21" s="26" t="n">
        <v>2958465</v>
      </c>
      <c r="H21" s="27" t="b">
        <f aca="false">TRUE()</f>
        <v>1</v>
      </c>
      <c r="I21" s="25" t="s">
        <v>25</v>
      </c>
      <c r="J21" s="25" t="s">
        <v>1772</v>
      </c>
      <c r="K21" s="25" t="s">
        <v>71</v>
      </c>
      <c r="L21" s="25" t="s">
        <v>1773</v>
      </c>
      <c r="M21" s="25" t="s">
        <v>188</v>
      </c>
      <c r="N21" s="26" t="n">
        <v>44718</v>
      </c>
    </row>
    <row r="22" customFormat="false" ht="15" hidden="false" customHeight="false" outlineLevel="0" collapsed="false">
      <c r="A22" s="25" t="n">
        <v>20</v>
      </c>
      <c r="B22" s="25" t="s">
        <v>844</v>
      </c>
      <c r="C22" s="25" t="s">
        <v>1774</v>
      </c>
      <c r="D22" s="25" t="s">
        <v>82</v>
      </c>
      <c r="E22" s="25" t="s">
        <v>1707</v>
      </c>
      <c r="F22" s="26" t="n">
        <v>45115</v>
      </c>
      <c r="G22" s="26" t="n">
        <v>2958465</v>
      </c>
      <c r="H22" s="27" t="b">
        <f aca="false">TRUE()</f>
        <v>1</v>
      </c>
      <c r="I22" s="25" t="s">
        <v>1775</v>
      </c>
      <c r="J22" s="25" t="s">
        <v>1776</v>
      </c>
      <c r="K22" s="25" t="s">
        <v>1738</v>
      </c>
      <c r="L22" s="25" t="s">
        <v>1739</v>
      </c>
      <c r="M22" s="25" t="s">
        <v>188</v>
      </c>
      <c r="N22" s="26" t="n">
        <v>45115</v>
      </c>
    </row>
    <row r="23" customFormat="false" ht="15" hidden="false" customHeight="false" outlineLevel="0" collapsed="false">
      <c r="A23" s="25" t="n">
        <v>21</v>
      </c>
      <c r="B23" s="25" t="s">
        <v>1212</v>
      </c>
      <c r="C23" s="25" t="s">
        <v>1777</v>
      </c>
      <c r="D23" s="25" t="s">
        <v>74</v>
      </c>
      <c r="E23" s="25" t="s">
        <v>1706</v>
      </c>
      <c r="F23" s="26" t="n">
        <v>44626</v>
      </c>
      <c r="G23" s="26" t="n">
        <v>2958465</v>
      </c>
      <c r="H23" s="27" t="b">
        <f aca="false">TRUE()</f>
        <v>1</v>
      </c>
      <c r="I23" s="25" t="s">
        <v>1778</v>
      </c>
      <c r="J23" s="25" t="s">
        <v>1779</v>
      </c>
      <c r="K23" s="25" t="s">
        <v>1743</v>
      </c>
      <c r="L23" s="25" t="s">
        <v>1743</v>
      </c>
      <c r="M23" s="25" t="s">
        <v>188</v>
      </c>
      <c r="N23" s="26" t="n">
        <v>44626</v>
      </c>
    </row>
    <row r="24" customFormat="false" ht="15" hidden="false" customHeight="false" outlineLevel="0" collapsed="false">
      <c r="A24" s="25" t="n">
        <v>22</v>
      </c>
      <c r="B24" s="25" t="s">
        <v>1780</v>
      </c>
      <c r="C24" s="25" t="s">
        <v>1781</v>
      </c>
      <c r="D24" s="25" t="s">
        <v>82</v>
      </c>
      <c r="E24" s="25" t="s">
        <v>1707</v>
      </c>
      <c r="F24" s="26" t="n">
        <v>44665</v>
      </c>
      <c r="G24" s="26" t="n">
        <v>2958465</v>
      </c>
      <c r="H24" s="27" t="b">
        <f aca="false">TRUE()</f>
        <v>1</v>
      </c>
      <c r="I24" s="25" t="s">
        <v>1782</v>
      </c>
      <c r="J24" s="25" t="s">
        <v>1757</v>
      </c>
      <c r="K24" s="25" t="s">
        <v>89</v>
      </c>
      <c r="L24" s="25" t="s">
        <v>1710</v>
      </c>
      <c r="M24" s="25" t="s">
        <v>188</v>
      </c>
      <c r="N24" s="26" t="n">
        <v>44665</v>
      </c>
    </row>
    <row r="25" customFormat="false" ht="15" hidden="false" customHeight="false" outlineLevel="0" collapsed="false">
      <c r="A25" s="25" t="n">
        <v>23</v>
      </c>
      <c r="B25" s="25" t="s">
        <v>1060</v>
      </c>
      <c r="C25" s="25" t="s">
        <v>1783</v>
      </c>
      <c r="D25" s="25" t="s">
        <v>78</v>
      </c>
      <c r="E25" s="25" t="s">
        <v>1707</v>
      </c>
      <c r="F25" s="26" t="n">
        <v>44820</v>
      </c>
      <c r="G25" s="26" t="n">
        <v>2958465</v>
      </c>
      <c r="H25" s="27" t="b">
        <f aca="false">TRUE()</f>
        <v>1</v>
      </c>
      <c r="I25" s="25" t="s">
        <v>1784</v>
      </c>
      <c r="J25" s="25" t="s">
        <v>1785</v>
      </c>
      <c r="K25" s="25" t="s">
        <v>83</v>
      </c>
      <c r="L25" s="25" t="s">
        <v>1718</v>
      </c>
      <c r="M25" s="25" t="s">
        <v>188</v>
      </c>
      <c r="N25" s="26" t="n">
        <v>44820</v>
      </c>
    </row>
    <row r="26" customFormat="false" ht="15" hidden="false" customHeight="false" outlineLevel="0" collapsed="false">
      <c r="A26" s="25" t="n">
        <v>24</v>
      </c>
      <c r="B26" s="25" t="s">
        <v>1786</v>
      </c>
      <c r="C26" s="25" t="s">
        <v>1787</v>
      </c>
      <c r="D26" s="25" t="s">
        <v>82</v>
      </c>
      <c r="E26" s="25" t="s">
        <v>1707</v>
      </c>
      <c r="F26" s="26" t="n">
        <v>44208</v>
      </c>
      <c r="G26" s="26" t="n">
        <v>2958465</v>
      </c>
      <c r="H26" s="27" t="b">
        <f aca="false">TRUE()</f>
        <v>1</v>
      </c>
      <c r="I26" s="25" t="s">
        <v>1788</v>
      </c>
      <c r="J26" s="25" t="s">
        <v>1789</v>
      </c>
      <c r="K26" s="25" t="s">
        <v>1726</v>
      </c>
      <c r="L26" s="25" t="s">
        <v>1710</v>
      </c>
      <c r="M26" s="25" t="s">
        <v>188</v>
      </c>
      <c r="N26" s="26" t="n">
        <v>44208</v>
      </c>
    </row>
    <row r="27" customFormat="false" ht="15" hidden="false" customHeight="false" outlineLevel="0" collapsed="false">
      <c r="A27" s="25" t="n">
        <v>25</v>
      </c>
      <c r="B27" s="25" t="s">
        <v>796</v>
      </c>
      <c r="C27" s="25" t="s">
        <v>1790</v>
      </c>
      <c r="D27" s="25" t="s">
        <v>82</v>
      </c>
      <c r="E27" s="25" t="s">
        <v>1707</v>
      </c>
      <c r="F27" s="26" t="n">
        <v>44445</v>
      </c>
      <c r="G27" s="26" t="n">
        <v>2958465</v>
      </c>
      <c r="H27" s="27" t="b">
        <f aca="false">TRUE()</f>
        <v>1</v>
      </c>
      <c r="I27" s="25" t="s">
        <v>25</v>
      </c>
      <c r="J27" s="25" t="s">
        <v>1791</v>
      </c>
      <c r="K27" s="25" t="s">
        <v>1770</v>
      </c>
      <c r="L27" s="25" t="s">
        <v>1739</v>
      </c>
      <c r="M27" s="25" t="s">
        <v>188</v>
      </c>
      <c r="N27" s="26" t="n">
        <v>44445</v>
      </c>
    </row>
    <row r="28" customFormat="false" ht="15" hidden="false" customHeight="false" outlineLevel="0" collapsed="false">
      <c r="A28" s="25" t="n">
        <v>26</v>
      </c>
      <c r="B28" s="25" t="s">
        <v>1263</v>
      </c>
      <c r="C28" s="25" t="s">
        <v>1792</v>
      </c>
      <c r="D28" s="25" t="s">
        <v>74</v>
      </c>
      <c r="E28" s="25" t="s">
        <v>1707</v>
      </c>
      <c r="F28" s="26" t="n">
        <v>44362</v>
      </c>
      <c r="G28" s="26" t="n">
        <v>2958465</v>
      </c>
      <c r="H28" s="27" t="b">
        <f aca="false">TRUE()</f>
        <v>1</v>
      </c>
      <c r="I28" s="25" t="s">
        <v>1793</v>
      </c>
      <c r="J28" s="25" t="s">
        <v>1794</v>
      </c>
      <c r="K28" s="25" t="s">
        <v>71</v>
      </c>
      <c r="L28" s="25" t="s">
        <v>1773</v>
      </c>
      <c r="M28" s="25" t="s">
        <v>188</v>
      </c>
      <c r="N28" s="26" t="n">
        <v>44362</v>
      </c>
    </row>
    <row r="29" customFormat="false" ht="15" hidden="false" customHeight="false" outlineLevel="0" collapsed="false">
      <c r="A29" s="25" t="n">
        <v>27</v>
      </c>
      <c r="B29" s="25" t="s">
        <v>1107</v>
      </c>
      <c r="C29" s="25" t="s">
        <v>1795</v>
      </c>
      <c r="D29" s="25" t="s">
        <v>70</v>
      </c>
      <c r="E29" s="25" t="s">
        <v>1707</v>
      </c>
      <c r="F29" s="26" t="n">
        <v>44368</v>
      </c>
      <c r="G29" s="26" t="n">
        <v>2958465</v>
      </c>
      <c r="H29" s="27" t="b">
        <f aca="false">TRUE()</f>
        <v>1</v>
      </c>
      <c r="I29" s="25" t="s">
        <v>1796</v>
      </c>
      <c r="J29" s="25" t="s">
        <v>1797</v>
      </c>
      <c r="K29" s="25" t="s">
        <v>83</v>
      </c>
      <c r="L29" s="25" t="s">
        <v>1718</v>
      </c>
      <c r="M29" s="25" t="s">
        <v>188</v>
      </c>
      <c r="N29" s="26" t="n">
        <v>44368</v>
      </c>
    </row>
    <row r="30" customFormat="false" ht="15" hidden="false" customHeight="false" outlineLevel="0" collapsed="false">
      <c r="A30" s="25" t="n">
        <v>28</v>
      </c>
      <c r="B30" s="25" t="s">
        <v>1356</v>
      </c>
      <c r="C30" s="25" t="s">
        <v>1798</v>
      </c>
      <c r="D30" s="25" t="s">
        <v>78</v>
      </c>
      <c r="E30" s="25" t="s">
        <v>1707</v>
      </c>
      <c r="F30" s="26" t="n">
        <v>44709</v>
      </c>
      <c r="G30" s="26" t="n">
        <v>2958465</v>
      </c>
      <c r="H30" s="27" t="b">
        <f aca="false">TRUE()</f>
        <v>1</v>
      </c>
      <c r="I30" s="25" t="s">
        <v>1799</v>
      </c>
      <c r="J30" s="25" t="s">
        <v>1800</v>
      </c>
      <c r="K30" s="25" t="s">
        <v>75</v>
      </c>
      <c r="L30" s="25" t="s">
        <v>1722</v>
      </c>
      <c r="M30" s="25" t="s">
        <v>188</v>
      </c>
      <c r="N30" s="26" t="n">
        <v>44709</v>
      </c>
    </row>
    <row r="31" customFormat="false" ht="15" hidden="false" customHeight="false" outlineLevel="0" collapsed="false">
      <c r="A31" s="25" t="n">
        <v>29</v>
      </c>
      <c r="B31" s="25" t="s">
        <v>812</v>
      </c>
      <c r="C31" s="25" t="s">
        <v>1801</v>
      </c>
      <c r="D31" s="25" t="s">
        <v>82</v>
      </c>
      <c r="E31" s="25" t="s">
        <v>1707</v>
      </c>
      <c r="F31" s="26" t="n">
        <v>45257</v>
      </c>
      <c r="G31" s="26" t="n">
        <v>2958465</v>
      </c>
      <c r="H31" s="27" t="b">
        <f aca="false">TRUE()</f>
        <v>1</v>
      </c>
      <c r="I31" s="25" t="s">
        <v>1802</v>
      </c>
      <c r="J31" s="25" t="s">
        <v>1803</v>
      </c>
      <c r="K31" s="25" t="s">
        <v>1770</v>
      </c>
      <c r="L31" s="25" t="s">
        <v>1739</v>
      </c>
      <c r="M31" s="25" t="s">
        <v>188</v>
      </c>
      <c r="N31" s="26" t="n">
        <v>45257</v>
      </c>
    </row>
    <row r="32" customFormat="false" ht="15" hidden="false" customHeight="false" outlineLevel="0" collapsed="false">
      <c r="A32" s="25" t="n">
        <v>30</v>
      </c>
      <c r="B32" s="25" t="s">
        <v>1581</v>
      </c>
      <c r="C32" s="25" t="s">
        <v>1804</v>
      </c>
      <c r="D32" s="25" t="s">
        <v>82</v>
      </c>
      <c r="E32" s="25" t="s">
        <v>1707</v>
      </c>
      <c r="F32" s="26" t="n">
        <v>45264</v>
      </c>
      <c r="G32" s="26" t="n">
        <v>2958465</v>
      </c>
      <c r="H32" s="27" t="b">
        <f aca="false">TRUE()</f>
        <v>1</v>
      </c>
      <c r="I32" s="25" t="s">
        <v>1805</v>
      </c>
      <c r="J32" s="25" t="s">
        <v>1806</v>
      </c>
      <c r="K32" s="25" t="s">
        <v>71</v>
      </c>
      <c r="L32" s="25" t="s">
        <v>1773</v>
      </c>
      <c r="M32" s="25" t="s">
        <v>188</v>
      </c>
      <c r="N32" s="26" t="n">
        <v>45264</v>
      </c>
    </row>
    <row r="33" customFormat="false" ht="15" hidden="false" customHeight="false" outlineLevel="0" collapsed="false">
      <c r="A33" s="25" t="n">
        <v>31</v>
      </c>
      <c r="B33" s="25" t="s">
        <v>842</v>
      </c>
      <c r="C33" s="25" t="s">
        <v>1807</v>
      </c>
      <c r="D33" s="25" t="s">
        <v>70</v>
      </c>
      <c r="E33" s="25" t="s">
        <v>1706</v>
      </c>
      <c r="F33" s="26" t="n">
        <v>44696</v>
      </c>
      <c r="G33" s="26" t="n">
        <v>2958465</v>
      </c>
      <c r="H33" s="27" t="b">
        <f aca="false">TRUE()</f>
        <v>1</v>
      </c>
      <c r="I33" s="25" t="s">
        <v>1808</v>
      </c>
      <c r="J33" s="25" t="s">
        <v>1809</v>
      </c>
      <c r="K33" s="25" t="s">
        <v>1743</v>
      </c>
      <c r="L33" s="25" t="s">
        <v>1743</v>
      </c>
      <c r="M33" s="25" t="s">
        <v>188</v>
      </c>
      <c r="N33" s="26" t="n">
        <v>44696</v>
      </c>
    </row>
    <row r="34" customFormat="false" ht="15" hidden="false" customHeight="false" outlineLevel="0" collapsed="false">
      <c r="A34" s="25" t="n">
        <v>32</v>
      </c>
      <c r="B34" s="25" t="s">
        <v>943</v>
      </c>
      <c r="C34" s="25" t="s">
        <v>1810</v>
      </c>
      <c r="D34" s="25" t="s">
        <v>70</v>
      </c>
      <c r="E34" s="25" t="s">
        <v>1707</v>
      </c>
      <c r="F34" s="26" t="n">
        <v>45207</v>
      </c>
      <c r="G34" s="26" t="n">
        <v>2958465</v>
      </c>
      <c r="H34" s="27" t="b">
        <f aca="false">TRUE()</f>
        <v>1</v>
      </c>
      <c r="I34" s="25" t="s">
        <v>1811</v>
      </c>
      <c r="J34" s="25" t="s">
        <v>1812</v>
      </c>
      <c r="K34" s="25" t="s">
        <v>71</v>
      </c>
      <c r="L34" s="25" t="s">
        <v>1773</v>
      </c>
      <c r="M34" s="25" t="s">
        <v>188</v>
      </c>
      <c r="N34" s="26" t="n">
        <v>45207</v>
      </c>
    </row>
    <row r="35" customFormat="false" ht="15" hidden="false" customHeight="false" outlineLevel="0" collapsed="false">
      <c r="A35" s="25" t="n">
        <v>33</v>
      </c>
      <c r="B35" s="25" t="s">
        <v>92</v>
      </c>
      <c r="C35" s="25" t="s">
        <v>93</v>
      </c>
      <c r="D35" s="25" t="s">
        <v>70</v>
      </c>
      <c r="E35" s="25" t="s">
        <v>1707</v>
      </c>
      <c r="F35" s="26" t="n">
        <v>44907</v>
      </c>
      <c r="G35" s="26" t="n">
        <v>2958465</v>
      </c>
      <c r="H35" s="27" t="b">
        <f aca="false">TRUE()</f>
        <v>1</v>
      </c>
      <c r="I35" s="25" t="s">
        <v>1813</v>
      </c>
      <c r="J35" s="25" t="s">
        <v>1814</v>
      </c>
      <c r="K35" s="25" t="s">
        <v>94</v>
      </c>
      <c r="L35" s="25" t="s">
        <v>1714</v>
      </c>
      <c r="M35" s="25" t="s">
        <v>188</v>
      </c>
      <c r="N35" s="26" t="n">
        <v>44907</v>
      </c>
    </row>
    <row r="36" customFormat="false" ht="15" hidden="false" customHeight="false" outlineLevel="0" collapsed="false">
      <c r="A36" s="25" t="n">
        <v>34</v>
      </c>
      <c r="B36" s="25" t="s">
        <v>1240</v>
      </c>
      <c r="C36" s="25" t="s">
        <v>1815</v>
      </c>
      <c r="D36" s="25" t="s">
        <v>78</v>
      </c>
      <c r="E36" s="25" t="s">
        <v>1707</v>
      </c>
      <c r="F36" s="26" t="n">
        <v>44647</v>
      </c>
      <c r="G36" s="26" t="n">
        <v>2958465</v>
      </c>
      <c r="H36" s="27" t="b">
        <f aca="false">TRUE()</f>
        <v>1</v>
      </c>
      <c r="I36" s="25" t="s">
        <v>1816</v>
      </c>
      <c r="J36" s="25" t="s">
        <v>1817</v>
      </c>
      <c r="K36" s="25" t="s">
        <v>79</v>
      </c>
      <c r="L36" s="25" t="s">
        <v>1754</v>
      </c>
      <c r="M36" s="25" t="s">
        <v>188</v>
      </c>
      <c r="N36" s="26" t="n">
        <v>44647</v>
      </c>
    </row>
    <row r="37" customFormat="false" ht="15" hidden="false" customHeight="false" outlineLevel="0" collapsed="false">
      <c r="A37" s="25" t="n">
        <v>35</v>
      </c>
      <c r="B37" s="25" t="s">
        <v>954</v>
      </c>
      <c r="C37" s="25" t="s">
        <v>1818</v>
      </c>
      <c r="D37" s="25" t="s">
        <v>70</v>
      </c>
      <c r="E37" s="25" t="s">
        <v>1707</v>
      </c>
      <c r="F37" s="26" t="n">
        <v>45121</v>
      </c>
      <c r="G37" s="26" t="n">
        <v>2958465</v>
      </c>
      <c r="H37" s="27" t="b">
        <f aca="false">TRUE()</f>
        <v>1</v>
      </c>
      <c r="I37" s="25" t="s">
        <v>1819</v>
      </c>
      <c r="J37" s="25" t="s">
        <v>1820</v>
      </c>
      <c r="K37" s="25" t="s">
        <v>86</v>
      </c>
      <c r="L37" s="25" t="s">
        <v>1821</v>
      </c>
      <c r="M37" s="25" t="s">
        <v>188</v>
      </c>
      <c r="N37" s="26" t="n">
        <v>45121</v>
      </c>
    </row>
    <row r="38" customFormat="false" ht="15" hidden="false" customHeight="false" outlineLevel="0" collapsed="false">
      <c r="A38" s="25" t="n">
        <v>36</v>
      </c>
      <c r="B38" s="25" t="s">
        <v>1274</v>
      </c>
      <c r="C38" s="25" t="s">
        <v>1822</v>
      </c>
      <c r="D38" s="25" t="s">
        <v>82</v>
      </c>
      <c r="E38" s="25" t="s">
        <v>1707</v>
      </c>
      <c r="F38" s="26" t="n">
        <v>45059</v>
      </c>
      <c r="G38" s="26" t="n">
        <v>2958465</v>
      </c>
      <c r="H38" s="27" t="b">
        <f aca="false">TRUE()</f>
        <v>1</v>
      </c>
      <c r="I38" s="25" t="s">
        <v>1823</v>
      </c>
      <c r="J38" s="25" t="s">
        <v>1824</v>
      </c>
      <c r="K38" s="25" t="s">
        <v>79</v>
      </c>
      <c r="L38" s="25" t="s">
        <v>1754</v>
      </c>
      <c r="M38" s="25" t="s">
        <v>188</v>
      </c>
      <c r="N38" s="26" t="n">
        <v>45059</v>
      </c>
    </row>
    <row r="39" customFormat="false" ht="15" hidden="false" customHeight="false" outlineLevel="0" collapsed="false">
      <c r="A39" s="25" t="n">
        <v>37</v>
      </c>
      <c r="B39" s="25" t="s">
        <v>98</v>
      </c>
      <c r="C39" s="25" t="s">
        <v>99</v>
      </c>
      <c r="D39" s="25" t="s">
        <v>70</v>
      </c>
      <c r="E39" s="25" t="s">
        <v>1707</v>
      </c>
      <c r="F39" s="26" t="n">
        <v>44212</v>
      </c>
      <c r="G39" s="26" t="n">
        <v>2958465</v>
      </c>
      <c r="H39" s="27" t="b">
        <f aca="false">TRUE()</f>
        <v>1</v>
      </c>
      <c r="I39" s="25" t="s">
        <v>1825</v>
      </c>
      <c r="J39" s="25" t="s">
        <v>1826</v>
      </c>
      <c r="K39" s="25" t="s">
        <v>83</v>
      </c>
      <c r="L39" s="25" t="s">
        <v>1718</v>
      </c>
      <c r="M39" s="25" t="s">
        <v>188</v>
      </c>
      <c r="N39" s="26" t="n">
        <v>44212</v>
      </c>
    </row>
    <row r="40" customFormat="false" ht="15" hidden="false" customHeight="false" outlineLevel="0" collapsed="false">
      <c r="A40" s="25" t="n">
        <v>38</v>
      </c>
      <c r="B40" s="25" t="s">
        <v>1827</v>
      </c>
      <c r="C40" s="25" t="s">
        <v>1828</v>
      </c>
      <c r="D40" s="25" t="s">
        <v>74</v>
      </c>
      <c r="E40" s="25" t="s">
        <v>1707</v>
      </c>
      <c r="F40" s="26" t="n">
        <v>44693</v>
      </c>
      <c r="G40" s="26" t="n">
        <v>2958465</v>
      </c>
      <c r="H40" s="27" t="b">
        <f aca="false">TRUE()</f>
        <v>1</v>
      </c>
      <c r="I40" s="25" t="s">
        <v>25</v>
      </c>
      <c r="J40" s="25" t="s">
        <v>1829</v>
      </c>
      <c r="K40" s="25" t="s">
        <v>1738</v>
      </c>
      <c r="L40" s="25" t="s">
        <v>1739</v>
      </c>
      <c r="M40" s="25" t="s">
        <v>188</v>
      </c>
      <c r="N40" s="26" t="n">
        <v>44693</v>
      </c>
    </row>
    <row r="41" customFormat="false" ht="15" hidden="false" customHeight="false" outlineLevel="0" collapsed="false">
      <c r="A41" s="25" t="n">
        <v>39</v>
      </c>
      <c r="B41" s="25" t="s">
        <v>1830</v>
      </c>
      <c r="C41" s="25" t="s">
        <v>1831</v>
      </c>
      <c r="D41" s="25" t="s">
        <v>70</v>
      </c>
      <c r="E41" s="25" t="s">
        <v>1706</v>
      </c>
      <c r="F41" s="26" t="n">
        <v>44252</v>
      </c>
      <c r="G41" s="26" t="n">
        <v>2958465</v>
      </c>
      <c r="H41" s="27" t="b">
        <f aca="false">TRUE()</f>
        <v>1</v>
      </c>
      <c r="I41" s="25" t="s">
        <v>1832</v>
      </c>
      <c r="J41" s="25" t="s">
        <v>1833</v>
      </c>
      <c r="K41" s="25" t="s">
        <v>1738</v>
      </c>
      <c r="L41" s="25" t="s">
        <v>1739</v>
      </c>
      <c r="M41" s="25" t="s">
        <v>188</v>
      </c>
      <c r="N41" s="26" t="n">
        <v>44252</v>
      </c>
    </row>
    <row r="42" customFormat="false" ht="15" hidden="false" customHeight="false" outlineLevel="0" collapsed="false">
      <c r="A42" s="25" t="n">
        <v>40</v>
      </c>
      <c r="B42" s="25" t="s">
        <v>1030</v>
      </c>
      <c r="C42" s="25" t="s">
        <v>1834</v>
      </c>
      <c r="D42" s="25" t="s">
        <v>78</v>
      </c>
      <c r="E42" s="25" t="s">
        <v>1707</v>
      </c>
      <c r="F42" s="26" t="n">
        <v>44487</v>
      </c>
      <c r="G42" s="26" t="n">
        <v>2958465</v>
      </c>
      <c r="H42" s="27" t="b">
        <f aca="false">TRUE()</f>
        <v>1</v>
      </c>
      <c r="I42" s="25" t="s">
        <v>1835</v>
      </c>
      <c r="J42" s="25" t="s">
        <v>1757</v>
      </c>
      <c r="K42" s="25" t="s">
        <v>1738</v>
      </c>
      <c r="L42" s="25" t="s">
        <v>1739</v>
      </c>
      <c r="M42" s="25" t="s">
        <v>188</v>
      </c>
      <c r="N42" s="26" t="n">
        <v>44487</v>
      </c>
    </row>
    <row r="43" customFormat="false" ht="15" hidden="false" customHeight="false" outlineLevel="0" collapsed="false">
      <c r="A43" s="25" t="n">
        <v>41</v>
      </c>
      <c r="B43" s="25" t="s">
        <v>1195</v>
      </c>
      <c r="C43" s="25" t="s">
        <v>1836</v>
      </c>
      <c r="D43" s="25" t="s">
        <v>82</v>
      </c>
      <c r="E43" s="25" t="s">
        <v>1707</v>
      </c>
      <c r="F43" s="26" t="n">
        <v>44862</v>
      </c>
      <c r="G43" s="26" t="n">
        <v>2958465</v>
      </c>
      <c r="H43" s="27" t="b">
        <f aca="false">TRUE()</f>
        <v>1</v>
      </c>
      <c r="I43" s="25" t="s">
        <v>1837</v>
      </c>
      <c r="J43" s="25" t="s">
        <v>1757</v>
      </c>
      <c r="K43" s="25" t="s">
        <v>71</v>
      </c>
      <c r="L43" s="25" t="s">
        <v>1773</v>
      </c>
      <c r="M43" s="25" t="s">
        <v>188</v>
      </c>
      <c r="N43" s="26" t="n">
        <v>44862</v>
      </c>
    </row>
    <row r="44" customFormat="false" ht="15" hidden="false" customHeight="false" outlineLevel="0" collapsed="false">
      <c r="A44" s="25" t="n">
        <v>42</v>
      </c>
      <c r="B44" s="25" t="s">
        <v>882</v>
      </c>
      <c r="C44" s="25" t="s">
        <v>1838</v>
      </c>
      <c r="D44" s="25" t="s">
        <v>74</v>
      </c>
      <c r="E44" s="25" t="s">
        <v>1707</v>
      </c>
      <c r="F44" s="26" t="n">
        <v>44663</v>
      </c>
      <c r="G44" s="26" t="n">
        <v>2958465</v>
      </c>
      <c r="H44" s="27" t="b">
        <f aca="false">TRUE()</f>
        <v>1</v>
      </c>
      <c r="I44" s="25" t="s">
        <v>1839</v>
      </c>
      <c r="J44" s="25" t="s">
        <v>1840</v>
      </c>
      <c r="K44" s="25" t="s">
        <v>1770</v>
      </c>
      <c r="L44" s="25" t="s">
        <v>1739</v>
      </c>
      <c r="M44" s="25" t="s">
        <v>188</v>
      </c>
      <c r="N44" s="26" t="n">
        <v>44663</v>
      </c>
    </row>
    <row r="45" customFormat="false" ht="15" hidden="false" customHeight="false" outlineLevel="0" collapsed="false">
      <c r="A45" s="25" t="n">
        <v>43</v>
      </c>
      <c r="B45" s="25" t="s">
        <v>1841</v>
      </c>
      <c r="C45" s="25" t="s">
        <v>1842</v>
      </c>
      <c r="D45" s="25" t="s">
        <v>74</v>
      </c>
      <c r="E45" s="25" t="s">
        <v>1707</v>
      </c>
      <c r="F45" s="26" t="n">
        <v>44264</v>
      </c>
      <c r="G45" s="26" t="n">
        <v>2958465</v>
      </c>
      <c r="H45" s="27" t="b">
        <f aca="false">TRUE()</f>
        <v>1</v>
      </c>
      <c r="I45" s="25" t="s">
        <v>1843</v>
      </c>
      <c r="J45" s="25" t="s">
        <v>1844</v>
      </c>
      <c r="K45" s="25" t="s">
        <v>94</v>
      </c>
      <c r="L45" s="25" t="s">
        <v>1714</v>
      </c>
      <c r="M45" s="25" t="s">
        <v>188</v>
      </c>
      <c r="N45" s="26" t="n">
        <v>44264</v>
      </c>
    </row>
    <row r="46" customFormat="false" ht="15" hidden="false" customHeight="false" outlineLevel="0" collapsed="false">
      <c r="A46" s="25" t="n">
        <v>44</v>
      </c>
      <c r="B46" s="25" t="s">
        <v>1084</v>
      </c>
      <c r="C46" s="25" t="s">
        <v>1845</v>
      </c>
      <c r="D46" s="25" t="s">
        <v>74</v>
      </c>
      <c r="E46" s="25" t="s">
        <v>1707</v>
      </c>
      <c r="F46" s="26" t="n">
        <v>45013</v>
      </c>
      <c r="G46" s="26" t="n">
        <v>2958465</v>
      </c>
      <c r="H46" s="27" t="b">
        <f aca="false">TRUE()</f>
        <v>1</v>
      </c>
      <c r="I46" s="25" t="s">
        <v>1846</v>
      </c>
      <c r="J46" s="25" t="s">
        <v>1847</v>
      </c>
      <c r="K46" s="25" t="s">
        <v>1743</v>
      </c>
      <c r="L46" s="25" t="s">
        <v>1743</v>
      </c>
      <c r="M46" s="25" t="s">
        <v>188</v>
      </c>
      <c r="N46" s="26" t="n">
        <v>45013</v>
      </c>
    </row>
    <row r="47" customFormat="false" ht="15" hidden="false" customHeight="false" outlineLevel="0" collapsed="false">
      <c r="A47" s="25" t="n">
        <v>45</v>
      </c>
      <c r="B47" s="25" t="s">
        <v>913</v>
      </c>
      <c r="C47" s="25" t="s">
        <v>1848</v>
      </c>
      <c r="D47" s="25" t="s">
        <v>74</v>
      </c>
      <c r="E47" s="25" t="s">
        <v>1707</v>
      </c>
      <c r="F47" s="26" t="n">
        <v>44232</v>
      </c>
      <c r="G47" s="26" t="n">
        <v>2958465</v>
      </c>
      <c r="H47" s="27" t="b">
        <f aca="false">TRUE()</f>
        <v>1</v>
      </c>
      <c r="I47" s="25" t="s">
        <v>1849</v>
      </c>
      <c r="J47" s="25" t="s">
        <v>1850</v>
      </c>
      <c r="K47" s="25" t="s">
        <v>1770</v>
      </c>
      <c r="L47" s="25" t="s">
        <v>1739</v>
      </c>
      <c r="M47" s="25" t="s">
        <v>188</v>
      </c>
      <c r="N47" s="26" t="n">
        <v>44232</v>
      </c>
    </row>
    <row r="48" customFormat="false" ht="15" hidden="false" customHeight="false" outlineLevel="0" collapsed="false">
      <c r="A48" s="25" t="n">
        <v>46</v>
      </c>
      <c r="B48" s="25" t="s">
        <v>1126</v>
      </c>
      <c r="C48" s="25" t="s">
        <v>1851</v>
      </c>
      <c r="D48" s="25" t="s">
        <v>74</v>
      </c>
      <c r="E48" s="25" t="s">
        <v>1707</v>
      </c>
      <c r="F48" s="26" t="n">
        <v>45139</v>
      </c>
      <c r="G48" s="26" t="n">
        <v>2958465</v>
      </c>
      <c r="H48" s="27" t="b">
        <f aca="false">TRUE()</f>
        <v>1</v>
      </c>
      <c r="I48" s="25" t="s">
        <v>1852</v>
      </c>
      <c r="J48" s="25" t="s">
        <v>1853</v>
      </c>
      <c r="K48" s="25" t="s">
        <v>1770</v>
      </c>
      <c r="L48" s="25" t="s">
        <v>1739</v>
      </c>
      <c r="M48" s="25" t="s">
        <v>188</v>
      </c>
      <c r="N48" s="26" t="n">
        <v>45139</v>
      </c>
    </row>
    <row r="49" customFormat="false" ht="15" hidden="false" customHeight="false" outlineLevel="0" collapsed="false">
      <c r="A49" s="25" t="n">
        <v>47</v>
      </c>
      <c r="B49" s="25" t="s">
        <v>879</v>
      </c>
      <c r="C49" s="25" t="s">
        <v>1854</v>
      </c>
      <c r="D49" s="25" t="s">
        <v>82</v>
      </c>
      <c r="E49" s="25" t="s">
        <v>1707</v>
      </c>
      <c r="F49" s="26" t="n">
        <v>45238</v>
      </c>
      <c r="G49" s="26" t="n">
        <v>2958465</v>
      </c>
      <c r="H49" s="27" t="b">
        <f aca="false">TRUE()</f>
        <v>1</v>
      </c>
      <c r="I49" s="25" t="s">
        <v>25</v>
      </c>
      <c r="J49" s="25" t="s">
        <v>1855</v>
      </c>
      <c r="K49" s="25" t="s">
        <v>1743</v>
      </c>
      <c r="L49" s="25" t="s">
        <v>1743</v>
      </c>
      <c r="M49" s="25" t="s">
        <v>188</v>
      </c>
      <c r="N49" s="26" t="n">
        <v>45238</v>
      </c>
    </row>
    <row r="50" customFormat="false" ht="15" hidden="false" customHeight="false" outlineLevel="0" collapsed="false">
      <c r="A50" s="25" t="n">
        <v>48</v>
      </c>
      <c r="B50" s="25" t="s">
        <v>1856</v>
      </c>
      <c r="C50" s="25" t="s">
        <v>1857</v>
      </c>
      <c r="D50" s="25" t="s">
        <v>70</v>
      </c>
      <c r="E50" s="25" t="s">
        <v>1707</v>
      </c>
      <c r="F50" s="26" t="n">
        <v>44362</v>
      </c>
      <c r="G50" s="26" t="n">
        <v>2958465</v>
      </c>
      <c r="H50" s="27" t="b">
        <f aca="false">TRUE()</f>
        <v>1</v>
      </c>
      <c r="I50" s="25" t="s">
        <v>1858</v>
      </c>
      <c r="J50" s="25" t="s">
        <v>1859</v>
      </c>
      <c r="K50" s="25" t="s">
        <v>94</v>
      </c>
      <c r="L50" s="25" t="s">
        <v>1714</v>
      </c>
      <c r="M50" s="25" t="s">
        <v>188</v>
      </c>
      <c r="N50" s="26" t="n">
        <v>44362</v>
      </c>
    </row>
    <row r="51" customFormat="false" ht="15" hidden="false" customHeight="false" outlineLevel="0" collapsed="false">
      <c r="A51" s="25" t="n">
        <v>49</v>
      </c>
      <c r="B51" s="25" t="s">
        <v>1257</v>
      </c>
      <c r="C51" s="25" t="s">
        <v>1860</v>
      </c>
      <c r="D51" s="25" t="s">
        <v>78</v>
      </c>
      <c r="E51" s="25" t="s">
        <v>1707</v>
      </c>
      <c r="F51" s="26" t="n">
        <v>44858</v>
      </c>
      <c r="G51" s="26" t="n">
        <v>2958465</v>
      </c>
      <c r="H51" s="27" t="b">
        <f aca="false">TRUE()</f>
        <v>1</v>
      </c>
      <c r="I51" s="25" t="s">
        <v>25</v>
      </c>
      <c r="J51" s="25" t="s">
        <v>1861</v>
      </c>
      <c r="K51" s="25" t="s">
        <v>94</v>
      </c>
      <c r="L51" s="25" t="s">
        <v>1714</v>
      </c>
      <c r="M51" s="25" t="s">
        <v>188</v>
      </c>
      <c r="N51" s="26" t="n">
        <v>44858</v>
      </c>
    </row>
    <row r="52" customFormat="false" ht="15" hidden="false" customHeight="false" outlineLevel="0" collapsed="false">
      <c r="A52" s="25" t="n">
        <v>50</v>
      </c>
      <c r="B52" s="25" t="s">
        <v>1230</v>
      </c>
      <c r="C52" s="25" t="s">
        <v>1862</v>
      </c>
      <c r="D52" s="25" t="s">
        <v>82</v>
      </c>
      <c r="E52" s="25" t="s">
        <v>1707</v>
      </c>
      <c r="F52" s="26" t="n">
        <v>44561</v>
      </c>
      <c r="G52" s="26" t="n">
        <v>2958465</v>
      </c>
      <c r="H52" s="27" t="b">
        <f aca="false">TRUE()</f>
        <v>1</v>
      </c>
      <c r="I52" s="25" t="s">
        <v>1863</v>
      </c>
      <c r="J52" s="25" t="s">
        <v>1864</v>
      </c>
      <c r="K52" s="25" t="s">
        <v>83</v>
      </c>
      <c r="L52" s="25" t="s">
        <v>1718</v>
      </c>
      <c r="M52" s="25" t="s">
        <v>188</v>
      </c>
      <c r="N52" s="26" t="n">
        <v>44561</v>
      </c>
    </row>
    <row r="53" customFormat="false" ht="15" hidden="false" customHeight="false" outlineLevel="0" collapsed="false">
      <c r="A53" s="25" t="n">
        <v>51</v>
      </c>
      <c r="B53" s="25" t="s">
        <v>1865</v>
      </c>
      <c r="C53" s="25" t="s">
        <v>1866</v>
      </c>
      <c r="D53" s="25" t="s">
        <v>82</v>
      </c>
      <c r="E53" s="25" t="s">
        <v>1707</v>
      </c>
      <c r="F53" s="26" t="n">
        <v>44520</v>
      </c>
      <c r="G53" s="26" t="n">
        <v>2958465</v>
      </c>
      <c r="H53" s="27" t="b">
        <f aca="false">TRUE()</f>
        <v>1</v>
      </c>
      <c r="I53" s="25" t="s">
        <v>1867</v>
      </c>
      <c r="J53" s="25" t="s">
        <v>1868</v>
      </c>
      <c r="K53" s="25" t="s">
        <v>89</v>
      </c>
      <c r="L53" s="25" t="s">
        <v>1710</v>
      </c>
      <c r="M53" s="25" t="s">
        <v>188</v>
      </c>
      <c r="N53" s="26" t="n">
        <v>44520</v>
      </c>
    </row>
    <row r="54" customFormat="false" ht="15" hidden="false" customHeight="false" outlineLevel="0" collapsed="false">
      <c r="A54" s="25" t="n">
        <v>52</v>
      </c>
      <c r="B54" s="25" t="s">
        <v>1218</v>
      </c>
      <c r="C54" s="25" t="s">
        <v>1869</v>
      </c>
      <c r="D54" s="25" t="s">
        <v>78</v>
      </c>
      <c r="E54" s="25" t="s">
        <v>1707</v>
      </c>
      <c r="F54" s="26" t="n">
        <v>44702</v>
      </c>
      <c r="G54" s="26" t="n">
        <v>2958465</v>
      </c>
      <c r="H54" s="27" t="b">
        <f aca="false">TRUE()</f>
        <v>1</v>
      </c>
      <c r="I54" s="25" t="s">
        <v>1870</v>
      </c>
      <c r="J54" s="25" t="s">
        <v>1871</v>
      </c>
      <c r="K54" s="25" t="s">
        <v>79</v>
      </c>
      <c r="L54" s="25" t="s">
        <v>1754</v>
      </c>
      <c r="M54" s="25" t="s">
        <v>188</v>
      </c>
      <c r="N54" s="26" t="n">
        <v>44702</v>
      </c>
    </row>
    <row r="55" customFormat="false" ht="15" hidden="false" customHeight="false" outlineLevel="0" collapsed="false">
      <c r="A55" s="25" t="n">
        <v>53</v>
      </c>
      <c r="B55" s="25" t="s">
        <v>1872</v>
      </c>
      <c r="C55" s="25" t="s">
        <v>1873</v>
      </c>
      <c r="D55" s="25" t="s">
        <v>82</v>
      </c>
      <c r="E55" s="25" t="s">
        <v>1707</v>
      </c>
      <c r="F55" s="26" t="n">
        <v>44255</v>
      </c>
      <c r="G55" s="26" t="n">
        <v>2958465</v>
      </c>
      <c r="H55" s="27" t="b">
        <f aca="false">TRUE()</f>
        <v>1</v>
      </c>
      <c r="I55" s="25" t="s">
        <v>1874</v>
      </c>
      <c r="J55" s="25" t="s">
        <v>1875</v>
      </c>
      <c r="K55" s="25" t="s">
        <v>83</v>
      </c>
      <c r="L55" s="25" t="s">
        <v>1718</v>
      </c>
      <c r="M55" s="25" t="s">
        <v>188</v>
      </c>
      <c r="N55" s="26" t="n">
        <v>44255</v>
      </c>
    </row>
    <row r="56" customFormat="false" ht="15" hidden="false" customHeight="false" outlineLevel="0" collapsed="false">
      <c r="A56" s="25" t="n">
        <v>54</v>
      </c>
      <c r="B56" s="25" t="s">
        <v>909</v>
      </c>
      <c r="C56" s="25" t="s">
        <v>1876</v>
      </c>
      <c r="D56" s="25" t="s">
        <v>78</v>
      </c>
      <c r="E56" s="25" t="s">
        <v>1707</v>
      </c>
      <c r="F56" s="26" t="n">
        <v>45046</v>
      </c>
      <c r="G56" s="26" t="n">
        <v>2958465</v>
      </c>
      <c r="H56" s="27" t="b">
        <f aca="false">TRUE()</f>
        <v>1</v>
      </c>
      <c r="I56" s="25" t="s">
        <v>1877</v>
      </c>
      <c r="J56" s="25" t="s">
        <v>1878</v>
      </c>
      <c r="K56" s="25" t="s">
        <v>86</v>
      </c>
      <c r="L56" s="25" t="s">
        <v>1821</v>
      </c>
      <c r="M56" s="25" t="s">
        <v>188</v>
      </c>
      <c r="N56" s="26" t="n">
        <v>45046</v>
      </c>
    </row>
    <row r="57" customFormat="false" ht="15" hidden="false" customHeight="false" outlineLevel="0" collapsed="false">
      <c r="A57" s="25" t="n">
        <v>55</v>
      </c>
      <c r="B57" s="25" t="s">
        <v>1879</v>
      </c>
      <c r="C57" s="25" t="s">
        <v>1880</v>
      </c>
      <c r="D57" s="25" t="s">
        <v>70</v>
      </c>
      <c r="E57" s="25" t="s">
        <v>1707</v>
      </c>
      <c r="F57" s="26" t="n">
        <v>46402</v>
      </c>
      <c r="G57" s="26" t="n">
        <v>2958465</v>
      </c>
      <c r="H57" s="27" t="b">
        <f aca="false">TRUE()</f>
        <v>1</v>
      </c>
      <c r="I57" s="25" t="s">
        <v>1881</v>
      </c>
      <c r="J57" s="25" t="s">
        <v>1882</v>
      </c>
      <c r="K57" s="25" t="s">
        <v>1738</v>
      </c>
      <c r="L57" s="25" t="s">
        <v>1739</v>
      </c>
      <c r="M57" s="25" t="s">
        <v>188</v>
      </c>
      <c r="N57" s="26" t="n">
        <v>46402</v>
      </c>
    </row>
    <row r="58" customFormat="false" ht="15" hidden="false" customHeight="false" outlineLevel="0" collapsed="false">
      <c r="A58" s="25" t="n">
        <v>56</v>
      </c>
      <c r="B58" s="25" t="s">
        <v>1883</v>
      </c>
      <c r="C58" s="25" t="s">
        <v>1884</v>
      </c>
      <c r="D58" s="25" t="s">
        <v>74</v>
      </c>
      <c r="E58" s="25" t="s">
        <v>1707</v>
      </c>
      <c r="F58" s="26" t="n">
        <v>45166</v>
      </c>
      <c r="G58" s="26" t="n">
        <v>2958465</v>
      </c>
      <c r="H58" s="27" t="b">
        <f aca="false">TRUE()</f>
        <v>1</v>
      </c>
      <c r="I58" s="25" t="s">
        <v>1885</v>
      </c>
      <c r="J58" s="25" t="s">
        <v>1886</v>
      </c>
      <c r="K58" s="25" t="s">
        <v>1770</v>
      </c>
      <c r="L58" s="25" t="s">
        <v>1739</v>
      </c>
      <c r="M58" s="25" t="s">
        <v>188</v>
      </c>
      <c r="N58" s="26" t="n">
        <v>45166</v>
      </c>
    </row>
    <row r="59" customFormat="false" ht="15" hidden="false" customHeight="false" outlineLevel="0" collapsed="false">
      <c r="A59" s="25" t="n">
        <v>57</v>
      </c>
      <c r="B59" s="25" t="s">
        <v>1648</v>
      </c>
      <c r="C59" s="25" t="s">
        <v>1887</v>
      </c>
      <c r="D59" s="25" t="s">
        <v>78</v>
      </c>
      <c r="E59" s="25" t="s">
        <v>1707</v>
      </c>
      <c r="F59" s="26" t="n">
        <v>45528</v>
      </c>
      <c r="G59" s="26" t="n">
        <v>2958465</v>
      </c>
      <c r="H59" s="27" t="b">
        <f aca="false">TRUE()</f>
        <v>1</v>
      </c>
      <c r="I59" s="25" t="s">
        <v>1888</v>
      </c>
      <c r="J59" s="25" t="s">
        <v>1889</v>
      </c>
      <c r="K59" s="25" t="s">
        <v>75</v>
      </c>
      <c r="L59" s="25" t="s">
        <v>1722</v>
      </c>
      <c r="M59" s="25" t="s">
        <v>188</v>
      </c>
      <c r="N59" s="26" t="n">
        <v>45528</v>
      </c>
    </row>
    <row r="60" customFormat="false" ht="15" hidden="false" customHeight="false" outlineLevel="0" collapsed="false">
      <c r="A60" s="25" t="n">
        <v>58</v>
      </c>
      <c r="B60" s="25" t="s">
        <v>1690</v>
      </c>
      <c r="C60" s="25" t="s">
        <v>1890</v>
      </c>
      <c r="D60" s="25" t="s">
        <v>74</v>
      </c>
      <c r="E60" s="25" t="s">
        <v>1707</v>
      </c>
      <c r="F60" s="26" t="n">
        <v>44235</v>
      </c>
      <c r="G60" s="26" t="n">
        <v>2958465</v>
      </c>
      <c r="H60" s="27" t="b">
        <f aca="false">TRUE()</f>
        <v>1</v>
      </c>
      <c r="I60" s="25" t="s">
        <v>1891</v>
      </c>
      <c r="J60" s="25" t="s">
        <v>1892</v>
      </c>
      <c r="K60" s="25" t="s">
        <v>75</v>
      </c>
      <c r="L60" s="25" t="s">
        <v>1722</v>
      </c>
      <c r="M60" s="25" t="s">
        <v>188</v>
      </c>
      <c r="N60" s="26" t="n">
        <v>44235</v>
      </c>
    </row>
    <row r="61" customFormat="false" ht="15" hidden="false" customHeight="false" outlineLevel="0" collapsed="false">
      <c r="A61" s="25" t="n">
        <v>59</v>
      </c>
      <c r="B61" s="25" t="s">
        <v>964</v>
      </c>
      <c r="C61" s="25" t="s">
        <v>1893</v>
      </c>
      <c r="D61" s="25" t="s">
        <v>82</v>
      </c>
      <c r="E61" s="25" t="s">
        <v>1707</v>
      </c>
      <c r="F61" s="26" t="n">
        <v>44967</v>
      </c>
      <c r="G61" s="26" t="n">
        <v>2958465</v>
      </c>
      <c r="H61" s="27" t="b">
        <f aca="false">TRUE()</f>
        <v>1</v>
      </c>
      <c r="I61" s="25" t="s">
        <v>1894</v>
      </c>
      <c r="J61" s="25" t="s">
        <v>1895</v>
      </c>
      <c r="K61" s="25" t="s">
        <v>71</v>
      </c>
      <c r="L61" s="25" t="s">
        <v>1773</v>
      </c>
      <c r="M61" s="25" t="s">
        <v>188</v>
      </c>
      <c r="N61" s="26" t="n">
        <v>44967</v>
      </c>
    </row>
    <row r="62" customFormat="false" ht="15" hidden="false" customHeight="false" outlineLevel="0" collapsed="false">
      <c r="A62" s="25" t="n">
        <v>60</v>
      </c>
      <c r="B62" s="25" t="s">
        <v>790</v>
      </c>
      <c r="C62" s="25" t="s">
        <v>1896</v>
      </c>
      <c r="D62" s="25" t="s">
        <v>78</v>
      </c>
      <c r="E62" s="25" t="s">
        <v>1707</v>
      </c>
      <c r="F62" s="26" t="n">
        <v>44803</v>
      </c>
      <c r="G62" s="26" t="n">
        <v>2958465</v>
      </c>
      <c r="H62" s="27" t="b">
        <f aca="false">TRUE()</f>
        <v>1</v>
      </c>
      <c r="I62" s="25" t="s">
        <v>1897</v>
      </c>
      <c r="J62" s="25" t="s">
        <v>1898</v>
      </c>
      <c r="K62" s="25" t="s">
        <v>71</v>
      </c>
      <c r="L62" s="25" t="s">
        <v>1773</v>
      </c>
      <c r="M62" s="25" t="s">
        <v>188</v>
      </c>
      <c r="N62" s="26" t="n">
        <v>44803</v>
      </c>
    </row>
    <row r="63" customFormat="false" ht="15" hidden="false" customHeight="false" outlineLevel="0" collapsed="false">
      <c r="A63" s="25" t="n">
        <v>61</v>
      </c>
      <c r="B63" s="25" t="s">
        <v>76</v>
      </c>
      <c r="C63" s="25" t="s">
        <v>77</v>
      </c>
      <c r="D63" s="25" t="s">
        <v>78</v>
      </c>
      <c r="E63" s="25" t="s">
        <v>1707</v>
      </c>
      <c r="F63" s="26" t="n">
        <v>45106</v>
      </c>
      <c r="G63" s="26" t="n">
        <v>2958465</v>
      </c>
      <c r="H63" s="27" t="b">
        <f aca="false">TRUE()</f>
        <v>1</v>
      </c>
      <c r="I63" s="25" t="s">
        <v>1899</v>
      </c>
      <c r="J63" s="25" t="s">
        <v>1900</v>
      </c>
      <c r="K63" s="25" t="s">
        <v>79</v>
      </c>
      <c r="L63" s="25" t="s">
        <v>1754</v>
      </c>
      <c r="M63" s="25" t="s">
        <v>188</v>
      </c>
      <c r="N63" s="26" t="n">
        <v>45106</v>
      </c>
    </row>
    <row r="64" customFormat="false" ht="15" hidden="false" customHeight="false" outlineLevel="0" collapsed="false">
      <c r="A64" s="25" t="n">
        <v>62</v>
      </c>
      <c r="B64" s="25" t="s">
        <v>1091</v>
      </c>
      <c r="C64" s="25" t="s">
        <v>1901</v>
      </c>
      <c r="D64" s="25" t="s">
        <v>74</v>
      </c>
      <c r="E64" s="25" t="s">
        <v>1707</v>
      </c>
      <c r="F64" s="26" t="n">
        <v>44246</v>
      </c>
      <c r="G64" s="26" t="n">
        <v>2958465</v>
      </c>
      <c r="H64" s="27" t="b">
        <f aca="false">TRUE()</f>
        <v>1</v>
      </c>
      <c r="I64" s="25" t="s">
        <v>1902</v>
      </c>
      <c r="J64" s="25" t="s">
        <v>1903</v>
      </c>
      <c r="K64" s="25" t="s">
        <v>83</v>
      </c>
      <c r="L64" s="25" t="s">
        <v>1718</v>
      </c>
      <c r="M64" s="25" t="s">
        <v>188</v>
      </c>
      <c r="N64" s="26" t="n">
        <v>44246</v>
      </c>
    </row>
    <row r="65" customFormat="false" ht="15" hidden="false" customHeight="false" outlineLevel="0" collapsed="false">
      <c r="A65" s="25" t="n">
        <v>63</v>
      </c>
      <c r="B65" s="25" t="s">
        <v>1541</v>
      </c>
      <c r="C65" s="25" t="s">
        <v>1904</v>
      </c>
      <c r="D65" s="25" t="s">
        <v>78</v>
      </c>
      <c r="E65" s="25" t="s">
        <v>1707</v>
      </c>
      <c r="F65" s="26" t="n">
        <v>44340</v>
      </c>
      <c r="G65" s="26" t="n">
        <v>2958465</v>
      </c>
      <c r="H65" s="27" t="b">
        <f aca="false">TRUE()</f>
        <v>1</v>
      </c>
      <c r="I65" s="25" t="s">
        <v>1905</v>
      </c>
      <c r="J65" s="25" t="s">
        <v>1906</v>
      </c>
      <c r="K65" s="25" t="s">
        <v>1726</v>
      </c>
      <c r="L65" s="25" t="s">
        <v>1710</v>
      </c>
      <c r="M65" s="25" t="s">
        <v>188</v>
      </c>
      <c r="N65" s="26" t="n">
        <v>44340</v>
      </c>
    </row>
    <row r="66" customFormat="false" ht="15" hidden="false" customHeight="false" outlineLevel="0" collapsed="false">
      <c r="A66" s="25" t="n">
        <v>64</v>
      </c>
      <c r="B66" s="25" t="s">
        <v>1079</v>
      </c>
      <c r="C66" s="25" t="s">
        <v>1907</v>
      </c>
      <c r="D66" s="25" t="s">
        <v>78</v>
      </c>
      <c r="E66" s="25" t="s">
        <v>1707</v>
      </c>
      <c r="F66" s="26" t="n">
        <v>44222</v>
      </c>
      <c r="G66" s="26" t="n">
        <v>2958465</v>
      </c>
      <c r="H66" s="27" t="b">
        <f aca="false">TRUE()</f>
        <v>1</v>
      </c>
      <c r="I66" s="25" t="s">
        <v>1908</v>
      </c>
      <c r="J66" s="25" t="s">
        <v>1909</v>
      </c>
      <c r="K66" s="25" t="s">
        <v>75</v>
      </c>
      <c r="L66" s="25" t="s">
        <v>1722</v>
      </c>
      <c r="M66" s="25" t="s">
        <v>188</v>
      </c>
      <c r="N66" s="26" t="n">
        <v>44222</v>
      </c>
    </row>
    <row r="67" customFormat="false" ht="15" hidden="false" customHeight="false" outlineLevel="0" collapsed="false">
      <c r="A67" s="25" t="n">
        <v>65</v>
      </c>
      <c r="B67" s="25" t="s">
        <v>891</v>
      </c>
      <c r="C67" s="25" t="s">
        <v>1910</v>
      </c>
      <c r="D67" s="25" t="s">
        <v>78</v>
      </c>
      <c r="E67" s="25" t="s">
        <v>1707</v>
      </c>
      <c r="F67" s="26" t="n">
        <v>44277</v>
      </c>
      <c r="G67" s="26" t="n">
        <v>2958465</v>
      </c>
      <c r="H67" s="27" t="b">
        <f aca="false">TRUE()</f>
        <v>1</v>
      </c>
      <c r="I67" s="25" t="s">
        <v>1911</v>
      </c>
      <c r="J67" s="25" t="s">
        <v>1912</v>
      </c>
      <c r="K67" s="25" t="s">
        <v>75</v>
      </c>
      <c r="L67" s="25" t="s">
        <v>1722</v>
      </c>
      <c r="M67" s="25" t="s">
        <v>188</v>
      </c>
      <c r="N67" s="26" t="n">
        <v>44277</v>
      </c>
    </row>
    <row r="68" customFormat="false" ht="15" hidden="false" customHeight="false" outlineLevel="0" collapsed="false">
      <c r="A68" s="25" t="n">
        <v>66</v>
      </c>
      <c r="B68" s="25" t="s">
        <v>922</v>
      </c>
      <c r="C68" s="25" t="s">
        <v>1913</v>
      </c>
      <c r="D68" s="25" t="s">
        <v>74</v>
      </c>
      <c r="E68" s="25" t="s">
        <v>1707</v>
      </c>
      <c r="F68" s="26" t="n">
        <v>44555</v>
      </c>
      <c r="G68" s="26" t="n">
        <v>2958465</v>
      </c>
      <c r="H68" s="27" t="b">
        <f aca="false">TRUE()</f>
        <v>1</v>
      </c>
      <c r="I68" s="25" t="s">
        <v>1914</v>
      </c>
      <c r="J68" s="25" t="s">
        <v>1915</v>
      </c>
      <c r="K68" s="25" t="s">
        <v>1743</v>
      </c>
      <c r="L68" s="25" t="s">
        <v>1743</v>
      </c>
      <c r="M68" s="25" t="s">
        <v>188</v>
      </c>
      <c r="N68" s="26" t="n">
        <v>44555</v>
      </c>
    </row>
    <row r="69" customFormat="false" ht="15" hidden="false" customHeight="false" outlineLevel="0" collapsed="false">
      <c r="A69" s="25" t="n">
        <v>67</v>
      </c>
      <c r="B69" s="25" t="s">
        <v>894</v>
      </c>
      <c r="C69" s="25" t="s">
        <v>1916</v>
      </c>
      <c r="D69" s="25" t="s">
        <v>70</v>
      </c>
      <c r="E69" s="25" t="s">
        <v>1707</v>
      </c>
      <c r="F69" s="26" t="n">
        <v>44770</v>
      </c>
      <c r="G69" s="26" t="n">
        <v>2958465</v>
      </c>
      <c r="H69" s="27" t="b">
        <f aca="false">TRUE()</f>
        <v>1</v>
      </c>
      <c r="I69" s="25" t="s">
        <v>1917</v>
      </c>
      <c r="J69" s="25" t="s">
        <v>1918</v>
      </c>
      <c r="K69" s="25" t="s">
        <v>75</v>
      </c>
      <c r="L69" s="25" t="s">
        <v>1722</v>
      </c>
      <c r="M69" s="25" t="s">
        <v>188</v>
      </c>
      <c r="N69" s="26" t="n">
        <v>44770</v>
      </c>
    </row>
    <row r="70" customFormat="false" ht="15" hidden="false" customHeight="false" outlineLevel="0" collapsed="false">
      <c r="A70" s="25" t="n">
        <v>68</v>
      </c>
      <c r="B70" s="25" t="s">
        <v>1252</v>
      </c>
      <c r="C70" s="25" t="s">
        <v>1919</v>
      </c>
      <c r="D70" s="25" t="s">
        <v>82</v>
      </c>
      <c r="E70" s="25" t="s">
        <v>1707</v>
      </c>
      <c r="F70" s="26" t="n">
        <v>44571</v>
      </c>
      <c r="G70" s="26" t="n">
        <v>2958465</v>
      </c>
      <c r="H70" s="27" t="b">
        <f aca="false">TRUE()</f>
        <v>1</v>
      </c>
      <c r="I70" s="25" t="s">
        <v>1920</v>
      </c>
      <c r="J70" s="25" t="s">
        <v>1921</v>
      </c>
      <c r="K70" s="25" t="s">
        <v>1738</v>
      </c>
      <c r="L70" s="25" t="s">
        <v>1739</v>
      </c>
      <c r="M70" s="25" t="s">
        <v>188</v>
      </c>
      <c r="N70" s="26" t="n">
        <v>44571</v>
      </c>
    </row>
    <row r="71" customFormat="false" ht="15" hidden="false" customHeight="false" outlineLevel="0" collapsed="false">
      <c r="A71" s="25" t="n">
        <v>69</v>
      </c>
      <c r="B71" s="25" t="s">
        <v>1176</v>
      </c>
      <c r="C71" s="25" t="s">
        <v>1922</v>
      </c>
      <c r="D71" s="25" t="s">
        <v>70</v>
      </c>
      <c r="E71" s="25" t="s">
        <v>1707</v>
      </c>
      <c r="F71" s="26" t="n">
        <v>44575</v>
      </c>
      <c r="G71" s="26" t="n">
        <v>2958465</v>
      </c>
      <c r="H71" s="27" t="b">
        <f aca="false">TRUE()</f>
        <v>1</v>
      </c>
      <c r="I71" s="25" t="s">
        <v>25</v>
      </c>
      <c r="J71" s="25" t="s">
        <v>1923</v>
      </c>
      <c r="K71" s="25" t="s">
        <v>75</v>
      </c>
      <c r="L71" s="25" t="s">
        <v>1722</v>
      </c>
      <c r="M71" s="25" t="s">
        <v>188</v>
      </c>
      <c r="N71" s="26" t="n">
        <v>44575</v>
      </c>
    </row>
    <row r="72" customFormat="false" ht="15" hidden="false" customHeight="false" outlineLevel="0" collapsed="false">
      <c r="A72" s="25" t="n">
        <v>70</v>
      </c>
      <c r="B72" s="25" t="s">
        <v>799</v>
      </c>
      <c r="C72" s="25" t="s">
        <v>1924</v>
      </c>
      <c r="D72" s="25" t="s">
        <v>70</v>
      </c>
      <c r="E72" s="25" t="s">
        <v>1707</v>
      </c>
      <c r="F72" s="26" t="n">
        <v>44911</v>
      </c>
      <c r="G72" s="26" t="n">
        <v>2958465</v>
      </c>
      <c r="H72" s="27" t="b">
        <f aca="false">TRUE()</f>
        <v>1</v>
      </c>
      <c r="I72" s="25" t="s">
        <v>25</v>
      </c>
      <c r="J72" s="25" t="s">
        <v>1925</v>
      </c>
      <c r="K72" s="25" t="s">
        <v>79</v>
      </c>
      <c r="L72" s="25" t="s">
        <v>1754</v>
      </c>
      <c r="M72" s="25" t="s">
        <v>188</v>
      </c>
      <c r="N72" s="26" t="n">
        <v>44911</v>
      </c>
    </row>
    <row r="73" customFormat="false" ht="15" hidden="false" customHeight="false" outlineLevel="0" collapsed="false">
      <c r="A73" s="25" t="n">
        <v>71</v>
      </c>
      <c r="B73" s="25" t="s">
        <v>961</v>
      </c>
      <c r="C73" s="25" t="s">
        <v>1926</v>
      </c>
      <c r="D73" s="25" t="s">
        <v>78</v>
      </c>
      <c r="E73" s="25" t="s">
        <v>1707</v>
      </c>
      <c r="F73" s="26" t="n">
        <v>45279</v>
      </c>
      <c r="G73" s="26" t="n">
        <v>2958465</v>
      </c>
      <c r="H73" s="27" t="b">
        <f aca="false">TRUE()</f>
        <v>1</v>
      </c>
      <c r="I73" s="25" t="s">
        <v>1927</v>
      </c>
      <c r="J73" s="25" t="s">
        <v>1928</v>
      </c>
      <c r="K73" s="25" t="s">
        <v>79</v>
      </c>
      <c r="L73" s="25" t="s">
        <v>1754</v>
      </c>
      <c r="M73" s="25" t="s">
        <v>188</v>
      </c>
      <c r="N73" s="26" t="n">
        <v>45279</v>
      </c>
    </row>
    <row r="74" customFormat="false" ht="15" hidden="false" customHeight="false" outlineLevel="0" collapsed="false">
      <c r="A74" s="25" t="n">
        <v>72</v>
      </c>
      <c r="B74" s="25" t="s">
        <v>1115</v>
      </c>
      <c r="C74" s="25" t="s">
        <v>1929</v>
      </c>
      <c r="D74" s="25" t="s">
        <v>74</v>
      </c>
      <c r="E74" s="25" t="s">
        <v>1707</v>
      </c>
      <c r="F74" s="26" t="n">
        <v>44409</v>
      </c>
      <c r="G74" s="26" t="n">
        <v>2958465</v>
      </c>
      <c r="H74" s="27" t="b">
        <f aca="false">TRUE()</f>
        <v>1</v>
      </c>
      <c r="I74" s="25" t="s">
        <v>1930</v>
      </c>
      <c r="J74" s="25" t="s">
        <v>1931</v>
      </c>
      <c r="K74" s="25" t="s">
        <v>1738</v>
      </c>
      <c r="L74" s="25" t="s">
        <v>1739</v>
      </c>
      <c r="M74" s="25" t="s">
        <v>188</v>
      </c>
      <c r="N74" s="26" t="n">
        <v>44409</v>
      </c>
    </row>
    <row r="75" customFormat="false" ht="15" hidden="false" customHeight="false" outlineLevel="0" collapsed="false">
      <c r="A75" s="25" t="n">
        <v>73</v>
      </c>
      <c r="B75" s="25" t="s">
        <v>1036</v>
      </c>
      <c r="C75" s="25" t="s">
        <v>1932</v>
      </c>
      <c r="D75" s="25" t="s">
        <v>78</v>
      </c>
      <c r="E75" s="25" t="s">
        <v>1706</v>
      </c>
      <c r="F75" s="26" t="n">
        <v>44694</v>
      </c>
      <c r="G75" s="26" t="n">
        <v>2958465</v>
      </c>
      <c r="H75" s="27" t="b">
        <f aca="false">TRUE()</f>
        <v>1</v>
      </c>
      <c r="I75" s="25" t="s">
        <v>1933</v>
      </c>
      <c r="J75" s="25" t="s">
        <v>1934</v>
      </c>
      <c r="K75" s="25" t="s">
        <v>1738</v>
      </c>
      <c r="L75" s="25" t="s">
        <v>1739</v>
      </c>
      <c r="M75" s="25" t="s">
        <v>188</v>
      </c>
      <c r="N75" s="26" t="n">
        <v>44694</v>
      </c>
    </row>
    <row r="76" customFormat="false" ht="15" hidden="false" customHeight="false" outlineLevel="0" collapsed="false">
      <c r="A76" s="25" t="n">
        <v>74</v>
      </c>
      <c r="B76" s="25" t="s">
        <v>1687</v>
      </c>
      <c r="C76" s="25" t="s">
        <v>1935</v>
      </c>
      <c r="D76" s="25" t="s">
        <v>70</v>
      </c>
      <c r="E76" s="25" t="s">
        <v>1707</v>
      </c>
      <c r="F76" s="26" t="n">
        <v>45180</v>
      </c>
      <c r="G76" s="26" t="n">
        <v>2958465</v>
      </c>
      <c r="H76" s="27" t="b">
        <f aca="false">TRUE()</f>
        <v>1</v>
      </c>
      <c r="I76" s="25" t="s">
        <v>1936</v>
      </c>
      <c r="J76" s="25" t="s">
        <v>1937</v>
      </c>
      <c r="K76" s="25" t="s">
        <v>1738</v>
      </c>
      <c r="L76" s="25" t="s">
        <v>1739</v>
      </c>
      <c r="M76" s="25" t="s">
        <v>188</v>
      </c>
      <c r="N76" s="26" t="n">
        <v>45180</v>
      </c>
    </row>
    <row r="77" customFormat="false" ht="15" hidden="false" customHeight="false" outlineLevel="0" collapsed="false">
      <c r="A77" s="25" t="n">
        <v>75</v>
      </c>
      <c r="B77" s="25" t="s">
        <v>1938</v>
      </c>
      <c r="C77" s="25" t="s">
        <v>1939</v>
      </c>
      <c r="D77" s="25" t="s">
        <v>78</v>
      </c>
      <c r="E77" s="25" t="s">
        <v>1707</v>
      </c>
      <c r="F77" s="26" t="n">
        <v>45038</v>
      </c>
      <c r="G77" s="26" t="n">
        <v>2958465</v>
      </c>
      <c r="H77" s="27" t="b">
        <f aca="false">TRUE()</f>
        <v>1</v>
      </c>
      <c r="I77" s="25" t="s">
        <v>1940</v>
      </c>
      <c r="J77" s="25" t="s">
        <v>1941</v>
      </c>
      <c r="K77" s="25" t="s">
        <v>1770</v>
      </c>
      <c r="L77" s="25" t="s">
        <v>1739</v>
      </c>
      <c r="M77" s="25" t="s">
        <v>188</v>
      </c>
      <c r="N77" s="26" t="n">
        <v>45038</v>
      </c>
    </row>
    <row r="78" customFormat="false" ht="15" hidden="false" customHeight="false" outlineLevel="0" collapsed="false">
      <c r="A78" s="25" t="n">
        <v>76</v>
      </c>
      <c r="B78" s="25" t="s">
        <v>1551</v>
      </c>
      <c r="C78" s="25" t="s">
        <v>1942</v>
      </c>
      <c r="D78" s="25" t="s">
        <v>82</v>
      </c>
      <c r="E78" s="25" t="s">
        <v>1707</v>
      </c>
      <c r="F78" s="26" t="n">
        <v>45222</v>
      </c>
      <c r="G78" s="26" t="n">
        <v>2958465</v>
      </c>
      <c r="H78" s="27" t="b">
        <f aca="false">TRUE()</f>
        <v>1</v>
      </c>
      <c r="I78" s="25" t="s">
        <v>1943</v>
      </c>
      <c r="J78" s="25" t="s">
        <v>1944</v>
      </c>
      <c r="K78" s="25" t="s">
        <v>75</v>
      </c>
      <c r="L78" s="25" t="s">
        <v>1722</v>
      </c>
      <c r="M78" s="25" t="s">
        <v>188</v>
      </c>
      <c r="N78" s="26" t="n">
        <v>45222</v>
      </c>
    </row>
    <row r="79" customFormat="false" ht="15" hidden="false" customHeight="false" outlineLevel="0" collapsed="false">
      <c r="A79" s="25" t="n">
        <v>77</v>
      </c>
      <c r="B79" s="25" t="s">
        <v>856</v>
      </c>
      <c r="C79" s="25" t="s">
        <v>1945</v>
      </c>
      <c r="D79" s="25" t="s">
        <v>70</v>
      </c>
      <c r="E79" s="25" t="s">
        <v>1707</v>
      </c>
      <c r="F79" s="26" t="n">
        <v>44527</v>
      </c>
      <c r="G79" s="26" t="n">
        <v>2958465</v>
      </c>
      <c r="H79" s="27" t="b">
        <f aca="false">TRUE()</f>
        <v>1</v>
      </c>
      <c r="I79" s="25" t="s">
        <v>1946</v>
      </c>
      <c r="J79" s="25" t="s">
        <v>1947</v>
      </c>
      <c r="K79" s="25" t="s">
        <v>1743</v>
      </c>
      <c r="L79" s="25" t="s">
        <v>1743</v>
      </c>
      <c r="M79" s="25" t="s">
        <v>188</v>
      </c>
      <c r="N79" s="26" t="n">
        <v>44527</v>
      </c>
    </row>
    <row r="80" customFormat="false" ht="15" hidden="false" customHeight="false" outlineLevel="0" collapsed="false">
      <c r="A80" s="25" t="n">
        <v>78</v>
      </c>
      <c r="B80" s="25" t="s">
        <v>917</v>
      </c>
      <c r="C80" s="25" t="s">
        <v>1948</v>
      </c>
      <c r="D80" s="25" t="s">
        <v>78</v>
      </c>
      <c r="E80" s="25" t="s">
        <v>1707</v>
      </c>
      <c r="F80" s="26" t="n">
        <v>46402</v>
      </c>
      <c r="G80" s="26" t="n">
        <v>2958465</v>
      </c>
      <c r="H80" s="27" t="b">
        <f aca="false">TRUE()</f>
        <v>1</v>
      </c>
      <c r="I80" s="25" t="s">
        <v>1949</v>
      </c>
      <c r="J80" s="25" t="s">
        <v>1950</v>
      </c>
      <c r="K80" s="25" t="s">
        <v>1743</v>
      </c>
      <c r="L80" s="25" t="s">
        <v>1743</v>
      </c>
      <c r="M80" s="25" t="s">
        <v>188</v>
      </c>
      <c r="N80" s="26" t="n">
        <v>46402</v>
      </c>
    </row>
    <row r="81" customFormat="false" ht="15" hidden="false" customHeight="false" outlineLevel="0" collapsed="false">
      <c r="A81" s="25" t="n">
        <v>79</v>
      </c>
      <c r="B81" s="25" t="s">
        <v>925</v>
      </c>
      <c r="C81" s="25" t="s">
        <v>1951</v>
      </c>
      <c r="D81" s="25" t="s">
        <v>82</v>
      </c>
      <c r="E81" s="25" t="s">
        <v>1707</v>
      </c>
      <c r="F81" s="26" t="n">
        <v>45340</v>
      </c>
      <c r="G81" s="26" t="n">
        <v>2958465</v>
      </c>
      <c r="H81" s="27" t="b">
        <f aca="false">TRUE()</f>
        <v>1</v>
      </c>
      <c r="I81" s="25" t="s">
        <v>1952</v>
      </c>
      <c r="J81" s="25" t="s">
        <v>1953</v>
      </c>
      <c r="K81" s="25" t="s">
        <v>97</v>
      </c>
      <c r="L81" s="25" t="s">
        <v>1743</v>
      </c>
      <c r="M81" s="25" t="s">
        <v>188</v>
      </c>
      <c r="N81" s="26" t="n">
        <v>45340</v>
      </c>
    </row>
    <row r="82" customFormat="false" ht="15" hidden="false" customHeight="false" outlineLevel="0" collapsed="false">
      <c r="A82" s="25" t="n">
        <v>80</v>
      </c>
      <c r="B82" s="25" t="s">
        <v>1954</v>
      </c>
      <c r="C82" s="25" t="s">
        <v>1955</v>
      </c>
      <c r="D82" s="25" t="s">
        <v>78</v>
      </c>
      <c r="E82" s="25" t="s">
        <v>1707</v>
      </c>
      <c r="F82" s="26" t="n">
        <v>44649</v>
      </c>
      <c r="G82" s="26" t="n">
        <v>2958465</v>
      </c>
      <c r="H82" s="27" t="b">
        <f aca="false">TRUE()</f>
        <v>1</v>
      </c>
      <c r="I82" s="25" t="s">
        <v>25</v>
      </c>
      <c r="J82" s="25" t="s">
        <v>25</v>
      </c>
      <c r="K82" s="25" t="s">
        <v>83</v>
      </c>
      <c r="L82" s="25" t="s">
        <v>1718</v>
      </c>
      <c r="M82" s="25" t="s">
        <v>188</v>
      </c>
      <c r="N82" s="26" t="n">
        <v>44649</v>
      </c>
    </row>
    <row r="83" customFormat="false" ht="15" hidden="false" customHeight="false" outlineLevel="0" collapsed="false">
      <c r="A83" s="25" t="n">
        <v>81</v>
      </c>
      <c r="B83" s="25" t="s">
        <v>1576</v>
      </c>
      <c r="C83" s="25" t="s">
        <v>1956</v>
      </c>
      <c r="D83" s="25" t="s">
        <v>78</v>
      </c>
      <c r="E83" s="25" t="s">
        <v>1707</v>
      </c>
      <c r="F83" s="26" t="n">
        <v>44770</v>
      </c>
      <c r="G83" s="26" t="n">
        <v>2958465</v>
      </c>
      <c r="H83" s="27" t="b">
        <f aca="false">TRUE()</f>
        <v>1</v>
      </c>
      <c r="I83" s="25" t="s">
        <v>1957</v>
      </c>
      <c r="J83" s="25" t="s">
        <v>1958</v>
      </c>
      <c r="K83" s="25" t="s">
        <v>1738</v>
      </c>
      <c r="L83" s="25" t="s">
        <v>1739</v>
      </c>
      <c r="M83" s="25" t="s">
        <v>188</v>
      </c>
      <c r="N83" s="26" t="n">
        <v>44770</v>
      </c>
    </row>
    <row r="84" customFormat="false" ht="15" hidden="false" customHeight="false" outlineLevel="0" collapsed="false">
      <c r="A84" s="25" t="n">
        <v>82</v>
      </c>
      <c r="B84" s="25" t="s">
        <v>1110</v>
      </c>
      <c r="C84" s="25" t="s">
        <v>1959</v>
      </c>
      <c r="D84" s="25" t="s">
        <v>78</v>
      </c>
      <c r="E84" s="25" t="s">
        <v>1707</v>
      </c>
      <c r="F84" s="26" t="n">
        <v>45078</v>
      </c>
      <c r="G84" s="26" t="n">
        <v>2958465</v>
      </c>
      <c r="H84" s="27" t="b">
        <f aca="false">TRUE()</f>
        <v>1</v>
      </c>
      <c r="I84" s="25" t="s">
        <v>1960</v>
      </c>
      <c r="J84" s="25" t="s">
        <v>1961</v>
      </c>
      <c r="K84" s="25" t="s">
        <v>86</v>
      </c>
      <c r="L84" s="25" t="s">
        <v>1821</v>
      </c>
      <c r="M84" s="25" t="s">
        <v>188</v>
      </c>
      <c r="N84" s="26" t="n">
        <v>45078</v>
      </c>
    </row>
    <row r="85" customFormat="false" ht="15" hidden="false" customHeight="false" outlineLevel="0" collapsed="false">
      <c r="A85" s="25" t="n">
        <v>83</v>
      </c>
      <c r="B85" s="25" t="s">
        <v>853</v>
      </c>
      <c r="C85" s="25" t="s">
        <v>1962</v>
      </c>
      <c r="D85" s="25" t="s">
        <v>74</v>
      </c>
      <c r="E85" s="25" t="s">
        <v>1707</v>
      </c>
      <c r="F85" s="26" t="n">
        <v>45140</v>
      </c>
      <c r="G85" s="26" t="n">
        <v>2958465</v>
      </c>
      <c r="H85" s="27" t="b">
        <f aca="false">TRUE()</f>
        <v>1</v>
      </c>
      <c r="I85" s="25" t="s">
        <v>1963</v>
      </c>
      <c r="J85" s="25" t="s">
        <v>1964</v>
      </c>
      <c r="K85" s="25" t="s">
        <v>1738</v>
      </c>
      <c r="L85" s="25" t="s">
        <v>1739</v>
      </c>
      <c r="M85" s="25" t="s">
        <v>188</v>
      </c>
      <c r="N85" s="26" t="n">
        <v>45140</v>
      </c>
    </row>
    <row r="86" customFormat="false" ht="15" hidden="false" customHeight="false" outlineLevel="0" collapsed="false">
      <c r="A86" s="25" t="n">
        <v>84</v>
      </c>
      <c r="B86" s="25" t="s">
        <v>1965</v>
      </c>
      <c r="C86" s="25" t="s">
        <v>1966</v>
      </c>
      <c r="D86" s="25" t="s">
        <v>78</v>
      </c>
      <c r="E86" s="25" t="s">
        <v>1707</v>
      </c>
      <c r="F86" s="26" t="n">
        <v>44816</v>
      </c>
      <c r="G86" s="26" t="n">
        <v>2958465</v>
      </c>
      <c r="H86" s="27" t="b">
        <f aca="false">TRUE()</f>
        <v>1</v>
      </c>
      <c r="I86" s="25" t="s">
        <v>1967</v>
      </c>
      <c r="J86" s="25" t="s">
        <v>25</v>
      </c>
      <c r="K86" s="25" t="s">
        <v>79</v>
      </c>
      <c r="L86" s="25" t="s">
        <v>1754</v>
      </c>
      <c r="M86" s="25" t="s">
        <v>188</v>
      </c>
      <c r="N86" s="26" t="n">
        <v>44816</v>
      </c>
    </row>
    <row r="87" customFormat="false" ht="15" hidden="false" customHeight="false" outlineLevel="0" collapsed="false">
      <c r="A87" s="25" t="n">
        <v>85</v>
      </c>
      <c r="B87" s="25" t="s">
        <v>90</v>
      </c>
      <c r="C87" s="25" t="s">
        <v>91</v>
      </c>
      <c r="D87" s="25" t="s">
        <v>74</v>
      </c>
      <c r="E87" s="25" t="s">
        <v>1707</v>
      </c>
      <c r="F87" s="26" t="n">
        <v>44977</v>
      </c>
      <c r="G87" s="26" t="n">
        <v>2958465</v>
      </c>
      <c r="H87" s="27" t="b">
        <f aca="false">TRUE()</f>
        <v>1</v>
      </c>
      <c r="I87" s="25" t="s">
        <v>1968</v>
      </c>
      <c r="J87" s="25" t="s">
        <v>1969</v>
      </c>
      <c r="K87" s="25" t="s">
        <v>79</v>
      </c>
      <c r="L87" s="25" t="s">
        <v>1754</v>
      </c>
      <c r="M87" s="25" t="s">
        <v>188</v>
      </c>
      <c r="N87" s="26" t="n">
        <v>44977</v>
      </c>
    </row>
    <row r="88" customFormat="false" ht="15" hidden="false" customHeight="false" outlineLevel="0" collapsed="false">
      <c r="A88" s="25" t="n">
        <v>86</v>
      </c>
      <c r="B88" s="25" t="s">
        <v>1549</v>
      </c>
      <c r="C88" s="25" t="s">
        <v>1970</v>
      </c>
      <c r="D88" s="25" t="s">
        <v>82</v>
      </c>
      <c r="E88" s="25" t="s">
        <v>1707</v>
      </c>
      <c r="F88" s="26" t="n">
        <v>44210</v>
      </c>
      <c r="G88" s="26" t="n">
        <v>2958465</v>
      </c>
      <c r="H88" s="27" t="b">
        <f aca="false">TRUE()</f>
        <v>1</v>
      </c>
      <c r="I88" s="25" t="s">
        <v>1971</v>
      </c>
      <c r="J88" s="25" t="s">
        <v>1972</v>
      </c>
      <c r="K88" s="25" t="s">
        <v>1770</v>
      </c>
      <c r="L88" s="25" t="s">
        <v>1739</v>
      </c>
      <c r="M88" s="25" t="s">
        <v>188</v>
      </c>
      <c r="N88" s="26" t="n">
        <v>44210</v>
      </c>
    </row>
    <row r="89" customFormat="false" ht="15" hidden="false" customHeight="false" outlineLevel="0" collapsed="false">
      <c r="A89" s="25" t="n">
        <v>87</v>
      </c>
      <c r="B89" s="25" t="s">
        <v>1437</v>
      </c>
      <c r="C89" s="25" t="s">
        <v>1973</v>
      </c>
      <c r="D89" s="25" t="s">
        <v>78</v>
      </c>
      <c r="E89" s="25" t="s">
        <v>1707</v>
      </c>
      <c r="F89" s="26" t="n">
        <v>44697</v>
      </c>
      <c r="G89" s="26" t="n">
        <v>2958465</v>
      </c>
      <c r="H89" s="27" t="b">
        <f aca="false">TRUE()</f>
        <v>1</v>
      </c>
      <c r="I89" s="25" t="s">
        <v>25</v>
      </c>
      <c r="J89" s="25" t="s">
        <v>1974</v>
      </c>
      <c r="K89" s="25" t="s">
        <v>86</v>
      </c>
      <c r="L89" s="25" t="s">
        <v>1821</v>
      </c>
      <c r="M89" s="25" t="s">
        <v>188</v>
      </c>
      <c r="N89" s="26" t="n">
        <v>44697</v>
      </c>
    </row>
    <row r="90" customFormat="false" ht="15" hidden="false" customHeight="false" outlineLevel="0" collapsed="false">
      <c r="A90" s="25" t="n">
        <v>88</v>
      </c>
      <c r="B90" s="25" t="s">
        <v>824</v>
      </c>
      <c r="C90" s="25" t="s">
        <v>1975</v>
      </c>
      <c r="D90" s="25" t="s">
        <v>78</v>
      </c>
      <c r="E90" s="25" t="s">
        <v>1707</v>
      </c>
      <c r="F90" s="26" t="n">
        <v>45090</v>
      </c>
      <c r="G90" s="26" t="n">
        <v>2958465</v>
      </c>
      <c r="H90" s="27" t="b">
        <f aca="false">TRUE()</f>
        <v>1</v>
      </c>
      <c r="I90" s="25" t="s">
        <v>1976</v>
      </c>
      <c r="J90" s="25" t="s">
        <v>1977</v>
      </c>
      <c r="K90" s="25" t="s">
        <v>89</v>
      </c>
      <c r="L90" s="25" t="s">
        <v>1710</v>
      </c>
      <c r="M90" s="25" t="s">
        <v>188</v>
      </c>
      <c r="N90" s="26" t="n">
        <v>45090</v>
      </c>
    </row>
    <row r="91" customFormat="false" ht="15" hidden="false" customHeight="false" outlineLevel="0" collapsed="false">
      <c r="A91" s="25" t="n">
        <v>89</v>
      </c>
      <c r="B91" s="25" t="s">
        <v>1267</v>
      </c>
      <c r="C91" s="25" t="s">
        <v>1978</v>
      </c>
      <c r="D91" s="25" t="s">
        <v>70</v>
      </c>
      <c r="E91" s="25" t="s">
        <v>1707</v>
      </c>
      <c r="F91" s="26" t="n">
        <v>44791</v>
      </c>
      <c r="G91" s="26" t="n">
        <v>2958465</v>
      </c>
      <c r="H91" s="27" t="b">
        <f aca="false">TRUE()</f>
        <v>1</v>
      </c>
      <c r="I91" s="25" t="s">
        <v>1979</v>
      </c>
      <c r="J91" s="25" t="s">
        <v>1980</v>
      </c>
      <c r="K91" s="25" t="s">
        <v>71</v>
      </c>
      <c r="L91" s="25" t="s">
        <v>1773</v>
      </c>
      <c r="M91" s="25" t="s">
        <v>188</v>
      </c>
      <c r="N91" s="26" t="n">
        <v>44791</v>
      </c>
    </row>
    <row r="92" customFormat="false" ht="15" hidden="false" customHeight="false" outlineLevel="0" collapsed="false">
      <c r="A92" s="25" t="n">
        <v>90</v>
      </c>
      <c r="B92" s="25" t="s">
        <v>1068</v>
      </c>
      <c r="C92" s="25" t="s">
        <v>1981</v>
      </c>
      <c r="D92" s="25" t="s">
        <v>78</v>
      </c>
      <c r="E92" s="25" t="s">
        <v>1707</v>
      </c>
      <c r="F92" s="26" t="n">
        <v>45288</v>
      </c>
      <c r="G92" s="26" t="n">
        <v>2958465</v>
      </c>
      <c r="H92" s="27" t="b">
        <f aca="false">TRUE()</f>
        <v>1</v>
      </c>
      <c r="I92" s="25" t="s">
        <v>1982</v>
      </c>
      <c r="J92" s="25" t="s">
        <v>1983</v>
      </c>
      <c r="K92" s="25" t="s">
        <v>83</v>
      </c>
      <c r="L92" s="25" t="s">
        <v>1718</v>
      </c>
      <c r="M92" s="25" t="s">
        <v>188</v>
      </c>
      <c r="N92" s="26" t="n">
        <v>45288</v>
      </c>
    </row>
    <row r="93" customFormat="false" ht="15" hidden="false" customHeight="false" outlineLevel="0" collapsed="false">
      <c r="A93" s="25" t="n">
        <v>91</v>
      </c>
      <c r="B93" s="25" t="s">
        <v>990</v>
      </c>
      <c r="C93" s="25" t="s">
        <v>1984</v>
      </c>
      <c r="D93" s="25" t="s">
        <v>70</v>
      </c>
      <c r="E93" s="25" t="s">
        <v>1707</v>
      </c>
      <c r="F93" s="26" t="n">
        <v>44476</v>
      </c>
      <c r="G93" s="26" t="n">
        <v>2958465</v>
      </c>
      <c r="H93" s="27" t="b">
        <f aca="false">TRUE()</f>
        <v>1</v>
      </c>
      <c r="I93" s="25" t="s">
        <v>1985</v>
      </c>
      <c r="J93" s="25" t="s">
        <v>1986</v>
      </c>
      <c r="K93" s="25" t="s">
        <v>94</v>
      </c>
      <c r="L93" s="25" t="s">
        <v>1714</v>
      </c>
      <c r="M93" s="25" t="s">
        <v>188</v>
      </c>
      <c r="N93" s="26" t="n">
        <v>44476</v>
      </c>
    </row>
    <row r="94" customFormat="false" ht="15" hidden="false" customHeight="false" outlineLevel="0" collapsed="false">
      <c r="A94" s="25" t="n">
        <v>92</v>
      </c>
      <c r="B94" s="25" t="s">
        <v>1056</v>
      </c>
      <c r="C94" s="25" t="s">
        <v>1987</v>
      </c>
      <c r="D94" s="25" t="s">
        <v>70</v>
      </c>
      <c r="E94" s="25" t="s">
        <v>1707</v>
      </c>
      <c r="F94" s="26" t="n">
        <v>44321</v>
      </c>
      <c r="G94" s="26" t="n">
        <v>2958465</v>
      </c>
      <c r="H94" s="27" t="b">
        <f aca="false">TRUE()</f>
        <v>1</v>
      </c>
      <c r="I94" s="25" t="s">
        <v>1988</v>
      </c>
      <c r="J94" s="25" t="s">
        <v>1989</v>
      </c>
      <c r="K94" s="25" t="s">
        <v>79</v>
      </c>
      <c r="L94" s="25" t="s">
        <v>1754</v>
      </c>
      <c r="M94" s="25" t="s">
        <v>188</v>
      </c>
      <c r="N94" s="26" t="n">
        <v>44321</v>
      </c>
    </row>
    <row r="95" customFormat="false" ht="15" hidden="false" customHeight="false" outlineLevel="0" collapsed="false">
      <c r="A95" s="25" t="n">
        <v>93</v>
      </c>
      <c r="B95" s="25" t="s">
        <v>1990</v>
      </c>
      <c r="C95" s="25" t="s">
        <v>1991</v>
      </c>
      <c r="D95" s="25" t="s">
        <v>74</v>
      </c>
      <c r="E95" s="25" t="s">
        <v>1707</v>
      </c>
      <c r="F95" s="26" t="n">
        <v>44624</v>
      </c>
      <c r="G95" s="26" t="n">
        <v>2958465</v>
      </c>
      <c r="H95" s="27" t="b">
        <f aca="false">TRUE()</f>
        <v>1</v>
      </c>
      <c r="I95" s="25" t="s">
        <v>1992</v>
      </c>
      <c r="J95" s="25" t="s">
        <v>1993</v>
      </c>
      <c r="K95" s="25" t="s">
        <v>1738</v>
      </c>
      <c r="L95" s="25" t="s">
        <v>1739</v>
      </c>
      <c r="M95" s="25" t="s">
        <v>188</v>
      </c>
      <c r="N95" s="26" t="n">
        <v>44624</v>
      </c>
    </row>
    <row r="96" customFormat="false" ht="15" hidden="false" customHeight="false" outlineLevel="0" collapsed="false">
      <c r="A96" s="25" t="n">
        <v>94</v>
      </c>
      <c r="B96" s="25" t="s">
        <v>1994</v>
      </c>
      <c r="C96" s="25" t="s">
        <v>1995</v>
      </c>
      <c r="D96" s="25" t="s">
        <v>74</v>
      </c>
      <c r="E96" s="25" t="s">
        <v>1707</v>
      </c>
      <c r="F96" s="26" t="n">
        <v>44973</v>
      </c>
      <c r="G96" s="26" t="n">
        <v>2958465</v>
      </c>
      <c r="H96" s="27" t="b">
        <f aca="false">TRUE()</f>
        <v>1</v>
      </c>
      <c r="I96" s="25" t="s">
        <v>1996</v>
      </c>
      <c r="J96" s="25" t="s">
        <v>1997</v>
      </c>
      <c r="K96" s="25" t="s">
        <v>79</v>
      </c>
      <c r="L96" s="25" t="s">
        <v>1754</v>
      </c>
      <c r="M96" s="25" t="s">
        <v>188</v>
      </c>
      <c r="N96" s="26" t="n">
        <v>44973</v>
      </c>
    </row>
    <row r="97" customFormat="false" ht="15" hidden="false" customHeight="false" outlineLevel="0" collapsed="false">
      <c r="A97" s="25" t="n">
        <v>95</v>
      </c>
      <c r="B97" s="25" t="s">
        <v>829</v>
      </c>
      <c r="C97" s="25" t="s">
        <v>1998</v>
      </c>
      <c r="D97" s="25" t="s">
        <v>70</v>
      </c>
      <c r="E97" s="25" t="s">
        <v>1707</v>
      </c>
      <c r="F97" s="26" t="n">
        <v>45279</v>
      </c>
      <c r="G97" s="26" t="n">
        <v>2958465</v>
      </c>
      <c r="H97" s="27" t="b">
        <f aca="false">TRUE()</f>
        <v>1</v>
      </c>
      <c r="I97" s="25" t="s">
        <v>1999</v>
      </c>
      <c r="J97" s="25" t="s">
        <v>25</v>
      </c>
      <c r="K97" s="25" t="s">
        <v>71</v>
      </c>
      <c r="L97" s="25" t="s">
        <v>1773</v>
      </c>
      <c r="M97" s="25" t="s">
        <v>188</v>
      </c>
      <c r="N97" s="26" t="n">
        <v>45279</v>
      </c>
    </row>
    <row r="98" customFormat="false" ht="15" hidden="false" customHeight="false" outlineLevel="0" collapsed="false">
      <c r="A98" s="25" t="n">
        <v>96</v>
      </c>
      <c r="B98" s="25" t="s">
        <v>1385</v>
      </c>
      <c r="C98" s="25" t="s">
        <v>2000</v>
      </c>
      <c r="D98" s="25" t="s">
        <v>78</v>
      </c>
      <c r="E98" s="25" t="s">
        <v>1707</v>
      </c>
      <c r="F98" s="26" t="n">
        <v>45238</v>
      </c>
      <c r="G98" s="26" t="n">
        <v>2958465</v>
      </c>
      <c r="H98" s="27" t="b">
        <f aca="false">TRUE()</f>
        <v>1</v>
      </c>
      <c r="I98" s="25" t="s">
        <v>2001</v>
      </c>
      <c r="J98" s="25" t="s">
        <v>2002</v>
      </c>
      <c r="K98" s="25" t="s">
        <v>86</v>
      </c>
      <c r="L98" s="25" t="s">
        <v>1821</v>
      </c>
      <c r="M98" s="25" t="s">
        <v>188</v>
      </c>
      <c r="N98" s="26" t="n">
        <v>45238</v>
      </c>
    </row>
    <row r="99" customFormat="false" ht="15" hidden="false" customHeight="false" outlineLevel="0" collapsed="false">
      <c r="A99" s="25" t="n">
        <v>97</v>
      </c>
      <c r="B99" s="25" t="s">
        <v>920</v>
      </c>
      <c r="C99" s="25" t="s">
        <v>2003</v>
      </c>
      <c r="D99" s="25" t="s">
        <v>70</v>
      </c>
      <c r="E99" s="25" t="s">
        <v>1707</v>
      </c>
      <c r="F99" s="26" t="n">
        <v>45127</v>
      </c>
      <c r="G99" s="26" t="n">
        <v>2958465</v>
      </c>
      <c r="H99" s="27" t="b">
        <f aca="false">TRUE()</f>
        <v>1</v>
      </c>
      <c r="I99" s="25" t="s">
        <v>2004</v>
      </c>
      <c r="J99" s="25" t="s">
        <v>2005</v>
      </c>
      <c r="K99" s="25" t="s">
        <v>86</v>
      </c>
      <c r="L99" s="25" t="s">
        <v>1821</v>
      </c>
      <c r="M99" s="25" t="s">
        <v>188</v>
      </c>
      <c r="N99" s="26" t="n">
        <v>45127</v>
      </c>
    </row>
    <row r="100" customFormat="false" ht="15" hidden="false" customHeight="false" outlineLevel="0" collapsed="false">
      <c r="A100" s="25" t="n">
        <v>98</v>
      </c>
      <c r="B100" s="25" t="s">
        <v>837</v>
      </c>
      <c r="C100" s="25" t="s">
        <v>2006</v>
      </c>
      <c r="D100" s="25" t="s">
        <v>82</v>
      </c>
      <c r="E100" s="25" t="s">
        <v>1707</v>
      </c>
      <c r="F100" s="26" t="n">
        <v>44370</v>
      </c>
      <c r="G100" s="26" t="n">
        <v>2958465</v>
      </c>
      <c r="H100" s="27" t="b">
        <f aca="false">TRUE()</f>
        <v>1</v>
      </c>
      <c r="I100" s="25" t="s">
        <v>2007</v>
      </c>
      <c r="J100" s="25" t="s">
        <v>2008</v>
      </c>
      <c r="K100" s="25" t="s">
        <v>79</v>
      </c>
      <c r="L100" s="25" t="s">
        <v>1754</v>
      </c>
      <c r="M100" s="25" t="s">
        <v>188</v>
      </c>
      <c r="N100" s="26" t="n">
        <v>44370</v>
      </c>
    </row>
    <row r="101" customFormat="false" ht="15" hidden="false" customHeight="false" outlineLevel="0" collapsed="false">
      <c r="A101" s="25" t="n">
        <v>99</v>
      </c>
      <c r="B101" s="25" t="s">
        <v>1006</v>
      </c>
      <c r="C101" s="25" t="s">
        <v>2009</v>
      </c>
      <c r="D101" s="25" t="s">
        <v>78</v>
      </c>
      <c r="E101" s="25" t="s">
        <v>1707</v>
      </c>
      <c r="F101" s="26" t="n">
        <v>44447</v>
      </c>
      <c r="G101" s="26" t="n">
        <v>2958465</v>
      </c>
      <c r="H101" s="27" t="b">
        <f aca="false">TRUE()</f>
        <v>1</v>
      </c>
      <c r="I101" s="25" t="s">
        <v>2010</v>
      </c>
      <c r="J101" s="25" t="s">
        <v>2011</v>
      </c>
      <c r="K101" s="25" t="s">
        <v>71</v>
      </c>
      <c r="L101" s="25" t="s">
        <v>1773</v>
      </c>
      <c r="M101" s="25" t="s">
        <v>188</v>
      </c>
      <c r="N101" s="26" t="n">
        <v>44447</v>
      </c>
    </row>
    <row r="102" customFormat="false" ht="15" hidden="false" customHeight="false" outlineLevel="0" collapsed="false">
      <c r="A102" s="25" t="n">
        <v>100</v>
      </c>
      <c r="B102" s="25" t="s">
        <v>1599</v>
      </c>
      <c r="C102" s="25" t="s">
        <v>2012</v>
      </c>
      <c r="D102" s="25" t="s">
        <v>82</v>
      </c>
      <c r="E102" s="25" t="s">
        <v>1707</v>
      </c>
      <c r="F102" s="26" t="n">
        <v>44512</v>
      </c>
      <c r="G102" s="26" t="n">
        <v>2958465</v>
      </c>
      <c r="H102" s="27" t="b">
        <f aca="false">TRUE()</f>
        <v>1</v>
      </c>
      <c r="I102" s="25" t="s">
        <v>2013</v>
      </c>
      <c r="J102" s="25" t="s">
        <v>2014</v>
      </c>
      <c r="K102" s="25" t="s">
        <v>89</v>
      </c>
      <c r="L102" s="25" t="s">
        <v>1710</v>
      </c>
      <c r="M102" s="25" t="s">
        <v>188</v>
      </c>
      <c r="N102" s="26" t="n">
        <v>44512</v>
      </c>
    </row>
    <row r="103" customFormat="false" ht="15" hidden="false" customHeight="false" outlineLevel="0" collapsed="false">
      <c r="A103" s="25" t="n">
        <v>101</v>
      </c>
      <c r="B103" s="25" t="s">
        <v>774</v>
      </c>
      <c r="C103" s="25" t="s">
        <v>2015</v>
      </c>
      <c r="D103" s="25" t="s">
        <v>82</v>
      </c>
      <c r="E103" s="25" t="s">
        <v>1707</v>
      </c>
      <c r="F103" s="26" t="n">
        <v>44341</v>
      </c>
      <c r="G103" s="26" t="n">
        <v>2958465</v>
      </c>
      <c r="H103" s="27" t="b">
        <f aca="false">TRUE()</f>
        <v>1</v>
      </c>
      <c r="I103" s="25" t="s">
        <v>2016</v>
      </c>
      <c r="J103" s="25" t="s">
        <v>2017</v>
      </c>
      <c r="K103" s="25" t="s">
        <v>86</v>
      </c>
      <c r="L103" s="25" t="s">
        <v>1821</v>
      </c>
      <c r="M103" s="25" t="s">
        <v>188</v>
      </c>
      <c r="N103" s="26" t="n">
        <v>44341</v>
      </c>
    </row>
    <row r="104" customFormat="false" ht="15" hidden="false" customHeight="false" outlineLevel="0" collapsed="false">
      <c r="A104" s="25" t="n">
        <v>102</v>
      </c>
      <c r="B104" s="25" t="s">
        <v>1087</v>
      </c>
      <c r="C104" s="25" t="s">
        <v>2018</v>
      </c>
      <c r="D104" s="25" t="s">
        <v>78</v>
      </c>
      <c r="E104" s="25" t="s">
        <v>1707</v>
      </c>
      <c r="F104" s="26" t="n">
        <v>45204</v>
      </c>
      <c r="G104" s="26" t="n">
        <v>2958465</v>
      </c>
      <c r="H104" s="27" t="b">
        <f aca="false">TRUE()</f>
        <v>1</v>
      </c>
      <c r="I104" s="25" t="s">
        <v>2019</v>
      </c>
      <c r="J104" s="25" t="s">
        <v>2020</v>
      </c>
      <c r="K104" s="25" t="s">
        <v>83</v>
      </c>
      <c r="L104" s="25" t="s">
        <v>1718</v>
      </c>
      <c r="M104" s="25" t="s">
        <v>188</v>
      </c>
      <c r="N104" s="26" t="n">
        <v>45204</v>
      </c>
    </row>
    <row r="105" customFormat="false" ht="15" hidden="false" customHeight="false" outlineLevel="0" collapsed="false">
      <c r="A105" s="25" t="n">
        <v>103</v>
      </c>
      <c r="B105" s="25" t="s">
        <v>1200</v>
      </c>
      <c r="C105" s="25" t="s">
        <v>2021</v>
      </c>
      <c r="D105" s="25" t="s">
        <v>74</v>
      </c>
      <c r="E105" s="25" t="s">
        <v>1707</v>
      </c>
      <c r="F105" s="26" t="n">
        <v>44603</v>
      </c>
      <c r="G105" s="26" t="n">
        <v>2958465</v>
      </c>
      <c r="H105" s="27" t="b">
        <f aca="false">TRUE()</f>
        <v>1</v>
      </c>
      <c r="I105" s="25" t="s">
        <v>2022</v>
      </c>
      <c r="J105" s="25" t="s">
        <v>2023</v>
      </c>
      <c r="K105" s="25" t="s">
        <v>86</v>
      </c>
      <c r="L105" s="25" t="s">
        <v>1821</v>
      </c>
      <c r="M105" s="25" t="s">
        <v>188</v>
      </c>
      <c r="N105" s="26" t="n">
        <v>44603</v>
      </c>
    </row>
    <row r="106" customFormat="false" ht="15" hidden="false" customHeight="false" outlineLevel="0" collapsed="false">
      <c r="A106" s="25" t="n">
        <v>104</v>
      </c>
      <c r="B106" s="25" t="s">
        <v>1400</v>
      </c>
      <c r="C106" s="25" t="s">
        <v>2024</v>
      </c>
      <c r="D106" s="25" t="s">
        <v>74</v>
      </c>
      <c r="E106" s="25" t="s">
        <v>1707</v>
      </c>
      <c r="F106" s="26" t="n">
        <v>44464</v>
      </c>
      <c r="G106" s="26" t="n">
        <v>2958465</v>
      </c>
      <c r="H106" s="27" t="b">
        <f aca="false">TRUE()</f>
        <v>1</v>
      </c>
      <c r="I106" s="25" t="s">
        <v>2025</v>
      </c>
      <c r="J106" s="25" t="s">
        <v>2026</v>
      </c>
      <c r="K106" s="25" t="s">
        <v>89</v>
      </c>
      <c r="L106" s="25" t="s">
        <v>1710</v>
      </c>
      <c r="M106" s="25" t="s">
        <v>188</v>
      </c>
      <c r="N106" s="26" t="n">
        <v>44464</v>
      </c>
    </row>
    <row r="107" customFormat="false" ht="15" hidden="false" customHeight="false" outlineLevel="0" collapsed="false">
      <c r="A107" s="25" t="n">
        <v>105</v>
      </c>
      <c r="B107" s="25" t="s">
        <v>1236</v>
      </c>
      <c r="C107" s="25" t="s">
        <v>2027</v>
      </c>
      <c r="D107" s="25" t="s">
        <v>70</v>
      </c>
      <c r="E107" s="25" t="s">
        <v>1707</v>
      </c>
      <c r="F107" s="26" t="n">
        <v>44802</v>
      </c>
      <c r="G107" s="26" t="n">
        <v>2958465</v>
      </c>
      <c r="H107" s="27" t="b">
        <f aca="false">TRUE()</f>
        <v>1</v>
      </c>
      <c r="I107" s="25" t="s">
        <v>2028</v>
      </c>
      <c r="J107" s="25" t="s">
        <v>2029</v>
      </c>
      <c r="K107" s="25" t="s">
        <v>89</v>
      </c>
      <c r="L107" s="25" t="s">
        <v>1710</v>
      </c>
      <c r="M107" s="25" t="s">
        <v>188</v>
      </c>
      <c r="N107" s="26" t="n">
        <v>44802</v>
      </c>
    </row>
    <row r="108" customFormat="false" ht="15" hidden="false" customHeight="false" outlineLevel="0" collapsed="false">
      <c r="A108" s="25" t="n">
        <v>106</v>
      </c>
      <c r="B108" s="25" t="s">
        <v>1161</v>
      </c>
      <c r="C108" s="25" t="s">
        <v>2030</v>
      </c>
      <c r="D108" s="25" t="s">
        <v>78</v>
      </c>
      <c r="E108" s="25" t="s">
        <v>1707</v>
      </c>
      <c r="F108" s="26" t="n">
        <v>44735</v>
      </c>
      <c r="G108" s="26" t="n">
        <v>2958465</v>
      </c>
      <c r="H108" s="27" t="b">
        <f aca="false">TRUE()</f>
        <v>1</v>
      </c>
      <c r="I108" s="25" t="s">
        <v>2031</v>
      </c>
      <c r="J108" s="25" t="s">
        <v>2032</v>
      </c>
      <c r="K108" s="25" t="s">
        <v>1738</v>
      </c>
      <c r="L108" s="25" t="s">
        <v>1739</v>
      </c>
      <c r="M108" s="25" t="s">
        <v>188</v>
      </c>
      <c r="N108" s="26" t="n">
        <v>44735</v>
      </c>
    </row>
    <row r="109" customFormat="false" ht="15" hidden="false" customHeight="false" outlineLevel="0" collapsed="false">
      <c r="A109" s="25" t="n">
        <v>107</v>
      </c>
      <c r="B109" s="25" t="s">
        <v>72</v>
      </c>
      <c r="C109" s="25" t="s">
        <v>73</v>
      </c>
      <c r="D109" s="25" t="s">
        <v>74</v>
      </c>
      <c r="E109" s="25" t="s">
        <v>1707</v>
      </c>
      <c r="F109" s="26" t="n">
        <v>44494</v>
      </c>
      <c r="G109" s="26" t="n">
        <v>2958465</v>
      </c>
      <c r="H109" s="27" t="b">
        <f aca="false">TRUE()</f>
        <v>1</v>
      </c>
      <c r="I109" s="25" t="s">
        <v>2033</v>
      </c>
      <c r="J109" s="25" t="s">
        <v>2034</v>
      </c>
      <c r="K109" s="25" t="s">
        <v>75</v>
      </c>
      <c r="L109" s="25" t="s">
        <v>1722</v>
      </c>
      <c r="M109" s="25" t="s">
        <v>188</v>
      </c>
      <c r="N109" s="26" t="n">
        <v>44494</v>
      </c>
    </row>
    <row r="110" customFormat="false" ht="15" hidden="false" customHeight="false" outlineLevel="0" collapsed="false">
      <c r="A110" s="25" t="n">
        <v>108</v>
      </c>
      <c r="B110" s="25" t="s">
        <v>1558</v>
      </c>
      <c r="C110" s="25" t="s">
        <v>2035</v>
      </c>
      <c r="D110" s="25" t="s">
        <v>70</v>
      </c>
      <c r="E110" s="25" t="s">
        <v>1707</v>
      </c>
      <c r="F110" s="26" t="n">
        <v>44975</v>
      </c>
      <c r="G110" s="26" t="n">
        <v>2958465</v>
      </c>
      <c r="H110" s="27" t="b">
        <f aca="false">TRUE()</f>
        <v>1</v>
      </c>
      <c r="I110" s="25" t="s">
        <v>2036</v>
      </c>
      <c r="J110" s="25" t="s">
        <v>2037</v>
      </c>
      <c r="K110" s="25" t="s">
        <v>83</v>
      </c>
      <c r="L110" s="25" t="s">
        <v>1718</v>
      </c>
      <c r="M110" s="25" t="s">
        <v>188</v>
      </c>
      <c r="N110" s="26" t="n">
        <v>44975</v>
      </c>
    </row>
    <row r="111" customFormat="false" ht="15" hidden="false" customHeight="false" outlineLevel="0" collapsed="false">
      <c r="A111" s="25" t="n">
        <v>109</v>
      </c>
      <c r="B111" s="25" t="s">
        <v>975</v>
      </c>
      <c r="C111" s="25" t="s">
        <v>2038</v>
      </c>
      <c r="D111" s="25" t="s">
        <v>78</v>
      </c>
      <c r="E111" s="25" t="s">
        <v>1707</v>
      </c>
      <c r="F111" s="26" t="n">
        <v>45287</v>
      </c>
      <c r="G111" s="26" t="n">
        <v>2958465</v>
      </c>
      <c r="H111" s="27" t="b">
        <f aca="false">TRUE()</f>
        <v>1</v>
      </c>
      <c r="I111" s="25" t="s">
        <v>25</v>
      </c>
      <c r="J111" s="25" t="s">
        <v>2039</v>
      </c>
      <c r="K111" s="25" t="s">
        <v>71</v>
      </c>
      <c r="L111" s="25" t="s">
        <v>1773</v>
      </c>
      <c r="M111" s="25" t="s">
        <v>188</v>
      </c>
      <c r="N111" s="26" t="n">
        <v>45287</v>
      </c>
    </row>
    <row r="112" customFormat="false" ht="15" hidden="false" customHeight="false" outlineLevel="0" collapsed="false">
      <c r="A112" s="25" t="n">
        <v>110</v>
      </c>
      <c r="B112" s="25" t="s">
        <v>1447</v>
      </c>
      <c r="C112" s="25" t="s">
        <v>2040</v>
      </c>
      <c r="D112" s="25" t="s">
        <v>74</v>
      </c>
      <c r="E112" s="25" t="s">
        <v>1707</v>
      </c>
      <c r="F112" s="26" t="n">
        <v>44647</v>
      </c>
      <c r="G112" s="26" t="n">
        <v>2958465</v>
      </c>
      <c r="H112" s="27" t="b">
        <f aca="false">TRUE()</f>
        <v>1</v>
      </c>
      <c r="I112" s="25" t="s">
        <v>2041</v>
      </c>
      <c r="J112" s="25" t="s">
        <v>2042</v>
      </c>
      <c r="K112" s="25" t="s">
        <v>86</v>
      </c>
      <c r="L112" s="25" t="s">
        <v>1821</v>
      </c>
      <c r="M112" s="25" t="s">
        <v>188</v>
      </c>
      <c r="N112" s="26" t="n">
        <v>44647</v>
      </c>
    </row>
    <row r="113" customFormat="false" ht="15" hidden="false" customHeight="false" outlineLevel="0" collapsed="false">
      <c r="A113" s="25" t="n">
        <v>111</v>
      </c>
      <c r="B113" s="25" t="s">
        <v>951</v>
      </c>
      <c r="C113" s="25" t="s">
        <v>2043</v>
      </c>
      <c r="D113" s="25" t="s">
        <v>78</v>
      </c>
      <c r="E113" s="25" t="s">
        <v>1707</v>
      </c>
      <c r="F113" s="26" t="n">
        <v>44350</v>
      </c>
      <c r="G113" s="26" t="n">
        <v>2958465</v>
      </c>
      <c r="H113" s="27" t="b">
        <f aca="false">TRUE()</f>
        <v>1</v>
      </c>
      <c r="I113" s="25" t="s">
        <v>2044</v>
      </c>
      <c r="J113" s="25" t="s">
        <v>2045</v>
      </c>
      <c r="K113" s="25" t="s">
        <v>1743</v>
      </c>
      <c r="L113" s="25" t="s">
        <v>1743</v>
      </c>
      <c r="M113" s="25" t="s">
        <v>188</v>
      </c>
      <c r="N113" s="26" t="n">
        <v>44350</v>
      </c>
    </row>
    <row r="114" customFormat="false" ht="15" hidden="false" customHeight="false" outlineLevel="0" collapsed="false">
      <c r="A114" s="25" t="n">
        <v>112</v>
      </c>
      <c r="B114" s="25" t="s">
        <v>877</v>
      </c>
      <c r="C114" s="25" t="s">
        <v>2046</v>
      </c>
      <c r="D114" s="25" t="s">
        <v>70</v>
      </c>
      <c r="E114" s="25" t="s">
        <v>1707</v>
      </c>
      <c r="F114" s="26" t="n">
        <v>44537</v>
      </c>
      <c r="G114" s="26" t="n">
        <v>2958465</v>
      </c>
      <c r="H114" s="27" t="b">
        <f aca="false">TRUE()</f>
        <v>1</v>
      </c>
      <c r="I114" s="25" t="s">
        <v>2047</v>
      </c>
      <c r="J114" s="25" t="s">
        <v>2048</v>
      </c>
      <c r="K114" s="25" t="s">
        <v>83</v>
      </c>
      <c r="L114" s="25" t="s">
        <v>1718</v>
      </c>
      <c r="M114" s="25" t="s">
        <v>188</v>
      </c>
      <c r="N114" s="26" t="n">
        <v>44537</v>
      </c>
    </row>
    <row r="115" customFormat="false" ht="15" hidden="false" customHeight="false" outlineLevel="0" collapsed="false">
      <c r="A115" s="25" t="n">
        <v>113</v>
      </c>
      <c r="B115" s="25" t="s">
        <v>1215</v>
      </c>
      <c r="C115" s="25" t="s">
        <v>2049</v>
      </c>
      <c r="D115" s="25" t="s">
        <v>74</v>
      </c>
      <c r="E115" s="25" t="s">
        <v>1707</v>
      </c>
      <c r="F115" s="26" t="n">
        <v>44527</v>
      </c>
      <c r="G115" s="26" t="n">
        <v>2958465</v>
      </c>
      <c r="H115" s="27" t="b">
        <f aca="false">TRUE()</f>
        <v>1</v>
      </c>
      <c r="I115" s="25" t="s">
        <v>2050</v>
      </c>
      <c r="J115" s="25" t="s">
        <v>2051</v>
      </c>
      <c r="K115" s="25" t="s">
        <v>71</v>
      </c>
      <c r="L115" s="25" t="s">
        <v>1773</v>
      </c>
      <c r="M115" s="25" t="s">
        <v>188</v>
      </c>
      <c r="N115" s="26" t="n">
        <v>44527</v>
      </c>
    </row>
    <row r="116" customFormat="false" ht="15" hidden="false" customHeight="false" outlineLevel="0" collapsed="false">
      <c r="A116" s="25" t="n">
        <v>114</v>
      </c>
      <c r="B116" s="25" t="s">
        <v>1103</v>
      </c>
      <c r="C116" s="25" t="s">
        <v>2052</v>
      </c>
      <c r="D116" s="25" t="s">
        <v>70</v>
      </c>
      <c r="E116" s="25" t="s">
        <v>1707</v>
      </c>
      <c r="F116" s="26" t="n">
        <v>44559</v>
      </c>
      <c r="G116" s="26" t="n">
        <v>2958465</v>
      </c>
      <c r="H116" s="27" t="b">
        <f aca="false">TRUE()</f>
        <v>1</v>
      </c>
      <c r="I116" s="25" t="s">
        <v>2053</v>
      </c>
      <c r="J116" s="25" t="s">
        <v>2054</v>
      </c>
      <c r="K116" s="25" t="s">
        <v>94</v>
      </c>
      <c r="L116" s="25" t="s">
        <v>1714</v>
      </c>
      <c r="M116" s="25" t="s">
        <v>188</v>
      </c>
      <c r="N116" s="26" t="n">
        <v>44559</v>
      </c>
    </row>
    <row r="117" customFormat="false" ht="15" hidden="false" customHeight="false" outlineLevel="0" collapsed="false">
      <c r="A117" s="25" t="n">
        <v>115</v>
      </c>
      <c r="B117" s="25" t="s">
        <v>1338</v>
      </c>
      <c r="C117" s="25" t="s">
        <v>2055</v>
      </c>
      <c r="D117" s="25" t="s">
        <v>74</v>
      </c>
      <c r="E117" s="25" t="s">
        <v>1707</v>
      </c>
      <c r="F117" s="26" t="n">
        <v>45059</v>
      </c>
      <c r="G117" s="26" t="n">
        <v>2958465</v>
      </c>
      <c r="H117" s="27" t="b">
        <f aca="false">TRUE()</f>
        <v>1</v>
      </c>
      <c r="I117" s="25" t="s">
        <v>2056</v>
      </c>
      <c r="J117" s="25" t="s">
        <v>2057</v>
      </c>
      <c r="K117" s="25" t="s">
        <v>94</v>
      </c>
      <c r="L117" s="25" t="s">
        <v>1714</v>
      </c>
      <c r="M117" s="25" t="s">
        <v>188</v>
      </c>
      <c r="N117" s="26" t="n">
        <v>45059</v>
      </c>
    </row>
    <row r="118" customFormat="false" ht="15" hidden="false" customHeight="false" outlineLevel="0" collapsed="false">
      <c r="A118" s="25" t="n">
        <v>116</v>
      </c>
      <c r="B118" s="25" t="s">
        <v>1662</v>
      </c>
      <c r="C118" s="25" t="s">
        <v>2058</v>
      </c>
      <c r="D118" s="25" t="s">
        <v>74</v>
      </c>
      <c r="E118" s="25" t="s">
        <v>1706</v>
      </c>
      <c r="F118" s="26" t="n">
        <v>44421</v>
      </c>
      <c r="G118" s="26" t="n">
        <v>2958465</v>
      </c>
      <c r="H118" s="27" t="b">
        <f aca="false">TRUE()</f>
        <v>1</v>
      </c>
      <c r="I118" s="25" t="s">
        <v>2059</v>
      </c>
      <c r="J118" s="25" t="s">
        <v>2060</v>
      </c>
      <c r="K118" s="25" t="s">
        <v>1726</v>
      </c>
      <c r="L118" s="25" t="s">
        <v>1710</v>
      </c>
      <c r="M118" s="25" t="s">
        <v>188</v>
      </c>
      <c r="N118" s="26" t="n">
        <v>44421</v>
      </c>
    </row>
    <row r="119" customFormat="false" ht="15" hidden="false" customHeight="false" outlineLevel="0" collapsed="false">
      <c r="A119" s="25" t="n">
        <v>117</v>
      </c>
      <c r="B119" s="25" t="s">
        <v>905</v>
      </c>
      <c r="C119" s="25" t="s">
        <v>2061</v>
      </c>
      <c r="D119" s="25" t="s">
        <v>78</v>
      </c>
      <c r="E119" s="25" t="s">
        <v>1707</v>
      </c>
      <c r="F119" s="26" t="n">
        <v>45120</v>
      </c>
      <c r="G119" s="26" t="n">
        <v>2958465</v>
      </c>
      <c r="H119" s="27" t="b">
        <f aca="false">TRUE()</f>
        <v>1</v>
      </c>
      <c r="I119" s="25" t="s">
        <v>2062</v>
      </c>
      <c r="J119" s="25" t="s">
        <v>2063</v>
      </c>
      <c r="K119" s="25" t="s">
        <v>97</v>
      </c>
      <c r="L119" s="25" t="s">
        <v>1743</v>
      </c>
      <c r="M119" s="25" t="s">
        <v>188</v>
      </c>
      <c r="N119" s="26" t="n">
        <v>45120</v>
      </c>
    </row>
    <row r="120" customFormat="false" ht="15" hidden="false" customHeight="false" outlineLevel="0" collapsed="false">
      <c r="A120" s="25" t="n">
        <v>118</v>
      </c>
      <c r="B120" s="25" t="s">
        <v>68</v>
      </c>
      <c r="C120" s="25" t="s">
        <v>69</v>
      </c>
      <c r="D120" s="25" t="s">
        <v>70</v>
      </c>
      <c r="E120" s="25" t="s">
        <v>1707</v>
      </c>
      <c r="F120" s="26" t="n">
        <v>45176</v>
      </c>
      <c r="G120" s="26" t="n">
        <v>2958465</v>
      </c>
      <c r="H120" s="27" t="b">
        <f aca="false">TRUE()</f>
        <v>1</v>
      </c>
      <c r="I120" s="25" t="s">
        <v>2064</v>
      </c>
      <c r="J120" s="25" t="s">
        <v>2065</v>
      </c>
      <c r="K120" s="25" t="s">
        <v>71</v>
      </c>
      <c r="L120" s="25" t="s">
        <v>1773</v>
      </c>
      <c r="M120" s="25" t="s">
        <v>188</v>
      </c>
      <c r="N120" s="26" t="n">
        <v>45176</v>
      </c>
    </row>
    <row r="121" customFormat="false" ht="15" hidden="false" customHeight="false" outlineLevel="0" collapsed="false">
      <c r="A121" s="25" t="n">
        <v>119</v>
      </c>
      <c r="B121" s="25" t="s">
        <v>931</v>
      </c>
      <c r="C121" s="25" t="s">
        <v>2066</v>
      </c>
      <c r="D121" s="25" t="s">
        <v>82</v>
      </c>
      <c r="E121" s="25" t="s">
        <v>1707</v>
      </c>
      <c r="F121" s="26" t="n">
        <v>45193</v>
      </c>
      <c r="G121" s="26" t="n">
        <v>2958465</v>
      </c>
      <c r="H121" s="27" t="b">
        <f aca="false">TRUE()</f>
        <v>1</v>
      </c>
      <c r="I121" s="25" t="s">
        <v>2067</v>
      </c>
      <c r="J121" s="25" t="s">
        <v>2068</v>
      </c>
      <c r="K121" s="25" t="s">
        <v>79</v>
      </c>
      <c r="L121" s="25" t="s">
        <v>1754</v>
      </c>
      <c r="M121" s="25" t="s">
        <v>188</v>
      </c>
      <c r="N121" s="26" t="n">
        <v>45193</v>
      </c>
    </row>
    <row r="122" customFormat="false" ht="15" hidden="false" customHeight="false" outlineLevel="0" collapsed="false">
      <c r="A122" s="25" t="n">
        <v>120</v>
      </c>
      <c r="B122" s="25" t="s">
        <v>1492</v>
      </c>
      <c r="C122" s="25" t="s">
        <v>2069</v>
      </c>
      <c r="D122" s="25" t="s">
        <v>70</v>
      </c>
      <c r="E122" s="25" t="s">
        <v>1707</v>
      </c>
      <c r="F122" s="26" t="n">
        <v>44616</v>
      </c>
      <c r="G122" s="26" t="n">
        <v>2958465</v>
      </c>
      <c r="H122" s="27" t="b">
        <f aca="false">TRUE()</f>
        <v>1</v>
      </c>
      <c r="I122" s="25" t="s">
        <v>2070</v>
      </c>
      <c r="J122" s="25" t="s">
        <v>2071</v>
      </c>
      <c r="K122" s="25" t="s">
        <v>83</v>
      </c>
      <c r="L122" s="25" t="s">
        <v>1718</v>
      </c>
      <c r="M122" s="25" t="s">
        <v>188</v>
      </c>
      <c r="N122" s="26" t="n">
        <v>44616</v>
      </c>
    </row>
    <row r="123" customFormat="false" ht="15" hidden="false" customHeight="false" outlineLevel="0" collapsed="false">
      <c r="A123" s="25" t="n">
        <v>121</v>
      </c>
      <c r="B123" s="25" t="s">
        <v>819</v>
      </c>
      <c r="C123" s="25" t="s">
        <v>2072</v>
      </c>
      <c r="D123" s="25" t="s">
        <v>82</v>
      </c>
      <c r="E123" s="25" t="s">
        <v>1707</v>
      </c>
      <c r="F123" s="26" t="n">
        <v>44525</v>
      </c>
      <c r="G123" s="26" t="n">
        <v>2958465</v>
      </c>
      <c r="H123" s="27" t="b">
        <f aca="false">TRUE()</f>
        <v>1</v>
      </c>
      <c r="I123" s="25" t="s">
        <v>2073</v>
      </c>
      <c r="J123" s="25" t="s">
        <v>2074</v>
      </c>
      <c r="K123" s="25" t="s">
        <v>1738</v>
      </c>
      <c r="L123" s="25" t="s">
        <v>1739</v>
      </c>
      <c r="M123" s="25" t="s">
        <v>188</v>
      </c>
      <c r="N123" s="26" t="n">
        <v>44525</v>
      </c>
    </row>
    <row r="124" customFormat="false" ht="15" hidden="false" customHeight="false" outlineLevel="0" collapsed="false">
      <c r="A124" s="25" t="n">
        <v>122</v>
      </c>
      <c r="B124" s="25" t="s">
        <v>1098</v>
      </c>
      <c r="C124" s="25" t="s">
        <v>2075</v>
      </c>
      <c r="D124" s="25" t="s">
        <v>82</v>
      </c>
      <c r="E124" s="25" t="s">
        <v>1707</v>
      </c>
      <c r="F124" s="26" t="n">
        <v>45201</v>
      </c>
      <c r="G124" s="26" t="n">
        <v>2958465</v>
      </c>
      <c r="H124" s="27" t="b">
        <f aca="false">TRUE()</f>
        <v>1</v>
      </c>
      <c r="I124" s="25" t="s">
        <v>2076</v>
      </c>
      <c r="J124" s="25" t="s">
        <v>2077</v>
      </c>
      <c r="K124" s="25" t="s">
        <v>75</v>
      </c>
      <c r="L124" s="25" t="s">
        <v>1722</v>
      </c>
      <c r="M124" s="25" t="s">
        <v>188</v>
      </c>
      <c r="N124" s="26" t="n">
        <v>45201</v>
      </c>
    </row>
    <row r="125" customFormat="false" ht="15" hidden="false" customHeight="false" outlineLevel="0" collapsed="false">
      <c r="A125" s="25" t="n">
        <v>123</v>
      </c>
      <c r="B125" s="25" t="s">
        <v>848</v>
      </c>
      <c r="C125" s="25" t="s">
        <v>2078</v>
      </c>
      <c r="D125" s="25" t="s">
        <v>70</v>
      </c>
      <c r="E125" s="25" t="s">
        <v>1707</v>
      </c>
      <c r="F125" s="26" t="n">
        <v>44905</v>
      </c>
      <c r="G125" s="26" t="n">
        <v>2958465</v>
      </c>
      <c r="H125" s="27" t="b">
        <f aca="false">TRUE()</f>
        <v>1</v>
      </c>
      <c r="I125" s="25" t="s">
        <v>2079</v>
      </c>
      <c r="J125" s="25" t="s">
        <v>2080</v>
      </c>
      <c r="K125" s="25" t="s">
        <v>1770</v>
      </c>
      <c r="L125" s="25" t="s">
        <v>1739</v>
      </c>
      <c r="M125" s="25" t="s">
        <v>188</v>
      </c>
      <c r="N125" s="26" t="n">
        <v>44905</v>
      </c>
    </row>
    <row r="126" customFormat="false" ht="15" hidden="false" customHeight="false" outlineLevel="0" collapsed="false">
      <c r="A126" s="25" t="n">
        <v>124</v>
      </c>
      <c r="B126" s="25" t="s">
        <v>959</v>
      </c>
      <c r="C126" s="25" t="s">
        <v>2081</v>
      </c>
      <c r="D126" s="25" t="s">
        <v>82</v>
      </c>
      <c r="E126" s="25" t="s">
        <v>1707</v>
      </c>
      <c r="F126" s="26" t="n">
        <v>44756</v>
      </c>
      <c r="G126" s="26" t="n">
        <v>2958465</v>
      </c>
      <c r="H126" s="27" t="b">
        <f aca="false">TRUE()</f>
        <v>1</v>
      </c>
      <c r="I126" s="25" t="s">
        <v>2082</v>
      </c>
      <c r="J126" s="25" t="s">
        <v>2083</v>
      </c>
      <c r="K126" s="25" t="s">
        <v>79</v>
      </c>
      <c r="L126" s="25" t="s">
        <v>1754</v>
      </c>
      <c r="M126" s="25" t="s">
        <v>188</v>
      </c>
      <c r="N126" s="26" t="n">
        <v>44756</v>
      </c>
    </row>
    <row r="127" customFormat="false" ht="15" hidden="false" customHeight="false" outlineLevel="0" collapsed="false">
      <c r="A127" s="25" t="n">
        <v>125</v>
      </c>
      <c r="B127" s="25" t="s">
        <v>1064</v>
      </c>
      <c r="C127" s="25" t="s">
        <v>2084</v>
      </c>
      <c r="D127" s="25" t="s">
        <v>82</v>
      </c>
      <c r="E127" s="25" t="s">
        <v>1707</v>
      </c>
      <c r="F127" s="26" t="n">
        <v>45002</v>
      </c>
      <c r="G127" s="26" t="n">
        <v>2958465</v>
      </c>
      <c r="H127" s="27" t="b">
        <f aca="false">TRUE()</f>
        <v>1</v>
      </c>
      <c r="I127" s="25" t="s">
        <v>2085</v>
      </c>
      <c r="J127" s="25" t="s">
        <v>2086</v>
      </c>
      <c r="K127" s="25" t="s">
        <v>86</v>
      </c>
      <c r="L127" s="25" t="s">
        <v>1821</v>
      </c>
      <c r="M127" s="25" t="s">
        <v>188</v>
      </c>
      <c r="N127" s="26" t="n">
        <v>45002</v>
      </c>
    </row>
    <row r="128" customFormat="false" ht="15" hidden="false" customHeight="false" outlineLevel="0" collapsed="false">
      <c r="A128" s="25" t="n">
        <v>126</v>
      </c>
      <c r="B128" s="25" t="s">
        <v>2087</v>
      </c>
      <c r="C128" s="25" t="s">
        <v>2088</v>
      </c>
      <c r="D128" s="25" t="s">
        <v>74</v>
      </c>
      <c r="E128" s="25" t="s">
        <v>1707</v>
      </c>
      <c r="F128" s="26" t="n">
        <v>45128</v>
      </c>
      <c r="G128" s="26" t="n">
        <v>2958465</v>
      </c>
      <c r="H128" s="27" t="b">
        <f aca="false">TRUE()</f>
        <v>1</v>
      </c>
      <c r="I128" s="25" t="s">
        <v>2089</v>
      </c>
      <c r="J128" s="25" t="s">
        <v>2090</v>
      </c>
      <c r="K128" s="25" t="s">
        <v>71</v>
      </c>
      <c r="L128" s="25" t="s">
        <v>1773</v>
      </c>
      <c r="M128" s="25" t="s">
        <v>188</v>
      </c>
      <c r="N128" s="26" t="n">
        <v>45128</v>
      </c>
    </row>
    <row r="129" customFormat="false" ht="15" hidden="false" customHeight="false" outlineLevel="0" collapsed="false">
      <c r="A129" s="25" t="n">
        <v>127</v>
      </c>
      <c r="B129" s="25" t="s">
        <v>1420</v>
      </c>
      <c r="C129" s="25" t="s">
        <v>2091</v>
      </c>
      <c r="D129" s="25" t="s">
        <v>70</v>
      </c>
      <c r="E129" s="25" t="s">
        <v>1707</v>
      </c>
      <c r="F129" s="26" t="n">
        <v>44891</v>
      </c>
      <c r="G129" s="26" t="n">
        <v>2958465</v>
      </c>
      <c r="H129" s="27" t="b">
        <f aca="false">TRUE()</f>
        <v>1</v>
      </c>
      <c r="I129" s="25" t="s">
        <v>2092</v>
      </c>
      <c r="J129" s="25" t="s">
        <v>2093</v>
      </c>
      <c r="K129" s="25" t="s">
        <v>1738</v>
      </c>
      <c r="L129" s="25" t="s">
        <v>1739</v>
      </c>
      <c r="M129" s="25" t="s">
        <v>188</v>
      </c>
      <c r="N129" s="26" t="n">
        <v>44891</v>
      </c>
    </row>
    <row r="130" customFormat="false" ht="15" hidden="false" customHeight="false" outlineLevel="0" collapsed="false">
      <c r="A130" s="25" t="n">
        <v>128</v>
      </c>
      <c r="B130" s="25" t="s">
        <v>1307</v>
      </c>
      <c r="C130" s="25" t="s">
        <v>2094</v>
      </c>
      <c r="D130" s="25" t="s">
        <v>70</v>
      </c>
      <c r="E130" s="25" t="s">
        <v>1707</v>
      </c>
      <c r="F130" s="26" t="n">
        <v>44955</v>
      </c>
      <c r="G130" s="26" t="n">
        <v>2958465</v>
      </c>
      <c r="H130" s="27" t="b">
        <f aca="false">TRUE()</f>
        <v>1</v>
      </c>
      <c r="I130" s="25" t="s">
        <v>2095</v>
      </c>
      <c r="J130" s="25" t="s">
        <v>2096</v>
      </c>
      <c r="K130" s="25" t="s">
        <v>83</v>
      </c>
      <c r="L130" s="25" t="s">
        <v>1718</v>
      </c>
      <c r="M130" s="25" t="s">
        <v>188</v>
      </c>
      <c r="N130" s="26" t="n">
        <v>44955</v>
      </c>
    </row>
    <row r="131" customFormat="false" ht="15" hidden="false" customHeight="false" outlineLevel="0" collapsed="false">
      <c r="A131" s="25" t="n">
        <v>129</v>
      </c>
      <c r="B131" s="25" t="s">
        <v>95</v>
      </c>
      <c r="C131" s="25" t="s">
        <v>96</v>
      </c>
      <c r="D131" s="25" t="s">
        <v>78</v>
      </c>
      <c r="E131" s="25" t="s">
        <v>1707</v>
      </c>
      <c r="F131" s="26" t="n">
        <v>44842</v>
      </c>
      <c r="G131" s="26" t="n">
        <v>2958465</v>
      </c>
      <c r="H131" s="27" t="b">
        <f aca="false">TRUE()</f>
        <v>1</v>
      </c>
      <c r="I131" s="25" t="s">
        <v>2097</v>
      </c>
      <c r="J131" s="25" t="s">
        <v>2098</v>
      </c>
      <c r="K131" s="25" t="s">
        <v>97</v>
      </c>
      <c r="L131" s="25" t="s">
        <v>1743</v>
      </c>
      <c r="M131" s="25" t="s">
        <v>188</v>
      </c>
      <c r="N131" s="26" t="n">
        <v>44842</v>
      </c>
    </row>
    <row r="132" customFormat="false" ht="15" hidden="false" customHeight="false" outlineLevel="0" collapsed="false">
      <c r="A132" s="25" t="n">
        <v>130</v>
      </c>
      <c r="B132" s="25" t="s">
        <v>866</v>
      </c>
      <c r="C132" s="25" t="s">
        <v>2099</v>
      </c>
      <c r="D132" s="25" t="s">
        <v>82</v>
      </c>
      <c r="E132" s="25" t="s">
        <v>1707</v>
      </c>
      <c r="F132" s="26" t="n">
        <v>44655</v>
      </c>
      <c r="G132" s="26" t="n">
        <v>2958465</v>
      </c>
      <c r="H132" s="27" t="b">
        <f aca="false">TRUE()</f>
        <v>1</v>
      </c>
      <c r="I132" s="25" t="s">
        <v>2100</v>
      </c>
      <c r="J132" s="25" t="s">
        <v>2101</v>
      </c>
      <c r="K132" s="25" t="s">
        <v>1770</v>
      </c>
      <c r="L132" s="25" t="s">
        <v>1739</v>
      </c>
      <c r="M132" s="25" t="s">
        <v>188</v>
      </c>
      <c r="N132" s="26" t="n">
        <v>44655</v>
      </c>
    </row>
    <row r="133" customFormat="false" ht="15" hidden="false" customHeight="false" outlineLevel="0" collapsed="false">
      <c r="A133" s="25" t="n">
        <v>131</v>
      </c>
      <c r="B133" s="25" t="s">
        <v>1259</v>
      </c>
      <c r="C133" s="25" t="s">
        <v>2102</v>
      </c>
      <c r="D133" s="25" t="s">
        <v>74</v>
      </c>
      <c r="E133" s="25" t="s">
        <v>1707</v>
      </c>
      <c r="F133" s="26" t="n">
        <v>45057</v>
      </c>
      <c r="G133" s="26" t="n">
        <v>2958465</v>
      </c>
      <c r="H133" s="27" t="b">
        <f aca="false">TRUE()</f>
        <v>1</v>
      </c>
      <c r="I133" s="25" t="s">
        <v>2103</v>
      </c>
      <c r="J133" s="25" t="s">
        <v>2104</v>
      </c>
      <c r="K133" s="25" t="s">
        <v>75</v>
      </c>
      <c r="L133" s="25" t="s">
        <v>1722</v>
      </c>
      <c r="M133" s="25" t="s">
        <v>188</v>
      </c>
      <c r="N133" s="26" t="n">
        <v>45057</v>
      </c>
    </row>
    <row r="134" customFormat="false" ht="15" hidden="false" customHeight="false" outlineLevel="0" collapsed="false">
      <c r="A134" s="25" t="n">
        <v>132</v>
      </c>
      <c r="B134" s="25" t="s">
        <v>1210</v>
      </c>
      <c r="C134" s="25" t="s">
        <v>2105</v>
      </c>
      <c r="D134" s="25" t="s">
        <v>74</v>
      </c>
      <c r="E134" s="25" t="s">
        <v>1707</v>
      </c>
      <c r="F134" s="26" t="n">
        <v>45088</v>
      </c>
      <c r="G134" s="26" t="n">
        <v>2958465</v>
      </c>
      <c r="H134" s="27" t="b">
        <f aca="false">TRUE()</f>
        <v>1</v>
      </c>
      <c r="I134" s="25" t="s">
        <v>2106</v>
      </c>
      <c r="J134" s="25" t="s">
        <v>2107</v>
      </c>
      <c r="K134" s="25" t="s">
        <v>89</v>
      </c>
      <c r="L134" s="25" t="s">
        <v>1710</v>
      </c>
      <c r="M134" s="25" t="s">
        <v>188</v>
      </c>
      <c r="N134" s="26" t="n">
        <v>45088</v>
      </c>
    </row>
    <row r="135" customFormat="false" ht="15" hidden="false" customHeight="false" outlineLevel="0" collapsed="false">
      <c r="A135" s="25" t="n">
        <v>133</v>
      </c>
      <c r="B135" s="25" t="s">
        <v>2108</v>
      </c>
      <c r="C135" s="25" t="s">
        <v>2109</v>
      </c>
      <c r="D135" s="25" t="s">
        <v>78</v>
      </c>
      <c r="E135" s="25" t="s">
        <v>1707</v>
      </c>
      <c r="F135" s="26" t="n">
        <v>45168</v>
      </c>
      <c r="G135" s="26" t="n">
        <v>2958465</v>
      </c>
      <c r="H135" s="27" t="b">
        <f aca="false">TRUE()</f>
        <v>1</v>
      </c>
      <c r="I135" s="25" t="s">
        <v>2110</v>
      </c>
      <c r="J135" s="25" t="s">
        <v>2111</v>
      </c>
      <c r="K135" s="25" t="s">
        <v>94</v>
      </c>
      <c r="L135" s="25" t="s">
        <v>1714</v>
      </c>
      <c r="M135" s="25" t="s">
        <v>188</v>
      </c>
      <c r="N135" s="26" t="n">
        <v>45168</v>
      </c>
    </row>
    <row r="136" customFormat="false" ht="15" hidden="false" customHeight="false" outlineLevel="0" collapsed="false">
      <c r="A136" s="25" t="n">
        <v>134</v>
      </c>
      <c r="B136" s="25" t="s">
        <v>1503</v>
      </c>
      <c r="C136" s="25" t="s">
        <v>2112</v>
      </c>
      <c r="D136" s="25" t="s">
        <v>82</v>
      </c>
      <c r="E136" s="25" t="s">
        <v>1707</v>
      </c>
      <c r="F136" s="26" t="n">
        <v>44547</v>
      </c>
      <c r="G136" s="26" t="n">
        <v>2958465</v>
      </c>
      <c r="H136" s="27" t="b">
        <f aca="false">TRUE()</f>
        <v>1</v>
      </c>
      <c r="I136" s="25" t="s">
        <v>2113</v>
      </c>
      <c r="J136" s="25" t="s">
        <v>2114</v>
      </c>
      <c r="K136" s="25" t="s">
        <v>1738</v>
      </c>
      <c r="L136" s="25" t="s">
        <v>1739</v>
      </c>
      <c r="M136" s="25" t="s">
        <v>188</v>
      </c>
      <c r="N136" s="26" t="n">
        <v>44547</v>
      </c>
    </row>
    <row r="137" customFormat="false" ht="15" hidden="false" customHeight="false" outlineLevel="0" collapsed="false">
      <c r="A137" s="25" t="n">
        <v>135</v>
      </c>
      <c r="B137" s="25" t="s">
        <v>870</v>
      </c>
      <c r="C137" s="25" t="s">
        <v>2115</v>
      </c>
      <c r="D137" s="25" t="s">
        <v>82</v>
      </c>
      <c r="E137" s="25" t="s">
        <v>1707</v>
      </c>
      <c r="F137" s="26" t="n">
        <v>45416</v>
      </c>
      <c r="G137" s="26" t="n">
        <v>2958465</v>
      </c>
      <c r="H137" s="27" t="b">
        <f aca="false">TRUE()</f>
        <v>1</v>
      </c>
      <c r="I137" s="25" t="s">
        <v>2116</v>
      </c>
      <c r="J137" s="25" t="s">
        <v>2117</v>
      </c>
      <c r="K137" s="25" t="s">
        <v>89</v>
      </c>
      <c r="L137" s="25" t="s">
        <v>1710</v>
      </c>
      <c r="M137" s="25" t="s">
        <v>188</v>
      </c>
      <c r="N137" s="26" t="n">
        <v>45416</v>
      </c>
    </row>
    <row r="138" customFormat="false" ht="15" hidden="false" customHeight="false" outlineLevel="0" collapsed="false">
      <c r="A138" s="25" t="n">
        <v>136</v>
      </c>
      <c r="B138" s="25" t="s">
        <v>997</v>
      </c>
      <c r="C138" s="25" t="s">
        <v>2118</v>
      </c>
      <c r="D138" s="25" t="s">
        <v>70</v>
      </c>
      <c r="E138" s="25" t="s">
        <v>1707</v>
      </c>
      <c r="F138" s="26" t="n">
        <v>44402</v>
      </c>
      <c r="G138" s="26" t="n">
        <v>2958465</v>
      </c>
      <c r="H138" s="27" t="b">
        <f aca="false">TRUE()</f>
        <v>1</v>
      </c>
      <c r="I138" s="25" t="s">
        <v>2119</v>
      </c>
      <c r="J138" s="25" t="s">
        <v>2120</v>
      </c>
      <c r="K138" s="25" t="s">
        <v>89</v>
      </c>
      <c r="L138" s="25" t="s">
        <v>1710</v>
      </c>
      <c r="M138" s="25" t="s">
        <v>188</v>
      </c>
      <c r="N138" s="26" t="n">
        <v>44402</v>
      </c>
    </row>
    <row r="139" customFormat="false" ht="15" hidden="false" customHeight="false" outlineLevel="0" collapsed="false">
      <c r="A139" s="25" t="n">
        <v>137</v>
      </c>
      <c r="B139" s="25" t="s">
        <v>1657</v>
      </c>
      <c r="C139" s="25" t="s">
        <v>2121</v>
      </c>
      <c r="D139" s="25" t="s">
        <v>74</v>
      </c>
      <c r="E139" s="25" t="s">
        <v>1707</v>
      </c>
      <c r="F139" s="26" t="n">
        <v>45161</v>
      </c>
      <c r="G139" s="26" t="n">
        <v>2958465</v>
      </c>
      <c r="H139" s="27" t="b">
        <f aca="false">TRUE()</f>
        <v>1</v>
      </c>
      <c r="I139" s="25" t="s">
        <v>2122</v>
      </c>
      <c r="J139" s="25" t="s">
        <v>2123</v>
      </c>
      <c r="K139" s="25" t="s">
        <v>89</v>
      </c>
      <c r="L139" s="25" t="s">
        <v>1710</v>
      </c>
      <c r="M139" s="25" t="s">
        <v>188</v>
      </c>
      <c r="N139" s="26" t="n">
        <v>45161</v>
      </c>
    </row>
    <row r="140" customFormat="false" ht="15" hidden="false" customHeight="false" outlineLevel="0" collapsed="false">
      <c r="A140" s="25" t="n">
        <v>138</v>
      </c>
      <c r="B140" s="25" t="s">
        <v>1012</v>
      </c>
      <c r="C140" s="25" t="s">
        <v>2124</v>
      </c>
      <c r="D140" s="25" t="s">
        <v>74</v>
      </c>
      <c r="E140" s="25" t="s">
        <v>1707</v>
      </c>
      <c r="F140" s="26" t="n">
        <v>45139</v>
      </c>
      <c r="G140" s="26" t="n">
        <v>2958465</v>
      </c>
      <c r="H140" s="27" t="b">
        <f aca="false">TRUE()</f>
        <v>1</v>
      </c>
      <c r="I140" s="25" t="s">
        <v>2125</v>
      </c>
      <c r="J140" s="25" t="s">
        <v>2126</v>
      </c>
      <c r="K140" s="25" t="s">
        <v>1738</v>
      </c>
      <c r="L140" s="25" t="s">
        <v>1739</v>
      </c>
      <c r="M140" s="25" t="s">
        <v>188</v>
      </c>
      <c r="N140" s="26" t="n">
        <v>45139</v>
      </c>
    </row>
    <row r="141" customFormat="false" ht="15" hidden="false" customHeight="false" outlineLevel="0" collapsed="false">
      <c r="A141" s="25" t="n">
        <v>139</v>
      </c>
      <c r="B141" s="25" t="s">
        <v>784</v>
      </c>
      <c r="C141" s="25" t="s">
        <v>2127</v>
      </c>
      <c r="D141" s="25" t="s">
        <v>74</v>
      </c>
      <c r="E141" s="25" t="s">
        <v>1707</v>
      </c>
      <c r="F141" s="26" t="n">
        <v>44755</v>
      </c>
      <c r="G141" s="26" t="n">
        <v>2958465</v>
      </c>
      <c r="H141" s="27" t="b">
        <f aca="false">TRUE()</f>
        <v>1</v>
      </c>
      <c r="I141" s="25" t="s">
        <v>2128</v>
      </c>
      <c r="J141" s="25" t="s">
        <v>2129</v>
      </c>
      <c r="K141" s="25" t="s">
        <v>1770</v>
      </c>
      <c r="L141" s="25" t="s">
        <v>1739</v>
      </c>
      <c r="M141" s="25" t="s">
        <v>188</v>
      </c>
      <c r="N141" s="26" t="n">
        <v>44755</v>
      </c>
    </row>
    <row r="142" customFormat="false" ht="15" hidden="false" customHeight="false" outlineLevel="0" collapsed="false">
      <c r="A142" s="25" t="n">
        <v>140</v>
      </c>
      <c r="B142" s="25" t="s">
        <v>2130</v>
      </c>
      <c r="C142" s="25" t="s">
        <v>2131</v>
      </c>
      <c r="D142" s="25" t="s">
        <v>70</v>
      </c>
      <c r="E142" s="25" t="s">
        <v>1707</v>
      </c>
      <c r="F142" s="26" t="n">
        <v>44665</v>
      </c>
      <c r="G142" s="26" t="n">
        <v>2958465</v>
      </c>
      <c r="H142" s="27" t="b">
        <f aca="false">TRUE()</f>
        <v>1</v>
      </c>
      <c r="I142" s="25" t="s">
        <v>2132</v>
      </c>
      <c r="J142" s="25" t="s">
        <v>2133</v>
      </c>
      <c r="K142" s="25" t="s">
        <v>75</v>
      </c>
      <c r="L142" s="25" t="s">
        <v>1722</v>
      </c>
      <c r="M142" s="25" t="s">
        <v>188</v>
      </c>
      <c r="N142" s="26" t="n">
        <v>44665</v>
      </c>
    </row>
    <row r="143" customFormat="false" ht="15" hidden="false" customHeight="false" outlineLevel="0" collapsed="false">
      <c r="A143" s="25" t="n">
        <v>141</v>
      </c>
      <c r="B143" s="25" t="s">
        <v>2134</v>
      </c>
      <c r="C143" s="25" t="s">
        <v>2135</v>
      </c>
      <c r="D143" s="25" t="s">
        <v>70</v>
      </c>
      <c r="E143" s="25" t="s">
        <v>1707</v>
      </c>
      <c r="F143" s="26" t="n">
        <v>44579</v>
      </c>
      <c r="G143" s="26" t="n">
        <v>2958465</v>
      </c>
      <c r="H143" s="27" t="b">
        <f aca="false">TRUE()</f>
        <v>1</v>
      </c>
      <c r="I143" s="25" t="s">
        <v>2136</v>
      </c>
      <c r="J143" s="25" t="s">
        <v>2137</v>
      </c>
      <c r="K143" s="25" t="s">
        <v>86</v>
      </c>
      <c r="L143" s="25" t="s">
        <v>1821</v>
      </c>
      <c r="M143" s="25" t="s">
        <v>188</v>
      </c>
      <c r="N143" s="26" t="n">
        <v>44579</v>
      </c>
    </row>
    <row r="144" customFormat="false" ht="15" hidden="false" customHeight="false" outlineLevel="0" collapsed="false">
      <c r="A144" s="25" t="n">
        <v>142</v>
      </c>
      <c r="B144" s="25" t="s">
        <v>84</v>
      </c>
      <c r="C144" s="25" t="s">
        <v>85</v>
      </c>
      <c r="D144" s="25" t="s">
        <v>78</v>
      </c>
      <c r="E144" s="25" t="s">
        <v>1707</v>
      </c>
      <c r="F144" s="26" t="n">
        <v>44759</v>
      </c>
      <c r="G144" s="26" t="n">
        <v>2958465</v>
      </c>
      <c r="H144" s="27" t="b">
        <f aca="false">TRUE()</f>
        <v>1</v>
      </c>
      <c r="I144" s="25" t="s">
        <v>2138</v>
      </c>
      <c r="J144" s="25" t="s">
        <v>2139</v>
      </c>
      <c r="K144" s="25" t="s">
        <v>86</v>
      </c>
      <c r="L144" s="25" t="s">
        <v>1821</v>
      </c>
      <c r="M144" s="25" t="s">
        <v>188</v>
      </c>
      <c r="N144" s="26" t="n">
        <v>44759</v>
      </c>
    </row>
    <row r="145" customFormat="false" ht="15" hidden="false" customHeight="false" outlineLevel="0" collapsed="false">
      <c r="A145" s="25" t="n">
        <v>143</v>
      </c>
      <c r="B145" s="25" t="s">
        <v>1024</v>
      </c>
      <c r="C145" s="25" t="s">
        <v>2140</v>
      </c>
      <c r="D145" s="25" t="s">
        <v>74</v>
      </c>
      <c r="E145" s="25" t="s">
        <v>1707</v>
      </c>
      <c r="F145" s="26" t="n">
        <v>45065</v>
      </c>
      <c r="G145" s="26" t="n">
        <v>2958465</v>
      </c>
      <c r="H145" s="27" t="b">
        <f aca="false">TRUE()</f>
        <v>1</v>
      </c>
      <c r="I145" s="25" t="s">
        <v>2141</v>
      </c>
      <c r="J145" s="25" t="s">
        <v>2142</v>
      </c>
      <c r="K145" s="25" t="s">
        <v>89</v>
      </c>
      <c r="L145" s="25" t="s">
        <v>1710</v>
      </c>
      <c r="M145" s="25" t="s">
        <v>188</v>
      </c>
      <c r="N145" s="26" t="n">
        <v>45065</v>
      </c>
    </row>
    <row r="146" customFormat="false" ht="15" hidden="false" customHeight="false" outlineLevel="0" collapsed="false">
      <c r="A146" s="25" t="n">
        <v>144</v>
      </c>
      <c r="B146" s="25" t="s">
        <v>1096</v>
      </c>
      <c r="C146" s="25" t="s">
        <v>2143</v>
      </c>
      <c r="D146" s="25" t="s">
        <v>78</v>
      </c>
      <c r="E146" s="25" t="s">
        <v>1707</v>
      </c>
      <c r="F146" s="26" t="n">
        <v>44807</v>
      </c>
      <c r="G146" s="26" t="n">
        <v>2958465</v>
      </c>
      <c r="H146" s="27" t="b">
        <f aca="false">TRUE()</f>
        <v>1</v>
      </c>
      <c r="I146" s="25" t="s">
        <v>2144</v>
      </c>
      <c r="J146" s="25" t="s">
        <v>2145</v>
      </c>
      <c r="K146" s="25" t="s">
        <v>75</v>
      </c>
      <c r="L146" s="25" t="s">
        <v>1722</v>
      </c>
      <c r="M146" s="25" t="s">
        <v>188</v>
      </c>
      <c r="N146" s="26" t="n">
        <v>44807</v>
      </c>
    </row>
    <row r="147" customFormat="false" ht="15" hidden="false" customHeight="false" outlineLevel="0" collapsed="false">
      <c r="A147" s="25" t="n">
        <v>145</v>
      </c>
      <c r="B147" s="25" t="s">
        <v>1027</v>
      </c>
      <c r="C147" s="25" t="s">
        <v>2146</v>
      </c>
      <c r="D147" s="25" t="s">
        <v>74</v>
      </c>
      <c r="E147" s="25" t="s">
        <v>1707</v>
      </c>
      <c r="F147" s="26" t="n">
        <v>44373</v>
      </c>
      <c r="G147" s="26" t="n">
        <v>2958465</v>
      </c>
      <c r="H147" s="27" t="b">
        <f aca="false">TRUE()</f>
        <v>1</v>
      </c>
      <c r="I147" s="25" t="s">
        <v>2147</v>
      </c>
      <c r="J147" s="25" t="s">
        <v>2148</v>
      </c>
      <c r="K147" s="25" t="s">
        <v>75</v>
      </c>
      <c r="L147" s="25" t="s">
        <v>1722</v>
      </c>
      <c r="M147" s="25" t="s">
        <v>188</v>
      </c>
      <c r="N147" s="26" t="n">
        <v>44373</v>
      </c>
    </row>
    <row r="148" customFormat="false" ht="15" hidden="false" customHeight="false" outlineLevel="0" collapsed="false">
      <c r="A148" s="25" t="n">
        <v>146</v>
      </c>
      <c r="B148" s="25" t="s">
        <v>1173</v>
      </c>
      <c r="C148" s="25" t="s">
        <v>2149</v>
      </c>
      <c r="D148" s="25" t="s">
        <v>78</v>
      </c>
      <c r="E148" s="25" t="s">
        <v>1707</v>
      </c>
      <c r="F148" s="26" t="n">
        <v>44556</v>
      </c>
      <c r="G148" s="26" t="n">
        <v>2958465</v>
      </c>
      <c r="H148" s="27" t="b">
        <f aca="false">TRUE()</f>
        <v>1</v>
      </c>
      <c r="I148" s="25" t="s">
        <v>2150</v>
      </c>
      <c r="J148" s="25" t="s">
        <v>1757</v>
      </c>
      <c r="K148" s="25" t="s">
        <v>89</v>
      </c>
      <c r="L148" s="25" t="s">
        <v>1710</v>
      </c>
      <c r="M148" s="25" t="s">
        <v>188</v>
      </c>
      <c r="N148" s="26" t="n">
        <v>44556</v>
      </c>
    </row>
    <row r="149" customFormat="false" ht="15" hidden="false" customHeight="false" outlineLevel="0" collapsed="false">
      <c r="A149" s="25" t="n">
        <v>147</v>
      </c>
      <c r="B149" s="25" t="s">
        <v>2151</v>
      </c>
      <c r="C149" s="25" t="s">
        <v>2152</v>
      </c>
      <c r="D149" s="25" t="s">
        <v>70</v>
      </c>
      <c r="E149" s="25" t="s">
        <v>1707</v>
      </c>
      <c r="F149" s="26" t="n">
        <v>45136</v>
      </c>
      <c r="G149" s="26" t="n">
        <v>2958465</v>
      </c>
      <c r="H149" s="27" t="b">
        <f aca="false">TRUE()</f>
        <v>1</v>
      </c>
      <c r="I149" s="25" t="s">
        <v>2153</v>
      </c>
      <c r="J149" s="25" t="s">
        <v>2154</v>
      </c>
      <c r="K149" s="25" t="s">
        <v>89</v>
      </c>
      <c r="L149" s="25" t="s">
        <v>1710</v>
      </c>
      <c r="M149" s="25" t="s">
        <v>188</v>
      </c>
      <c r="N149" s="26" t="n">
        <v>45136</v>
      </c>
    </row>
    <row r="150" customFormat="false" ht="15" hidden="false" customHeight="false" outlineLevel="0" collapsed="false">
      <c r="A150" s="25" t="n">
        <v>148</v>
      </c>
      <c r="B150" s="25" t="s">
        <v>80</v>
      </c>
      <c r="C150" s="25" t="s">
        <v>81</v>
      </c>
      <c r="D150" s="25" t="s">
        <v>82</v>
      </c>
      <c r="E150" s="25" t="s">
        <v>1707</v>
      </c>
      <c r="F150" s="26" t="n">
        <v>44755</v>
      </c>
      <c r="G150" s="26" t="n">
        <v>2958465</v>
      </c>
      <c r="H150" s="27" t="b">
        <f aca="false">TRUE()</f>
        <v>1</v>
      </c>
      <c r="I150" s="25" t="s">
        <v>2155</v>
      </c>
      <c r="J150" s="25" t="s">
        <v>2156</v>
      </c>
      <c r="K150" s="25" t="s">
        <v>83</v>
      </c>
      <c r="L150" s="25" t="s">
        <v>1718</v>
      </c>
      <c r="M150" s="25" t="s">
        <v>188</v>
      </c>
      <c r="N150" s="26" t="n">
        <v>44755</v>
      </c>
    </row>
    <row r="151" customFormat="false" ht="15" hidden="false" customHeight="false" outlineLevel="0" collapsed="false">
      <c r="A151" s="25" t="n">
        <v>149</v>
      </c>
      <c r="B151" s="25" t="s">
        <v>934</v>
      </c>
      <c r="C151" s="25" t="s">
        <v>2157</v>
      </c>
      <c r="D151" s="25" t="s">
        <v>82</v>
      </c>
      <c r="E151" s="25" t="s">
        <v>1707</v>
      </c>
      <c r="F151" s="26" t="n">
        <v>44564</v>
      </c>
      <c r="G151" s="26" t="n">
        <v>2958465</v>
      </c>
      <c r="H151" s="27" t="b">
        <f aca="false">TRUE()</f>
        <v>1</v>
      </c>
      <c r="I151" s="25" t="s">
        <v>2158</v>
      </c>
      <c r="J151" s="25" t="s">
        <v>2159</v>
      </c>
      <c r="K151" s="25" t="s">
        <v>1738</v>
      </c>
      <c r="L151" s="25" t="s">
        <v>1739</v>
      </c>
      <c r="M151" s="25" t="s">
        <v>188</v>
      </c>
      <c r="N151" s="26" t="n">
        <v>44564</v>
      </c>
    </row>
    <row r="152" customFormat="false" ht="15" hidden="false" customHeight="false" outlineLevel="0" collapsed="false">
      <c r="A152" s="25" t="n">
        <v>150</v>
      </c>
      <c r="B152" s="25" t="s">
        <v>1461</v>
      </c>
      <c r="C152" s="25" t="s">
        <v>2160</v>
      </c>
      <c r="D152" s="25" t="s">
        <v>82</v>
      </c>
      <c r="E152" s="25" t="s">
        <v>1707</v>
      </c>
      <c r="F152" s="26" t="n">
        <v>44678</v>
      </c>
      <c r="G152" s="26" t="n">
        <v>2958465</v>
      </c>
      <c r="H152" s="27" t="b">
        <f aca="false">TRUE()</f>
        <v>1</v>
      </c>
      <c r="I152" s="25" t="s">
        <v>2161</v>
      </c>
      <c r="J152" s="25" t="s">
        <v>2162</v>
      </c>
      <c r="K152" s="25" t="s">
        <v>89</v>
      </c>
      <c r="L152" s="25" t="s">
        <v>1710</v>
      </c>
      <c r="M152" s="25" t="s">
        <v>188</v>
      </c>
      <c r="N152" s="26" t="n">
        <v>44678</v>
      </c>
    </row>
    <row r="153" customFormat="false" ht="15" hidden="false" customHeight="false" outlineLevel="0" collapsed="false">
      <c r="A153" s="25" t="n">
        <v>151</v>
      </c>
      <c r="B153" s="25" t="s">
        <v>1100</v>
      </c>
      <c r="C153" s="25" t="s">
        <v>2121</v>
      </c>
      <c r="D153" s="25" t="s">
        <v>74</v>
      </c>
      <c r="E153" s="25" t="s">
        <v>1707</v>
      </c>
      <c r="F153" s="26" t="n">
        <v>45161</v>
      </c>
      <c r="G153" s="26" t="n">
        <v>2958465</v>
      </c>
      <c r="H153" s="27" t="b">
        <f aca="false">TRUE()</f>
        <v>1</v>
      </c>
      <c r="I153" s="25" t="s">
        <v>2163</v>
      </c>
      <c r="J153" s="25" t="s">
        <v>2123</v>
      </c>
      <c r="K153" s="25" t="s">
        <v>89</v>
      </c>
      <c r="L153" s="25" t="s">
        <v>1710</v>
      </c>
      <c r="M153" s="25" t="s">
        <v>188</v>
      </c>
      <c r="N153" s="26" t="n">
        <v>45161</v>
      </c>
    </row>
    <row r="154" customFormat="false" ht="15" hidden="false" customHeight="false" outlineLevel="0" collapsed="false">
      <c r="A154" s="25" t="n">
        <v>152</v>
      </c>
      <c r="B154" s="25" t="s">
        <v>2164</v>
      </c>
      <c r="C154" s="25" t="s">
        <v>1893</v>
      </c>
      <c r="D154" s="25" t="s">
        <v>82</v>
      </c>
      <c r="E154" s="25" t="s">
        <v>1707</v>
      </c>
      <c r="F154" s="26" t="n">
        <v>44967</v>
      </c>
      <c r="G154" s="26" t="n">
        <v>2958465</v>
      </c>
      <c r="H154" s="27" t="b">
        <f aca="false">TRUE()</f>
        <v>1</v>
      </c>
      <c r="I154" s="25" t="s">
        <v>2165</v>
      </c>
      <c r="J154" s="25" t="s">
        <v>1895</v>
      </c>
      <c r="K154" s="25" t="s">
        <v>71</v>
      </c>
      <c r="L154" s="25" t="s">
        <v>1773</v>
      </c>
      <c r="M154" s="25" t="s">
        <v>188</v>
      </c>
      <c r="N154" s="26" t="n">
        <v>44967</v>
      </c>
    </row>
    <row r="155" customFormat="false" ht="15" hidden="false" customHeight="false" outlineLevel="0" collapsed="false">
      <c r="A155" s="25" t="n">
        <v>153</v>
      </c>
      <c r="B155" s="25" t="s">
        <v>2166</v>
      </c>
      <c r="C155" s="25" t="s">
        <v>96</v>
      </c>
      <c r="D155" s="25" t="s">
        <v>78</v>
      </c>
      <c r="E155" s="25" t="s">
        <v>1707</v>
      </c>
      <c r="F155" s="26" t="n">
        <v>44842</v>
      </c>
      <c r="G155" s="26" t="n">
        <v>2958465</v>
      </c>
      <c r="H155" s="27" t="b">
        <f aca="false">TRUE()</f>
        <v>1</v>
      </c>
      <c r="I155" s="25" t="s">
        <v>2167</v>
      </c>
      <c r="J155" s="25" t="s">
        <v>2098</v>
      </c>
      <c r="K155" s="25" t="s">
        <v>97</v>
      </c>
      <c r="L155" s="25" t="s">
        <v>1743</v>
      </c>
      <c r="M155" s="25" t="s">
        <v>188</v>
      </c>
      <c r="N155" s="26" t="n">
        <v>44842</v>
      </c>
    </row>
    <row r="156" customFormat="false" ht="15" hidden="false" customHeight="false" outlineLevel="0" collapsed="false">
      <c r="A156" s="25" t="n">
        <v>154</v>
      </c>
      <c r="B156" s="25" t="s">
        <v>1207</v>
      </c>
      <c r="C156" s="25" t="s">
        <v>2143</v>
      </c>
      <c r="D156" s="25" t="s">
        <v>78</v>
      </c>
      <c r="E156" s="25" t="s">
        <v>1707</v>
      </c>
      <c r="F156" s="26" t="n">
        <v>44807</v>
      </c>
      <c r="G156" s="26" t="n">
        <v>2958465</v>
      </c>
      <c r="H156" s="27" t="b">
        <f aca="false">TRUE()</f>
        <v>1</v>
      </c>
      <c r="I156" s="25" t="s">
        <v>2168</v>
      </c>
      <c r="J156" s="25" t="s">
        <v>2145</v>
      </c>
      <c r="K156" s="25" t="s">
        <v>75</v>
      </c>
      <c r="L156" s="25" t="s">
        <v>1722</v>
      </c>
      <c r="M156" s="25" t="s">
        <v>188</v>
      </c>
      <c r="N156" s="26" t="n">
        <v>44807</v>
      </c>
    </row>
    <row r="157" customFormat="false" ht="15" hidden="false" customHeight="false" outlineLevel="0" collapsed="false">
      <c r="A157" s="25" t="n">
        <v>155</v>
      </c>
      <c r="B157" s="25" t="s">
        <v>1020</v>
      </c>
      <c r="C157" s="25" t="s">
        <v>1984</v>
      </c>
      <c r="D157" s="25" t="s">
        <v>70</v>
      </c>
      <c r="E157" s="25" t="s">
        <v>1707</v>
      </c>
      <c r="F157" s="26" t="n">
        <v>44476</v>
      </c>
      <c r="G157" s="26" t="n">
        <v>2958465</v>
      </c>
      <c r="H157" s="27" t="b">
        <f aca="false">TRUE()</f>
        <v>1</v>
      </c>
      <c r="I157" s="25" t="s">
        <v>2169</v>
      </c>
      <c r="J157" s="25" t="s">
        <v>1986</v>
      </c>
      <c r="K157" s="25" t="s">
        <v>94</v>
      </c>
      <c r="L157" s="25" t="s">
        <v>1714</v>
      </c>
      <c r="M157" s="25" t="s">
        <v>188</v>
      </c>
      <c r="N157" s="26" t="n">
        <v>44476</v>
      </c>
    </row>
    <row r="158" customFormat="false" ht="15" hidden="false" customHeight="false" outlineLevel="0" collapsed="false">
      <c r="A158" s="25" t="n">
        <v>156</v>
      </c>
      <c r="B158" s="25" t="s">
        <v>1082</v>
      </c>
      <c r="C158" s="25" t="s">
        <v>1771</v>
      </c>
      <c r="D158" s="25" t="s">
        <v>74</v>
      </c>
      <c r="E158" s="25" t="s">
        <v>1707</v>
      </c>
      <c r="F158" s="26" t="n">
        <v>44718</v>
      </c>
      <c r="G158" s="26" t="n">
        <v>2958465</v>
      </c>
      <c r="H158" s="27" t="b">
        <f aca="false">TRUE()</f>
        <v>1</v>
      </c>
      <c r="I158" s="25" t="s">
        <v>25</v>
      </c>
      <c r="J158" s="25" t="s">
        <v>1772</v>
      </c>
      <c r="K158" s="25" t="s">
        <v>71</v>
      </c>
      <c r="L158" s="25" t="s">
        <v>1773</v>
      </c>
      <c r="M158" s="25" t="s">
        <v>188</v>
      </c>
      <c r="N158" s="26" t="n">
        <v>44718</v>
      </c>
    </row>
    <row r="159" customFormat="false" ht="15" hidden="false" customHeight="false" outlineLevel="0" collapsed="false">
      <c r="A159" s="25" t="n">
        <v>157</v>
      </c>
      <c r="B159" s="25" t="s">
        <v>972</v>
      </c>
      <c r="C159" s="25" t="s">
        <v>2018</v>
      </c>
      <c r="D159" s="25" t="s">
        <v>78</v>
      </c>
      <c r="E159" s="25" t="s">
        <v>1707</v>
      </c>
      <c r="F159" s="26" t="n">
        <v>45204</v>
      </c>
      <c r="G159" s="26" t="n">
        <v>2958465</v>
      </c>
      <c r="H159" s="27" t="b">
        <f aca="false">TRUE()</f>
        <v>1</v>
      </c>
      <c r="I159" s="25" t="s">
        <v>2170</v>
      </c>
      <c r="J159" s="25" t="s">
        <v>2020</v>
      </c>
      <c r="K159" s="25" t="s">
        <v>83</v>
      </c>
      <c r="L159" s="25" t="s">
        <v>1718</v>
      </c>
      <c r="M159" s="25" t="s">
        <v>188</v>
      </c>
      <c r="N159" s="26" t="n">
        <v>45204</v>
      </c>
    </row>
    <row r="160" customFormat="false" ht="15" hidden="false" customHeight="false" outlineLevel="0" collapsed="false">
      <c r="A160" s="25" t="n">
        <v>158</v>
      </c>
      <c r="B160" s="25" t="s">
        <v>1134</v>
      </c>
      <c r="C160" s="25" t="s">
        <v>1744</v>
      </c>
      <c r="D160" s="25" t="s">
        <v>74</v>
      </c>
      <c r="E160" s="25" t="s">
        <v>1707</v>
      </c>
      <c r="F160" s="26" t="n">
        <v>44487</v>
      </c>
      <c r="G160" s="26" t="n">
        <v>2958465</v>
      </c>
      <c r="H160" s="27" t="b">
        <f aca="false">TRUE()</f>
        <v>1</v>
      </c>
      <c r="I160" s="25" t="s">
        <v>2171</v>
      </c>
      <c r="J160" s="25" t="s">
        <v>1746</v>
      </c>
      <c r="K160" s="25" t="s">
        <v>94</v>
      </c>
      <c r="L160" s="25" t="s">
        <v>1714</v>
      </c>
      <c r="M160" s="25" t="s">
        <v>188</v>
      </c>
      <c r="N160" s="26" t="n">
        <v>44487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30" hidden="false" customHeight="true" outlineLevel="0" collapsed="false">
      <c r="A1" s="10" t="s">
        <v>2172</v>
      </c>
      <c r="B1" s="10" t="s">
        <v>2173</v>
      </c>
      <c r="C1" s="10" t="s">
        <v>2174</v>
      </c>
      <c r="D1" s="10" t="s">
        <v>1703</v>
      </c>
      <c r="E1" s="10" t="s">
        <v>2175</v>
      </c>
      <c r="F1" s="10" t="s">
        <v>2176</v>
      </c>
      <c r="G1" s="10" t="s">
        <v>2177</v>
      </c>
      <c r="H1" s="10" t="s">
        <v>2178</v>
      </c>
    </row>
    <row r="2" customFormat="false" ht="15" hidden="false" customHeight="false" outlineLevel="0" collapsed="false">
      <c r="A2" s="25" t="n">
        <v>-1</v>
      </c>
      <c r="B2" s="25" t="s">
        <v>803</v>
      </c>
      <c r="C2" s="25" t="s">
        <v>2179</v>
      </c>
      <c r="D2" s="25" t="s">
        <v>25</v>
      </c>
      <c r="E2" s="25" t="s">
        <v>2180</v>
      </c>
      <c r="F2" s="25"/>
      <c r="G2" s="25"/>
      <c r="H2" s="25"/>
    </row>
    <row r="3" customFormat="false" ht="15" hidden="false" customHeight="false" outlineLevel="0" collapsed="false">
      <c r="A3" s="25" t="n">
        <v>1</v>
      </c>
      <c r="B3" s="25" t="s">
        <v>194</v>
      </c>
      <c r="C3" s="25" t="s">
        <v>193</v>
      </c>
      <c r="D3" s="25" t="s">
        <v>25</v>
      </c>
      <c r="E3" s="25" t="s">
        <v>2180</v>
      </c>
      <c r="F3" s="25" t="n">
        <v>4.3</v>
      </c>
      <c r="G3" s="25" t="n">
        <v>4.3</v>
      </c>
      <c r="H3" s="26" t="n">
        <v>43416</v>
      </c>
    </row>
    <row r="4" customFormat="false" ht="15" hidden="false" customHeight="false" outlineLevel="0" collapsed="false">
      <c r="A4" s="25" t="n">
        <v>2</v>
      </c>
      <c r="B4" s="25" t="s">
        <v>218</v>
      </c>
      <c r="C4" s="25" t="s">
        <v>217</v>
      </c>
      <c r="D4" s="25" t="s">
        <v>185</v>
      </c>
      <c r="E4" s="25" t="s">
        <v>2180</v>
      </c>
      <c r="F4" s="25" t="n">
        <v>2.5</v>
      </c>
      <c r="G4" s="25" t="n">
        <v>2.5</v>
      </c>
      <c r="H4" s="26" t="n">
        <v>43499</v>
      </c>
    </row>
    <row r="5" customFormat="false" ht="15" hidden="false" customHeight="false" outlineLevel="0" collapsed="false">
      <c r="A5" s="25" t="n">
        <v>3</v>
      </c>
      <c r="B5" s="25" t="s">
        <v>201</v>
      </c>
      <c r="C5" s="25" t="s">
        <v>200</v>
      </c>
      <c r="D5" s="25" t="s">
        <v>197</v>
      </c>
      <c r="E5" s="25" t="s">
        <v>2180</v>
      </c>
      <c r="F5" s="25" t="n">
        <v>2.9</v>
      </c>
      <c r="G5" s="25" t="n">
        <v>2.9</v>
      </c>
      <c r="H5" s="26" t="n">
        <v>44898</v>
      </c>
    </row>
    <row r="6" customFormat="false" ht="15" hidden="false" customHeight="false" outlineLevel="0" collapsed="false">
      <c r="A6" s="25" t="n">
        <v>4</v>
      </c>
      <c r="B6" s="25" t="s">
        <v>190</v>
      </c>
      <c r="C6" s="25" t="s">
        <v>189</v>
      </c>
      <c r="D6" s="25" t="s">
        <v>25</v>
      </c>
      <c r="E6" s="25" t="s">
        <v>2181</v>
      </c>
      <c r="F6" s="25" t="n">
        <v>9.4</v>
      </c>
      <c r="G6" s="25" t="n">
        <v>4.7</v>
      </c>
      <c r="H6" s="26" t="n">
        <v>43684</v>
      </c>
    </row>
    <row r="7" customFormat="false" ht="15" hidden="false" customHeight="false" outlineLevel="0" collapsed="false">
      <c r="A7" s="25" t="n">
        <v>5</v>
      </c>
      <c r="B7" s="25" t="s">
        <v>192</v>
      </c>
      <c r="C7" s="25" t="s">
        <v>191</v>
      </c>
      <c r="D7" s="25" t="s">
        <v>185</v>
      </c>
      <c r="E7" s="25" t="s">
        <v>2181</v>
      </c>
      <c r="F7" s="25" t="n">
        <v>4.5</v>
      </c>
      <c r="G7" s="25" t="n">
        <v>4.5</v>
      </c>
      <c r="H7" s="26" t="n">
        <v>43661</v>
      </c>
    </row>
    <row r="8" customFormat="false" ht="15" hidden="false" customHeight="false" outlineLevel="0" collapsed="false">
      <c r="A8" s="25" t="n">
        <v>6</v>
      </c>
      <c r="B8" s="25" t="s">
        <v>184</v>
      </c>
      <c r="C8" s="25" t="s">
        <v>183</v>
      </c>
      <c r="D8" s="25" t="s">
        <v>185</v>
      </c>
      <c r="E8" s="25" t="s">
        <v>2180</v>
      </c>
      <c r="F8" s="25" t="n">
        <v>7.5</v>
      </c>
      <c r="G8" s="25" t="n">
        <v>3.75</v>
      </c>
      <c r="H8" s="26" t="n">
        <v>44900</v>
      </c>
    </row>
    <row r="9" customFormat="false" ht="15" hidden="false" customHeight="false" outlineLevel="0" collapsed="false">
      <c r="A9" s="25" t="n">
        <v>7</v>
      </c>
      <c r="B9" s="25" t="s">
        <v>182</v>
      </c>
      <c r="C9" s="25" t="s">
        <v>181</v>
      </c>
      <c r="D9" s="25" t="s">
        <v>25</v>
      </c>
      <c r="E9" s="25" t="s">
        <v>2180</v>
      </c>
      <c r="F9" s="25" t="n">
        <v>4.2</v>
      </c>
      <c r="G9" s="25" t="n">
        <v>4.2</v>
      </c>
      <c r="H9" s="26" t="n">
        <v>45458</v>
      </c>
    </row>
    <row r="10" customFormat="false" ht="15" hidden="false" customHeight="false" outlineLevel="0" collapsed="false">
      <c r="A10" s="25" t="n">
        <v>8</v>
      </c>
      <c r="B10" s="25" t="s">
        <v>205</v>
      </c>
      <c r="C10" s="25" t="s">
        <v>204</v>
      </c>
      <c r="D10" s="25" t="s">
        <v>188</v>
      </c>
      <c r="E10" s="25" t="s">
        <v>2180</v>
      </c>
      <c r="F10" s="25" t="n">
        <v>3.7</v>
      </c>
      <c r="G10" s="25" t="n">
        <v>3.7</v>
      </c>
      <c r="H10" s="26" t="n">
        <v>44174</v>
      </c>
    </row>
    <row r="11" customFormat="false" ht="15" hidden="false" customHeight="false" outlineLevel="0" collapsed="false">
      <c r="A11" s="25" t="n">
        <v>9</v>
      </c>
      <c r="B11" s="25" t="s">
        <v>199</v>
      </c>
      <c r="C11" s="25" t="s">
        <v>198</v>
      </c>
      <c r="D11" s="25" t="s">
        <v>185</v>
      </c>
      <c r="E11" s="25" t="s">
        <v>2180</v>
      </c>
      <c r="F11" s="25" t="n">
        <v>4</v>
      </c>
      <c r="G11" s="25" t="n">
        <v>4</v>
      </c>
      <c r="H11" s="26" t="n">
        <v>44437</v>
      </c>
    </row>
    <row r="12" customFormat="false" ht="15" hidden="false" customHeight="false" outlineLevel="0" collapsed="false">
      <c r="A12" s="25" t="n">
        <v>10</v>
      </c>
      <c r="B12" s="25" t="s">
        <v>211</v>
      </c>
      <c r="C12" s="25" t="s">
        <v>210</v>
      </c>
      <c r="D12" s="25" t="s">
        <v>185</v>
      </c>
      <c r="E12" s="25" t="s">
        <v>2180</v>
      </c>
      <c r="F12" s="25" t="n">
        <v>4.9</v>
      </c>
      <c r="G12" s="25" t="n">
        <v>4.9</v>
      </c>
      <c r="H12" s="26" t="n">
        <v>43554</v>
      </c>
    </row>
    <row r="13" customFormat="false" ht="15" hidden="false" customHeight="false" outlineLevel="0" collapsed="false">
      <c r="A13" s="25" t="n">
        <v>11</v>
      </c>
      <c r="B13" s="25" t="s">
        <v>216</v>
      </c>
      <c r="C13" s="25" t="s">
        <v>215</v>
      </c>
      <c r="D13" s="25" t="s">
        <v>197</v>
      </c>
      <c r="E13" s="25" t="s">
        <v>2180</v>
      </c>
      <c r="F13" s="25" t="n">
        <v>3.3</v>
      </c>
      <c r="G13" s="25" t="n">
        <v>3.3</v>
      </c>
      <c r="H13" s="26" t="n">
        <v>45024</v>
      </c>
    </row>
    <row r="14" customFormat="false" ht="15" hidden="false" customHeight="false" outlineLevel="0" collapsed="false">
      <c r="A14" s="25" t="n">
        <v>12</v>
      </c>
      <c r="B14" s="25" t="s">
        <v>207</v>
      </c>
      <c r="C14" s="25" t="s">
        <v>206</v>
      </c>
      <c r="D14" s="25" t="s">
        <v>197</v>
      </c>
      <c r="E14" s="25" t="s">
        <v>2180</v>
      </c>
      <c r="F14" s="25" t="n">
        <v>3</v>
      </c>
      <c r="G14" s="25" t="n">
        <v>3</v>
      </c>
      <c r="H14" s="26" t="n">
        <v>43434</v>
      </c>
    </row>
    <row r="15" customFormat="false" ht="15" hidden="false" customHeight="false" outlineLevel="0" collapsed="false">
      <c r="A15" s="25" t="n">
        <v>13</v>
      </c>
      <c r="B15" s="25" t="s">
        <v>213</v>
      </c>
      <c r="C15" s="25" t="s">
        <v>212</v>
      </c>
      <c r="D15" s="25" t="s">
        <v>214</v>
      </c>
      <c r="E15" s="25" t="s">
        <v>2181</v>
      </c>
      <c r="F15" s="25" t="n">
        <v>1.6</v>
      </c>
      <c r="G15" s="25" t="n">
        <v>1.6</v>
      </c>
      <c r="H15" s="26" t="n">
        <v>44435</v>
      </c>
    </row>
    <row r="16" customFormat="false" ht="15" hidden="false" customHeight="false" outlineLevel="0" collapsed="false">
      <c r="A16" s="25" t="n">
        <v>14</v>
      </c>
      <c r="B16" s="25" t="s">
        <v>203</v>
      </c>
      <c r="C16" s="25" t="s">
        <v>202</v>
      </c>
      <c r="D16" s="25" t="s">
        <v>25</v>
      </c>
      <c r="E16" s="25" t="s">
        <v>2181</v>
      </c>
      <c r="F16" s="25" t="n">
        <v>2.5</v>
      </c>
      <c r="G16" s="25" t="n">
        <v>2.5</v>
      </c>
      <c r="H16" s="26" t="n">
        <v>44197</v>
      </c>
    </row>
    <row r="17" customFormat="false" ht="15" hidden="false" customHeight="false" outlineLevel="0" collapsed="false">
      <c r="A17" s="25" t="n">
        <v>15</v>
      </c>
      <c r="B17" s="25" t="s">
        <v>187</v>
      </c>
      <c r="C17" s="25" t="s">
        <v>186</v>
      </c>
      <c r="D17" s="25" t="s">
        <v>188</v>
      </c>
      <c r="E17" s="25" t="s">
        <v>2180</v>
      </c>
      <c r="F17" s="25" t="n">
        <v>4.1</v>
      </c>
      <c r="G17" s="25" t="n">
        <v>4.1</v>
      </c>
      <c r="H17" s="26" t="n">
        <v>44606</v>
      </c>
    </row>
    <row r="18" customFormat="false" ht="15" hidden="false" customHeight="false" outlineLevel="0" collapsed="false">
      <c r="A18" s="25" t="n">
        <v>16</v>
      </c>
      <c r="B18" s="25" t="s">
        <v>209</v>
      </c>
      <c r="C18" s="25" t="s">
        <v>208</v>
      </c>
      <c r="D18" s="25" t="s">
        <v>185</v>
      </c>
      <c r="E18" s="25" t="s">
        <v>2180</v>
      </c>
      <c r="F18" s="25" t="n">
        <v>7.7</v>
      </c>
      <c r="G18" s="25" t="n">
        <v>3.85</v>
      </c>
      <c r="H18" s="26" t="n">
        <v>43751</v>
      </c>
    </row>
    <row r="19" customFormat="false" ht="15" hidden="false" customHeight="false" outlineLevel="0" collapsed="false">
      <c r="A19" s="25" t="n">
        <v>17</v>
      </c>
      <c r="B19" s="25" t="s">
        <v>220</v>
      </c>
      <c r="C19" s="25" t="s">
        <v>219</v>
      </c>
      <c r="D19" s="25" t="s">
        <v>197</v>
      </c>
      <c r="E19" s="25" t="s">
        <v>2181</v>
      </c>
      <c r="F19" s="25" t="n">
        <v>2.7</v>
      </c>
      <c r="G19" s="25" t="n">
        <v>2.7</v>
      </c>
      <c r="H19" s="26" t="n">
        <v>44630</v>
      </c>
    </row>
    <row r="20" customFormat="false" ht="15" hidden="false" customHeight="false" outlineLevel="0" collapsed="false">
      <c r="A20" s="25" t="n">
        <v>18</v>
      </c>
      <c r="B20" s="25" t="s">
        <v>196</v>
      </c>
      <c r="C20" s="25" t="s">
        <v>195</v>
      </c>
      <c r="D20" s="25" t="s">
        <v>197</v>
      </c>
      <c r="E20" s="25" t="s">
        <v>2180</v>
      </c>
      <c r="F20" s="25" t="n">
        <v>5</v>
      </c>
      <c r="G20" s="25" t="n">
        <v>5</v>
      </c>
      <c r="H20" s="26" t="n">
        <v>43114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5"/>
  </cols>
  <sheetData>
    <row r="1" customFormat="false" ht="30" hidden="false" customHeight="true" outlineLevel="0" collapsed="false">
      <c r="A1" s="10" t="s">
        <v>2182</v>
      </c>
      <c r="B1" s="10" t="s">
        <v>121</v>
      </c>
      <c r="C1" s="10" t="s">
        <v>122</v>
      </c>
      <c r="D1" s="10" t="s">
        <v>123</v>
      </c>
      <c r="E1" s="10" t="s">
        <v>2183</v>
      </c>
      <c r="F1" s="10" t="s">
        <v>2172</v>
      </c>
      <c r="G1" s="10" t="s">
        <v>765</v>
      </c>
      <c r="H1" s="10" t="s">
        <v>2184</v>
      </c>
      <c r="I1" s="10" t="s">
        <v>1696</v>
      </c>
      <c r="J1" s="10" t="s">
        <v>2185</v>
      </c>
    </row>
    <row r="2" customFormat="false" ht="15" hidden="false" customHeight="false" outlineLevel="0" collapsed="false">
      <c r="A2" s="25" t="n">
        <v>-1</v>
      </c>
      <c r="B2" s="25" t="s">
        <v>803</v>
      </c>
      <c r="C2" s="25" t="s">
        <v>2186</v>
      </c>
      <c r="D2" s="25" t="s">
        <v>25</v>
      </c>
      <c r="E2" s="25" t="s">
        <v>25</v>
      </c>
      <c r="F2" s="25" t="n">
        <v>-1</v>
      </c>
      <c r="G2" s="25"/>
      <c r="H2" s="25"/>
      <c r="I2" s="25"/>
      <c r="J2" s="25"/>
    </row>
    <row r="3" customFormat="false" ht="15" hidden="false" customHeight="false" outlineLevel="0" collapsed="false">
      <c r="A3" s="25" t="n">
        <v>1</v>
      </c>
      <c r="B3" s="25" t="s">
        <v>609</v>
      </c>
      <c r="C3" s="25" t="s">
        <v>610</v>
      </c>
      <c r="D3" s="25" t="s">
        <v>20</v>
      </c>
      <c r="E3" s="25" t="s">
        <v>2187</v>
      </c>
      <c r="F3" s="25" t="n">
        <v>14</v>
      </c>
      <c r="G3" s="25" t="n">
        <v>10660.79</v>
      </c>
      <c r="H3" s="25" t="n">
        <v>16799.61</v>
      </c>
      <c r="I3" s="25" t="s">
        <v>1707</v>
      </c>
      <c r="J3" s="26" t="n">
        <v>45077</v>
      </c>
    </row>
    <row r="4" customFormat="false" ht="15" hidden="false" customHeight="false" outlineLevel="0" collapsed="false">
      <c r="A4" s="25" t="n">
        <v>2</v>
      </c>
      <c r="B4" s="25" t="s">
        <v>152</v>
      </c>
      <c r="C4" s="25" t="s">
        <v>153</v>
      </c>
      <c r="D4" s="25" t="s">
        <v>23</v>
      </c>
      <c r="E4" s="25" t="s">
        <v>2188</v>
      </c>
      <c r="F4" s="25" t="n">
        <v>7</v>
      </c>
      <c r="G4" s="25" t="n">
        <v>9953.59</v>
      </c>
      <c r="H4" s="25" t="n">
        <v>9027.17</v>
      </c>
      <c r="I4" s="25" t="s">
        <v>1706</v>
      </c>
      <c r="J4" s="26" t="n">
        <v>44470</v>
      </c>
    </row>
    <row r="5" customFormat="false" ht="15" hidden="false" customHeight="false" outlineLevel="0" collapsed="false">
      <c r="A5" s="25" t="n">
        <v>3</v>
      </c>
      <c r="B5" s="25" t="s">
        <v>2189</v>
      </c>
      <c r="C5" s="25" t="s">
        <v>2190</v>
      </c>
      <c r="D5" s="25" t="s">
        <v>22</v>
      </c>
      <c r="E5" s="25" t="s">
        <v>2191</v>
      </c>
      <c r="F5" s="25" t="n">
        <v>6</v>
      </c>
      <c r="G5" s="25"/>
      <c r="H5" s="25" t="n">
        <v>10602.65</v>
      </c>
      <c r="I5" s="25" t="s">
        <v>1707</v>
      </c>
      <c r="J5" s="26" t="n">
        <v>44314</v>
      </c>
    </row>
    <row r="6" customFormat="false" ht="15" hidden="false" customHeight="false" outlineLevel="0" collapsed="false">
      <c r="A6" s="25" t="n">
        <v>4</v>
      </c>
      <c r="B6" s="25" t="s">
        <v>160</v>
      </c>
      <c r="C6" s="25" t="s">
        <v>161</v>
      </c>
      <c r="D6" s="25" t="s">
        <v>23</v>
      </c>
      <c r="E6" s="25" t="s">
        <v>2192</v>
      </c>
      <c r="F6" s="25" t="n">
        <v>15</v>
      </c>
      <c r="G6" s="25" t="n">
        <v>21122.18</v>
      </c>
      <c r="H6" s="25" t="n">
        <v>15898.59</v>
      </c>
      <c r="I6" s="25" t="s">
        <v>1707</v>
      </c>
      <c r="J6" s="26" t="n">
        <v>43828</v>
      </c>
    </row>
    <row r="7" customFormat="false" ht="15" hidden="false" customHeight="false" outlineLevel="0" collapsed="false">
      <c r="A7" s="25" t="n">
        <v>5</v>
      </c>
      <c r="B7" s="25" t="s">
        <v>643</v>
      </c>
      <c r="C7" s="25" t="s">
        <v>644</v>
      </c>
      <c r="D7" s="25" t="s">
        <v>22</v>
      </c>
      <c r="E7" s="25" t="s">
        <v>2191</v>
      </c>
      <c r="F7" s="25" t="n">
        <v>5</v>
      </c>
      <c r="G7" s="25" t="n">
        <v>17935.95</v>
      </c>
      <c r="H7" s="25" t="n">
        <v>14399.03</v>
      </c>
      <c r="I7" s="25" t="s">
        <v>1707</v>
      </c>
      <c r="J7" s="26" t="n">
        <v>44992</v>
      </c>
    </row>
    <row r="8" customFormat="false" ht="15" hidden="false" customHeight="false" outlineLevel="0" collapsed="false">
      <c r="A8" s="25" t="n">
        <v>6</v>
      </c>
      <c r="B8" s="25" t="s">
        <v>615</v>
      </c>
      <c r="C8" s="25" t="s">
        <v>616</v>
      </c>
      <c r="D8" s="25" t="s">
        <v>23</v>
      </c>
      <c r="E8" s="25" t="s">
        <v>2188</v>
      </c>
      <c r="F8" s="25" t="n">
        <v>7</v>
      </c>
      <c r="G8" s="25" t="n">
        <v>2863.09</v>
      </c>
      <c r="H8" s="25" t="n">
        <v>4549.93</v>
      </c>
      <c r="I8" s="25" t="s">
        <v>1707</v>
      </c>
      <c r="J8" s="26" t="n">
        <v>44060</v>
      </c>
    </row>
    <row r="9" customFormat="false" ht="15" hidden="false" customHeight="false" outlineLevel="0" collapsed="false">
      <c r="A9" s="25" t="n">
        <v>7</v>
      </c>
      <c r="B9" s="25" t="s">
        <v>139</v>
      </c>
      <c r="C9" s="25" t="s">
        <v>140</v>
      </c>
      <c r="D9" s="25" t="s">
        <v>24</v>
      </c>
      <c r="E9" s="25" t="s">
        <v>2193</v>
      </c>
      <c r="F9" s="25" t="n">
        <v>1</v>
      </c>
      <c r="G9" s="25" t="n">
        <v>20278.89</v>
      </c>
      <c r="H9" s="25" t="n">
        <v>12749.85</v>
      </c>
      <c r="I9" s="25" t="s">
        <v>1707</v>
      </c>
      <c r="J9" s="26" t="n">
        <v>45469</v>
      </c>
    </row>
    <row r="10" customFormat="false" ht="15" hidden="false" customHeight="false" outlineLevel="0" collapsed="false">
      <c r="A10" s="25" t="n">
        <v>8</v>
      </c>
      <c r="B10" s="25" t="s">
        <v>625</v>
      </c>
      <c r="C10" s="25" t="s">
        <v>25</v>
      </c>
      <c r="D10" s="25" t="s">
        <v>21</v>
      </c>
      <c r="E10" s="25" t="s">
        <v>2194</v>
      </c>
      <c r="F10" s="25" t="n">
        <v>13</v>
      </c>
      <c r="G10" s="25" t="n">
        <v>15176.98</v>
      </c>
      <c r="H10" s="25" t="n">
        <v>13176.38</v>
      </c>
      <c r="I10" s="25" t="s">
        <v>1707</v>
      </c>
      <c r="J10" s="26" t="n">
        <v>44458</v>
      </c>
    </row>
    <row r="11" customFormat="false" ht="15" hidden="false" customHeight="false" outlineLevel="0" collapsed="false">
      <c r="A11" s="25" t="n">
        <v>9</v>
      </c>
      <c r="B11" s="25" t="s">
        <v>775</v>
      </c>
      <c r="C11" s="25" t="s">
        <v>2195</v>
      </c>
      <c r="D11" s="25" t="s">
        <v>23</v>
      </c>
      <c r="E11" s="25" t="s">
        <v>2188</v>
      </c>
      <c r="F11" s="25" t="n">
        <v>2</v>
      </c>
      <c r="G11" s="25" t="n">
        <v>26274.11</v>
      </c>
      <c r="H11" s="25" t="n">
        <v>19618.3</v>
      </c>
      <c r="I11" s="25" t="s">
        <v>1707</v>
      </c>
      <c r="J11" s="26" t="n">
        <v>44322</v>
      </c>
    </row>
    <row r="12" customFormat="false" ht="15" hidden="false" customHeight="false" outlineLevel="0" collapsed="false">
      <c r="A12" s="25" t="n">
        <v>10</v>
      </c>
      <c r="B12" s="25" t="s">
        <v>621</v>
      </c>
      <c r="C12" s="25" t="s">
        <v>622</v>
      </c>
      <c r="D12" s="25" t="s">
        <v>20</v>
      </c>
      <c r="E12" s="25" t="s">
        <v>2187</v>
      </c>
      <c r="F12" s="25" t="n">
        <v>4</v>
      </c>
      <c r="G12" s="25" t="n">
        <v>1165.83</v>
      </c>
      <c r="H12" s="25" t="n">
        <v>1730.66</v>
      </c>
      <c r="I12" s="25" t="s">
        <v>1707</v>
      </c>
      <c r="J12" s="26" t="n">
        <v>44111</v>
      </c>
    </row>
    <row r="13" customFormat="false" ht="15" hidden="false" customHeight="false" outlineLevel="0" collapsed="false">
      <c r="A13" s="25" t="n">
        <v>11</v>
      </c>
      <c r="B13" s="25" t="s">
        <v>830</v>
      </c>
      <c r="C13" s="25" t="s">
        <v>2196</v>
      </c>
      <c r="D13" s="25" t="s">
        <v>22</v>
      </c>
      <c r="E13" s="25" t="s">
        <v>2197</v>
      </c>
      <c r="F13" s="25" t="n">
        <v>6</v>
      </c>
      <c r="G13" s="25" t="n">
        <v>1179.68</v>
      </c>
      <c r="H13" s="25" t="n">
        <v>828.75</v>
      </c>
      <c r="I13" s="25" t="s">
        <v>1707</v>
      </c>
      <c r="J13" s="26" t="n">
        <v>45060</v>
      </c>
    </row>
    <row r="14" customFormat="false" ht="15" hidden="false" customHeight="false" outlineLevel="0" collapsed="false">
      <c r="A14" s="25" t="n">
        <v>12</v>
      </c>
      <c r="B14" s="25" t="s">
        <v>148</v>
      </c>
      <c r="C14" s="25" t="s">
        <v>149</v>
      </c>
      <c r="D14" s="25" t="s">
        <v>21</v>
      </c>
      <c r="E14" s="25" t="s">
        <v>2194</v>
      </c>
      <c r="F14" s="25" t="n">
        <v>3</v>
      </c>
      <c r="G14" s="25" t="n">
        <v>11434.02</v>
      </c>
      <c r="H14" s="25" t="n">
        <v>8795.33</v>
      </c>
      <c r="I14" s="25" t="s">
        <v>1707</v>
      </c>
      <c r="J14" s="26" t="n">
        <v>45234</v>
      </c>
    </row>
    <row r="15" customFormat="false" ht="15" hidden="false" customHeight="false" outlineLevel="0" collapsed="false">
      <c r="A15" s="25" t="n">
        <v>13</v>
      </c>
      <c r="B15" s="25" t="s">
        <v>603</v>
      </c>
      <c r="C15" s="25" t="s">
        <v>604</v>
      </c>
      <c r="D15" s="25" t="s">
        <v>23</v>
      </c>
      <c r="E15" s="25" t="s">
        <v>2192</v>
      </c>
      <c r="F15" s="25" t="n">
        <v>18</v>
      </c>
      <c r="G15" s="25" t="n">
        <v>15622.68</v>
      </c>
      <c r="H15" s="25" t="n">
        <v>24940.49</v>
      </c>
      <c r="I15" s="25" t="s">
        <v>1707</v>
      </c>
      <c r="J15" s="26" t="n">
        <v>44434</v>
      </c>
    </row>
    <row r="16" customFormat="false" ht="15" hidden="false" customHeight="false" outlineLevel="0" collapsed="false">
      <c r="A16" s="25" t="n">
        <v>14</v>
      </c>
      <c r="B16" s="25" t="s">
        <v>1022</v>
      </c>
      <c r="C16" s="25" t="s">
        <v>2198</v>
      </c>
      <c r="D16" s="25" t="s">
        <v>20</v>
      </c>
      <c r="E16" s="25" t="s">
        <v>2199</v>
      </c>
      <c r="F16" s="25" t="n">
        <v>7</v>
      </c>
      <c r="G16" s="25" t="n">
        <v>13809.86</v>
      </c>
      <c r="H16" s="25" t="n">
        <v>10954.94</v>
      </c>
      <c r="I16" s="25" t="s">
        <v>1707</v>
      </c>
      <c r="J16" s="26" t="n">
        <v>45302</v>
      </c>
    </row>
    <row r="17" customFormat="false" ht="15" hidden="false" customHeight="false" outlineLevel="0" collapsed="false">
      <c r="A17" s="25" t="n">
        <v>15</v>
      </c>
      <c r="B17" s="25" t="s">
        <v>778</v>
      </c>
      <c r="C17" s="25" t="s">
        <v>2200</v>
      </c>
      <c r="D17" s="25" t="s">
        <v>24</v>
      </c>
      <c r="E17" s="25" t="s">
        <v>2201</v>
      </c>
      <c r="F17" s="25" t="n">
        <v>3</v>
      </c>
      <c r="G17" s="25" t="n">
        <v>4516.1</v>
      </c>
      <c r="H17" s="25" t="n">
        <v>3416.23</v>
      </c>
      <c r="I17" s="25" t="s">
        <v>1706</v>
      </c>
      <c r="J17" s="26" t="n">
        <v>44596</v>
      </c>
    </row>
    <row r="18" customFormat="false" ht="15" hidden="false" customHeight="false" outlineLevel="0" collapsed="false">
      <c r="A18" s="25" t="n">
        <v>16</v>
      </c>
      <c r="B18" s="25" t="s">
        <v>154</v>
      </c>
      <c r="C18" s="25" t="s">
        <v>155</v>
      </c>
      <c r="D18" s="25" t="s">
        <v>21</v>
      </c>
      <c r="E18" s="25" t="s">
        <v>2202</v>
      </c>
      <c r="F18" s="25" t="n">
        <v>-1</v>
      </c>
      <c r="G18" s="25" t="n">
        <v>2260.53</v>
      </c>
      <c r="H18" s="25" t="n">
        <v>1593.32</v>
      </c>
      <c r="I18" s="25" t="s">
        <v>1707</v>
      </c>
      <c r="J18" s="26" t="n">
        <v>44333</v>
      </c>
    </row>
    <row r="19" customFormat="false" ht="15" hidden="false" customHeight="false" outlineLevel="0" collapsed="false">
      <c r="A19" s="25" t="n">
        <v>17</v>
      </c>
      <c r="B19" s="25" t="s">
        <v>859</v>
      </c>
      <c r="C19" s="25" t="s">
        <v>2203</v>
      </c>
      <c r="D19" s="25" t="s">
        <v>23</v>
      </c>
      <c r="E19" s="25" t="s">
        <v>2188</v>
      </c>
      <c r="F19" s="25" t="n">
        <v>7</v>
      </c>
      <c r="G19" s="25" t="n">
        <v>17485.19</v>
      </c>
      <c r="H19" s="25" t="n">
        <v>15648.11</v>
      </c>
      <c r="I19" s="25" t="s">
        <v>1707</v>
      </c>
      <c r="J19" s="26" t="n">
        <v>44766</v>
      </c>
    </row>
    <row r="20" customFormat="false" ht="15" hidden="false" customHeight="false" outlineLevel="0" collapsed="false">
      <c r="A20" s="25" t="n">
        <v>18</v>
      </c>
      <c r="B20" s="25" t="s">
        <v>786</v>
      </c>
      <c r="C20" s="25" t="s">
        <v>2204</v>
      </c>
      <c r="D20" s="25" t="s">
        <v>24</v>
      </c>
      <c r="E20" s="25" t="s">
        <v>2201</v>
      </c>
      <c r="F20" s="25" t="n">
        <v>11</v>
      </c>
      <c r="G20" s="25" t="n">
        <v>17477.91</v>
      </c>
      <c r="H20" s="25" t="n">
        <v>12141.39</v>
      </c>
      <c r="I20" s="25" t="s">
        <v>1707</v>
      </c>
      <c r="J20" s="26" t="n">
        <v>44060</v>
      </c>
    </row>
    <row r="21" customFormat="false" ht="15" hidden="false" customHeight="false" outlineLevel="0" collapsed="false">
      <c r="A21" s="25" t="n">
        <v>19</v>
      </c>
      <c r="B21" s="25" t="s">
        <v>635</v>
      </c>
      <c r="C21" s="25" t="s">
        <v>636</v>
      </c>
      <c r="D21" s="25" t="s">
        <v>22</v>
      </c>
      <c r="E21" s="25" t="s">
        <v>2197</v>
      </c>
      <c r="F21" s="25" t="n">
        <v>15</v>
      </c>
      <c r="G21" s="25" t="n">
        <v>7877.61</v>
      </c>
      <c r="H21" s="25" t="n">
        <v>6356.27</v>
      </c>
      <c r="I21" s="25" t="s">
        <v>1706</v>
      </c>
      <c r="J21" s="26" t="n">
        <v>44184</v>
      </c>
    </row>
    <row r="22" customFormat="false" ht="15" hidden="false" customHeight="false" outlineLevel="0" collapsed="false">
      <c r="A22" s="25" t="n">
        <v>20</v>
      </c>
      <c r="B22" s="25" t="s">
        <v>611</v>
      </c>
      <c r="C22" s="25" t="s">
        <v>612</v>
      </c>
      <c r="D22" s="25" t="s">
        <v>22</v>
      </c>
      <c r="E22" s="25" t="s">
        <v>2197</v>
      </c>
      <c r="F22" s="25" t="n">
        <v>3</v>
      </c>
      <c r="G22" s="25" t="n">
        <v>3634.57</v>
      </c>
      <c r="H22" s="25" t="n">
        <v>5171.78</v>
      </c>
      <c r="I22" s="25" t="s">
        <v>1707</v>
      </c>
      <c r="J22" s="26" t="n">
        <v>44272</v>
      </c>
    </row>
    <row r="23" customFormat="false" ht="15" hidden="false" customHeight="false" outlineLevel="0" collapsed="false">
      <c r="A23" s="25" t="n">
        <v>21</v>
      </c>
      <c r="B23" s="25" t="s">
        <v>129</v>
      </c>
      <c r="C23" s="25" t="s">
        <v>130</v>
      </c>
      <c r="D23" s="25" t="s">
        <v>24</v>
      </c>
      <c r="E23" s="25" t="s">
        <v>2205</v>
      </c>
      <c r="F23" s="25" t="n">
        <v>2</v>
      </c>
      <c r="G23" s="25" t="n">
        <v>3184.81</v>
      </c>
      <c r="H23" s="25" t="n">
        <v>2801</v>
      </c>
      <c r="I23" s="25" t="s">
        <v>1707</v>
      </c>
      <c r="J23" s="26" t="n">
        <v>45237</v>
      </c>
    </row>
    <row r="24" customFormat="false" ht="15" hidden="false" customHeight="false" outlineLevel="0" collapsed="false">
      <c r="A24" s="25" t="n">
        <v>22</v>
      </c>
      <c r="B24" s="25" t="s">
        <v>981</v>
      </c>
      <c r="C24" s="25" t="s">
        <v>2206</v>
      </c>
      <c r="D24" s="25" t="s">
        <v>21</v>
      </c>
      <c r="E24" s="25" t="s">
        <v>2202</v>
      </c>
      <c r="F24" s="25" t="n">
        <v>6</v>
      </c>
      <c r="G24" s="25" t="n">
        <v>19552.29</v>
      </c>
      <c r="H24" s="25" t="n">
        <v>14219.86</v>
      </c>
      <c r="I24" s="25" t="s">
        <v>1707</v>
      </c>
      <c r="J24" s="26" t="n">
        <v>45189</v>
      </c>
    </row>
    <row r="25" customFormat="false" ht="15" hidden="false" customHeight="false" outlineLevel="0" collapsed="false">
      <c r="A25" s="25" t="n">
        <v>23</v>
      </c>
      <c r="B25" s="25" t="s">
        <v>637</v>
      </c>
      <c r="C25" s="25" t="s">
        <v>638</v>
      </c>
      <c r="D25" s="25" t="s">
        <v>21</v>
      </c>
      <c r="E25" s="25" t="s">
        <v>2202</v>
      </c>
      <c r="F25" s="25" t="n">
        <v>-1</v>
      </c>
      <c r="G25" s="25" t="n">
        <v>3019.36</v>
      </c>
      <c r="H25" s="25" t="n">
        <v>2515.11</v>
      </c>
      <c r="I25" s="25" t="s">
        <v>1707</v>
      </c>
      <c r="J25" s="26" t="n">
        <v>45469</v>
      </c>
    </row>
    <row r="26" customFormat="false" ht="15" hidden="false" customHeight="false" outlineLevel="0" collapsed="false">
      <c r="A26" s="25" t="n">
        <v>24</v>
      </c>
      <c r="B26" s="25" t="s">
        <v>883</v>
      </c>
      <c r="C26" s="25" t="s">
        <v>2207</v>
      </c>
      <c r="D26" s="25" t="s">
        <v>21</v>
      </c>
      <c r="E26" s="25" t="s">
        <v>2202</v>
      </c>
      <c r="F26" s="25" t="n">
        <v>12</v>
      </c>
      <c r="G26" s="25" t="n">
        <v>11175.62</v>
      </c>
      <c r="H26" s="25" t="n">
        <v>7441.33</v>
      </c>
      <c r="I26" s="25" t="s">
        <v>1707</v>
      </c>
      <c r="J26" s="26" t="n">
        <v>45010</v>
      </c>
    </row>
    <row r="27" customFormat="false" ht="15" hidden="false" customHeight="false" outlineLevel="0" collapsed="false">
      <c r="A27" s="25" t="n">
        <v>25</v>
      </c>
      <c r="B27" s="25" t="s">
        <v>1054</v>
      </c>
      <c r="C27" s="25" t="s">
        <v>2208</v>
      </c>
      <c r="D27" s="25" t="s">
        <v>21</v>
      </c>
      <c r="E27" s="25" t="s">
        <v>2209</v>
      </c>
      <c r="F27" s="25" t="n">
        <v>10</v>
      </c>
      <c r="G27" s="25" t="n">
        <v>19632.52</v>
      </c>
      <c r="H27" s="25" t="n">
        <v>14405.51</v>
      </c>
      <c r="I27" s="25" t="s">
        <v>1707</v>
      </c>
      <c r="J27" s="26" t="n">
        <v>45218</v>
      </c>
    </row>
    <row r="28" customFormat="false" ht="15" hidden="false" customHeight="false" outlineLevel="0" collapsed="false">
      <c r="A28" s="25" t="n">
        <v>26</v>
      </c>
      <c r="B28" s="25" t="s">
        <v>1093</v>
      </c>
      <c r="C28" s="25" t="s">
        <v>2210</v>
      </c>
      <c r="D28" s="25" t="s">
        <v>21</v>
      </c>
      <c r="E28" s="25" t="s">
        <v>2202</v>
      </c>
      <c r="F28" s="25" t="n">
        <v>11</v>
      </c>
      <c r="G28" s="25" t="n">
        <v>13038.96</v>
      </c>
      <c r="H28" s="25" t="n">
        <v>9054.49</v>
      </c>
      <c r="I28" s="25" t="s">
        <v>1707</v>
      </c>
      <c r="J28" s="26" t="n">
        <v>44541</v>
      </c>
    </row>
    <row r="29" customFormat="false" ht="15" hidden="false" customHeight="false" outlineLevel="0" collapsed="false">
      <c r="A29" s="25" t="n">
        <v>27</v>
      </c>
      <c r="B29" s="25" t="s">
        <v>619</v>
      </c>
      <c r="C29" s="25" t="s">
        <v>620</v>
      </c>
      <c r="D29" s="25" t="s">
        <v>23</v>
      </c>
      <c r="E29" s="25" t="s">
        <v>2192</v>
      </c>
      <c r="F29" s="25" t="n">
        <v>15</v>
      </c>
      <c r="G29" s="25" t="n">
        <v>20550.39</v>
      </c>
      <c r="H29" s="25" t="n">
        <v>18223.17</v>
      </c>
      <c r="I29" s="25" t="s">
        <v>1707</v>
      </c>
      <c r="J29" s="26" t="n">
        <v>45104</v>
      </c>
    </row>
    <row r="30" customFormat="false" ht="15" hidden="false" customHeight="false" outlineLevel="0" collapsed="false">
      <c r="A30" s="25" t="n">
        <v>28</v>
      </c>
      <c r="B30" s="25" t="s">
        <v>613</v>
      </c>
      <c r="C30" s="25" t="s">
        <v>614</v>
      </c>
      <c r="D30" s="25" t="s">
        <v>23</v>
      </c>
      <c r="E30" s="25" t="s">
        <v>2192</v>
      </c>
      <c r="F30" s="25" t="n">
        <v>18</v>
      </c>
      <c r="G30" s="25" t="n">
        <v>7218.53</v>
      </c>
      <c r="H30" s="25" t="n">
        <v>9457.58</v>
      </c>
      <c r="I30" s="25" t="s">
        <v>1707</v>
      </c>
      <c r="J30" s="26" t="n">
        <v>43845</v>
      </c>
    </row>
    <row r="31" customFormat="false" ht="15" hidden="false" customHeight="false" outlineLevel="0" collapsed="false">
      <c r="A31" s="25" t="n">
        <v>29</v>
      </c>
      <c r="B31" s="25" t="s">
        <v>827</v>
      </c>
      <c r="C31" s="25" t="s">
        <v>2211</v>
      </c>
      <c r="D31" s="25" t="s">
        <v>23</v>
      </c>
      <c r="E31" s="25" t="s">
        <v>2188</v>
      </c>
      <c r="F31" s="25" t="n">
        <v>12</v>
      </c>
      <c r="G31" s="25" t="n">
        <v>7855.79</v>
      </c>
      <c r="H31" s="25" t="n">
        <v>5561.58</v>
      </c>
      <c r="I31" s="25" t="s">
        <v>1706</v>
      </c>
      <c r="J31" s="26" t="n">
        <v>43968</v>
      </c>
    </row>
    <row r="32" customFormat="false" ht="15" hidden="false" customHeight="false" outlineLevel="0" collapsed="false">
      <c r="A32" s="25" t="n">
        <v>30</v>
      </c>
      <c r="B32" s="25" t="s">
        <v>794</v>
      </c>
      <c r="C32" s="25" t="s">
        <v>2212</v>
      </c>
      <c r="D32" s="25" t="s">
        <v>23</v>
      </c>
      <c r="E32" s="25" t="s">
        <v>2188</v>
      </c>
      <c r="F32" s="25" t="n">
        <v>4</v>
      </c>
      <c r="G32" s="25" t="n">
        <v>20253.93</v>
      </c>
      <c r="H32" s="25" t="n">
        <v>14440.59</v>
      </c>
      <c r="I32" s="25" t="s">
        <v>1707</v>
      </c>
      <c r="J32" s="26" t="n">
        <v>44404</v>
      </c>
    </row>
    <row r="33" customFormat="false" ht="15" hidden="false" customHeight="false" outlineLevel="0" collapsed="false">
      <c r="A33" s="25" t="n">
        <v>31</v>
      </c>
      <c r="B33" s="25" t="s">
        <v>145</v>
      </c>
      <c r="C33" s="25" t="s">
        <v>146</v>
      </c>
      <c r="D33" s="25" t="s">
        <v>20</v>
      </c>
      <c r="E33" s="25" t="s">
        <v>2187</v>
      </c>
      <c r="F33" s="25" t="n">
        <v>5</v>
      </c>
      <c r="G33" s="25" t="n">
        <v>20098.63</v>
      </c>
      <c r="H33" s="25" t="n">
        <v>15362.48</v>
      </c>
      <c r="I33" s="25" t="s">
        <v>1707</v>
      </c>
      <c r="J33" s="26" t="n">
        <v>44258</v>
      </c>
    </row>
    <row r="34" customFormat="false" ht="15" hidden="false" customHeight="false" outlineLevel="0" collapsed="false">
      <c r="A34" s="25" t="n">
        <v>32</v>
      </c>
      <c r="B34" s="25" t="s">
        <v>805</v>
      </c>
      <c r="C34" s="25" t="s">
        <v>2213</v>
      </c>
      <c r="D34" s="25" t="s">
        <v>21</v>
      </c>
      <c r="E34" s="25" t="s">
        <v>2209</v>
      </c>
      <c r="F34" s="25" t="n">
        <v>6</v>
      </c>
      <c r="G34" s="25" t="n">
        <v>23243.35</v>
      </c>
      <c r="H34" s="25" t="n">
        <v>16113.29</v>
      </c>
      <c r="I34" s="25" t="s">
        <v>1707</v>
      </c>
      <c r="J34" s="26" t="n">
        <v>44756</v>
      </c>
    </row>
    <row r="35" customFormat="false" ht="15" hidden="false" customHeight="false" outlineLevel="0" collapsed="false">
      <c r="A35" s="25" t="n">
        <v>33</v>
      </c>
      <c r="B35" s="25" t="s">
        <v>995</v>
      </c>
      <c r="C35" s="25" t="s">
        <v>2214</v>
      </c>
      <c r="D35" s="25" t="s">
        <v>24</v>
      </c>
      <c r="E35" s="25" t="s">
        <v>2193</v>
      </c>
      <c r="F35" s="25" t="n">
        <v>14</v>
      </c>
      <c r="G35" s="25" t="n">
        <v>11865.75</v>
      </c>
      <c r="H35" s="25" t="n">
        <v>9342.4</v>
      </c>
      <c r="I35" s="25" t="s">
        <v>1707</v>
      </c>
      <c r="J35" s="26" t="n">
        <v>45099</v>
      </c>
    </row>
    <row r="36" customFormat="false" ht="15" hidden="false" customHeight="false" outlineLevel="0" collapsed="false">
      <c r="A36" s="25" t="n">
        <v>34</v>
      </c>
      <c r="B36" s="25" t="s">
        <v>626</v>
      </c>
      <c r="C36" s="25" t="s">
        <v>627</v>
      </c>
      <c r="D36" s="25" t="s">
        <v>24</v>
      </c>
      <c r="E36" s="25" t="s">
        <v>2205</v>
      </c>
      <c r="F36" s="25" t="n">
        <v>17</v>
      </c>
      <c r="G36" s="25" t="n">
        <v>11932.31</v>
      </c>
      <c r="H36" s="25" t="n">
        <v>10348.1</v>
      </c>
      <c r="I36" s="25" t="s">
        <v>1707</v>
      </c>
      <c r="J36" s="26" t="n">
        <v>45122</v>
      </c>
    </row>
    <row r="37" customFormat="false" ht="15" hidden="false" customHeight="false" outlineLevel="0" collapsed="false">
      <c r="A37" s="25" t="n">
        <v>35</v>
      </c>
      <c r="B37" s="25" t="s">
        <v>957</v>
      </c>
      <c r="C37" s="25" t="s">
        <v>2215</v>
      </c>
      <c r="D37" s="25" t="s">
        <v>23</v>
      </c>
      <c r="E37" s="25" t="s">
        <v>2216</v>
      </c>
      <c r="F37" s="25" t="n">
        <v>10</v>
      </c>
      <c r="G37" s="25" t="n">
        <v>1741.05</v>
      </c>
      <c r="H37" s="25" t="n">
        <v>1107.05</v>
      </c>
      <c r="I37" s="25" t="s">
        <v>1707</v>
      </c>
      <c r="J37" s="26" t="n">
        <v>43842</v>
      </c>
    </row>
    <row r="38" customFormat="false" ht="15" hidden="false" customHeight="false" outlineLevel="0" collapsed="false">
      <c r="A38" s="25" t="n">
        <v>36</v>
      </c>
      <c r="B38" s="25" t="s">
        <v>633</v>
      </c>
      <c r="C38" s="25" t="s">
        <v>634</v>
      </c>
      <c r="D38" s="25" t="s">
        <v>22</v>
      </c>
      <c r="E38" s="25" t="s">
        <v>2191</v>
      </c>
      <c r="F38" s="25" t="n">
        <v>18</v>
      </c>
      <c r="G38" s="25" t="n">
        <v>4574.41</v>
      </c>
      <c r="H38" s="25" t="n">
        <v>3877.7</v>
      </c>
      <c r="I38" s="25" t="s">
        <v>1707</v>
      </c>
      <c r="J38" s="26" t="n">
        <v>45725</v>
      </c>
    </row>
    <row r="39" customFormat="false" ht="15" hidden="false" customHeight="false" outlineLevel="0" collapsed="false">
      <c r="A39" s="25" t="n">
        <v>37</v>
      </c>
      <c r="B39" s="25" t="s">
        <v>162</v>
      </c>
      <c r="C39" s="25" t="s">
        <v>163</v>
      </c>
      <c r="D39" s="25" t="s">
        <v>20</v>
      </c>
      <c r="E39" s="25" t="s">
        <v>2217</v>
      </c>
      <c r="F39" s="25" t="n">
        <v>9</v>
      </c>
      <c r="G39" s="25" t="n">
        <v>16084.14</v>
      </c>
      <c r="H39" s="25" t="n">
        <v>10158.34</v>
      </c>
      <c r="I39" s="25" t="s">
        <v>1707</v>
      </c>
      <c r="J39" s="26" t="n">
        <v>43478</v>
      </c>
    </row>
    <row r="40" customFormat="false" ht="15" hidden="false" customHeight="false" outlineLevel="0" collapsed="false">
      <c r="A40" s="25" t="n">
        <v>38</v>
      </c>
      <c r="B40" s="25" t="s">
        <v>886</v>
      </c>
      <c r="C40" s="25" t="s">
        <v>2218</v>
      </c>
      <c r="D40" s="25" t="s">
        <v>21</v>
      </c>
      <c r="E40" s="25" t="s">
        <v>2209</v>
      </c>
      <c r="F40" s="25" t="n">
        <v>8</v>
      </c>
      <c r="G40" s="25" t="n">
        <v>25201.06</v>
      </c>
      <c r="H40" s="25" t="n">
        <v>17658.56</v>
      </c>
      <c r="I40" s="25" t="s">
        <v>1707</v>
      </c>
      <c r="J40" s="26" t="n">
        <v>43504</v>
      </c>
    </row>
    <row r="41" customFormat="false" ht="15" hidden="false" customHeight="false" outlineLevel="0" collapsed="false">
      <c r="A41" s="25" t="n">
        <v>39</v>
      </c>
      <c r="B41" s="25" t="s">
        <v>605</v>
      </c>
      <c r="C41" s="25" t="s">
        <v>606</v>
      </c>
      <c r="D41" s="25" t="s">
        <v>24</v>
      </c>
      <c r="E41" s="25" t="s">
        <v>2205</v>
      </c>
      <c r="F41" s="25" t="n">
        <v>11</v>
      </c>
      <c r="G41" s="25" t="n">
        <v>5818.64</v>
      </c>
      <c r="H41" s="25" t="n">
        <v>14577.41</v>
      </c>
      <c r="I41" s="25" t="s">
        <v>1706</v>
      </c>
      <c r="J41" s="26" t="n">
        <v>43658</v>
      </c>
    </row>
    <row r="42" customFormat="false" ht="15" hidden="false" customHeight="false" outlineLevel="0" collapsed="false">
      <c r="A42" s="25" t="n">
        <v>40</v>
      </c>
      <c r="B42" s="25" t="s">
        <v>127</v>
      </c>
      <c r="C42" s="25" t="s">
        <v>128</v>
      </c>
      <c r="D42" s="25" t="s">
        <v>21</v>
      </c>
      <c r="E42" s="25" t="s">
        <v>2202</v>
      </c>
      <c r="F42" s="25" t="n">
        <v>12</v>
      </c>
      <c r="G42" s="25" t="n">
        <v>0</v>
      </c>
      <c r="H42" s="25" t="n">
        <v>1563.28</v>
      </c>
      <c r="I42" s="25" t="s">
        <v>1707</v>
      </c>
      <c r="J42" s="26" t="n">
        <v>45547</v>
      </c>
    </row>
    <row r="43" customFormat="false" ht="15" hidden="false" customHeight="false" outlineLevel="0" collapsed="false">
      <c r="A43" s="25" t="n">
        <v>41</v>
      </c>
      <c r="B43" s="25" t="s">
        <v>156</v>
      </c>
      <c r="C43" s="25" t="s">
        <v>157</v>
      </c>
      <c r="D43" s="25" t="s">
        <v>23</v>
      </c>
      <c r="E43" s="25" t="s">
        <v>2216</v>
      </c>
      <c r="F43" s="25" t="n">
        <v>12</v>
      </c>
      <c r="G43" s="25" t="n">
        <v>11992.92</v>
      </c>
      <c r="H43" s="25" t="n">
        <v>7526.65</v>
      </c>
      <c r="I43" s="25" t="s">
        <v>1707</v>
      </c>
      <c r="J43" s="26" t="n">
        <v>44486</v>
      </c>
    </row>
    <row r="44" customFormat="false" ht="15" hidden="false" customHeight="false" outlineLevel="0" collapsed="false">
      <c r="A44" s="25" t="n">
        <v>42</v>
      </c>
      <c r="B44" s="25" t="s">
        <v>131</v>
      </c>
      <c r="C44" s="25" t="s">
        <v>132</v>
      </c>
      <c r="D44" s="25" t="s">
        <v>22</v>
      </c>
      <c r="E44" s="25" t="s">
        <v>2191</v>
      </c>
      <c r="F44" s="25" t="n">
        <v>14</v>
      </c>
      <c r="G44" s="25" t="n">
        <v>11284.39</v>
      </c>
      <c r="H44" s="25" t="n">
        <v>10051.55</v>
      </c>
      <c r="I44" s="25" t="s">
        <v>1707</v>
      </c>
      <c r="J44" s="26" t="n">
        <v>43616</v>
      </c>
    </row>
    <row r="45" customFormat="false" ht="15" hidden="false" customHeight="false" outlineLevel="0" collapsed="false">
      <c r="A45" s="25" t="n">
        <v>43</v>
      </c>
      <c r="B45" s="25" t="s">
        <v>965</v>
      </c>
      <c r="C45" s="25" t="s">
        <v>2219</v>
      </c>
      <c r="D45" s="25" t="s">
        <v>23</v>
      </c>
      <c r="E45" s="25" t="s">
        <v>2188</v>
      </c>
      <c r="F45" s="25" t="n">
        <v>13</v>
      </c>
      <c r="G45" s="25" t="n">
        <v>4511.74</v>
      </c>
      <c r="H45" s="25" t="n">
        <v>2881.64</v>
      </c>
      <c r="I45" s="25" t="s">
        <v>1707</v>
      </c>
      <c r="J45" s="26" t="n">
        <v>43985</v>
      </c>
    </row>
    <row r="46" customFormat="false" ht="15" hidden="false" customHeight="false" outlineLevel="0" collapsed="false">
      <c r="A46" s="25" t="n">
        <v>44</v>
      </c>
      <c r="B46" s="25" t="s">
        <v>135</v>
      </c>
      <c r="C46" s="25" t="s">
        <v>136</v>
      </c>
      <c r="D46" s="25" t="s">
        <v>22</v>
      </c>
      <c r="E46" s="25" t="s">
        <v>2197</v>
      </c>
      <c r="F46" s="25" t="n">
        <v>6</v>
      </c>
      <c r="G46" s="25" t="n">
        <v>22655.14</v>
      </c>
      <c r="H46" s="25" t="n">
        <v>16582.96</v>
      </c>
      <c r="I46" s="25" t="s">
        <v>1707</v>
      </c>
      <c r="J46" s="26" t="n">
        <v>43653</v>
      </c>
    </row>
    <row r="47" customFormat="false" ht="15" hidden="false" customHeight="false" outlineLevel="0" collapsed="false">
      <c r="A47" s="25" t="n">
        <v>45</v>
      </c>
      <c r="B47" s="25" t="s">
        <v>1166</v>
      </c>
      <c r="C47" s="25" t="s">
        <v>2220</v>
      </c>
      <c r="D47" s="25" t="s">
        <v>21</v>
      </c>
      <c r="E47" s="25" t="s">
        <v>2202</v>
      </c>
      <c r="F47" s="25" t="n">
        <v>-1</v>
      </c>
      <c r="G47" s="25" t="n">
        <v>27280.24</v>
      </c>
      <c r="H47" s="25" t="n">
        <v>19599.97</v>
      </c>
      <c r="I47" s="25" t="s">
        <v>1707</v>
      </c>
      <c r="J47" s="26" t="n">
        <v>43554</v>
      </c>
    </row>
    <row r="48" customFormat="false" ht="15" hidden="false" customHeight="false" outlineLevel="0" collapsed="false">
      <c r="A48" s="25" t="n">
        <v>46</v>
      </c>
      <c r="B48" s="25" t="s">
        <v>970</v>
      </c>
      <c r="C48" s="25" t="s">
        <v>2221</v>
      </c>
      <c r="D48" s="25" t="s">
        <v>20</v>
      </c>
      <c r="E48" s="25" t="s">
        <v>2199</v>
      </c>
      <c r="F48" s="25" t="n">
        <v>16</v>
      </c>
      <c r="G48" s="25" t="n">
        <v>15383.27</v>
      </c>
      <c r="H48" s="25" t="n">
        <v>10532.22</v>
      </c>
      <c r="I48" s="25" t="s">
        <v>1707</v>
      </c>
      <c r="J48" s="26" t="n">
        <v>44366</v>
      </c>
    </row>
    <row r="49" customFormat="false" ht="15" hidden="false" customHeight="false" outlineLevel="0" collapsed="false">
      <c r="A49" s="25" t="n">
        <v>47</v>
      </c>
      <c r="B49" s="25" t="s">
        <v>923</v>
      </c>
      <c r="C49" s="25" t="s">
        <v>2222</v>
      </c>
      <c r="D49" s="25" t="s">
        <v>22</v>
      </c>
      <c r="E49" s="25" t="s">
        <v>2191</v>
      </c>
      <c r="F49" s="25" t="n">
        <v>10</v>
      </c>
      <c r="G49" s="25" t="n">
        <v>5145.55</v>
      </c>
      <c r="H49" s="25" t="n">
        <v>3896.61</v>
      </c>
      <c r="I49" s="25" t="s">
        <v>1707</v>
      </c>
      <c r="J49" s="26" t="n">
        <v>45772</v>
      </c>
    </row>
    <row r="50" customFormat="false" ht="15" hidden="false" customHeight="false" outlineLevel="0" collapsed="false">
      <c r="A50" s="25" t="n">
        <v>48</v>
      </c>
      <c r="B50" s="25" t="s">
        <v>907</v>
      </c>
      <c r="C50" s="25" t="s">
        <v>2223</v>
      </c>
      <c r="D50" s="25" t="s">
        <v>22</v>
      </c>
      <c r="E50" s="25" t="s">
        <v>2191</v>
      </c>
      <c r="F50" s="25" t="n">
        <v>4</v>
      </c>
      <c r="G50" s="25" t="n">
        <v>25643.17</v>
      </c>
      <c r="H50" s="25" t="n">
        <v>17469.07</v>
      </c>
      <c r="I50" s="25" t="s">
        <v>1707</v>
      </c>
      <c r="J50" s="26" t="n">
        <v>44816</v>
      </c>
    </row>
    <row r="51" customFormat="false" ht="15" hidden="false" customHeight="false" outlineLevel="0" collapsed="false">
      <c r="A51" s="25" t="n">
        <v>49</v>
      </c>
      <c r="B51" s="25" t="s">
        <v>137</v>
      </c>
      <c r="C51" s="25" t="s">
        <v>138</v>
      </c>
      <c r="D51" s="25" t="s">
        <v>22</v>
      </c>
      <c r="E51" s="25" t="s">
        <v>2197</v>
      </c>
      <c r="F51" s="25" t="n">
        <v>2</v>
      </c>
      <c r="G51" s="25" t="n">
        <v>12393.99</v>
      </c>
      <c r="H51" s="25" t="n">
        <v>9619.58</v>
      </c>
      <c r="I51" s="25" t="s">
        <v>1707</v>
      </c>
      <c r="J51" s="26" t="n">
        <v>44686</v>
      </c>
    </row>
    <row r="52" customFormat="false" ht="15" hidden="false" customHeight="false" outlineLevel="0" collapsed="false">
      <c r="A52" s="25" t="n">
        <v>50</v>
      </c>
      <c r="B52" s="25" t="s">
        <v>809</v>
      </c>
      <c r="C52" s="25" t="s">
        <v>2224</v>
      </c>
      <c r="D52" s="25" t="s">
        <v>22</v>
      </c>
      <c r="E52" s="25" t="s">
        <v>2197</v>
      </c>
      <c r="F52" s="25" t="n">
        <v>1</v>
      </c>
      <c r="G52" s="25" t="n">
        <v>22582.54</v>
      </c>
      <c r="H52" s="25" t="n">
        <v>15462.6</v>
      </c>
      <c r="I52" s="25" t="s">
        <v>1707</v>
      </c>
      <c r="J52" s="26" t="n">
        <v>45133</v>
      </c>
    </row>
    <row r="53" customFormat="false" ht="15" hidden="false" customHeight="false" outlineLevel="0" collapsed="false">
      <c r="A53" s="25" t="n">
        <v>51</v>
      </c>
      <c r="B53" s="25" t="s">
        <v>617</v>
      </c>
      <c r="C53" s="25" t="s">
        <v>618</v>
      </c>
      <c r="D53" s="25" t="s">
        <v>21</v>
      </c>
      <c r="E53" s="25" t="s">
        <v>2202</v>
      </c>
      <c r="F53" s="25" t="n">
        <v>6</v>
      </c>
      <c r="G53" s="25" t="n">
        <v>0</v>
      </c>
      <c r="H53" s="25" t="n">
        <v>4574.85</v>
      </c>
      <c r="I53" s="25" t="s">
        <v>1707</v>
      </c>
      <c r="J53" s="26" t="n">
        <v>44865</v>
      </c>
    </row>
    <row r="54" customFormat="false" ht="15" hidden="false" customHeight="false" outlineLevel="0" collapsed="false">
      <c r="A54" s="25" t="n">
        <v>52</v>
      </c>
      <c r="B54" s="25" t="s">
        <v>939</v>
      </c>
      <c r="C54" s="25" t="s">
        <v>2225</v>
      </c>
      <c r="D54" s="25" t="s">
        <v>21</v>
      </c>
      <c r="E54" s="25" t="s">
        <v>2209</v>
      </c>
      <c r="F54" s="25" t="n">
        <v>1</v>
      </c>
      <c r="G54" s="25" t="n">
        <v>17637.28</v>
      </c>
      <c r="H54" s="25" t="n">
        <v>11253.7</v>
      </c>
      <c r="I54" s="25" t="s">
        <v>1707</v>
      </c>
      <c r="J54" s="26" t="n">
        <v>45681</v>
      </c>
    </row>
    <row r="55" customFormat="false" ht="15" hidden="false" customHeight="false" outlineLevel="0" collapsed="false">
      <c r="A55" s="25" t="n">
        <v>53</v>
      </c>
      <c r="B55" s="25" t="s">
        <v>641</v>
      </c>
      <c r="C55" s="25" t="s">
        <v>642</v>
      </c>
      <c r="D55" s="25" t="s">
        <v>24</v>
      </c>
      <c r="E55" s="25" t="s">
        <v>2193</v>
      </c>
      <c r="F55" s="25" t="n">
        <v>7</v>
      </c>
      <c r="G55" s="25" t="n">
        <v>7313.65</v>
      </c>
      <c r="H55" s="25" t="n">
        <v>5880.01</v>
      </c>
      <c r="I55" s="25" t="s">
        <v>1707</v>
      </c>
      <c r="J55" s="26" t="n">
        <v>45387</v>
      </c>
    </row>
    <row r="56" customFormat="false" ht="15" hidden="false" customHeight="false" outlineLevel="0" collapsed="false">
      <c r="A56" s="25" t="n">
        <v>54</v>
      </c>
      <c r="B56" s="25" t="s">
        <v>141</v>
      </c>
      <c r="C56" s="25" t="s">
        <v>142</v>
      </c>
      <c r="D56" s="25" t="s">
        <v>24</v>
      </c>
      <c r="E56" s="25" t="s">
        <v>2205</v>
      </c>
      <c r="F56" s="25" t="n">
        <v>12</v>
      </c>
      <c r="G56" s="25" t="n">
        <v>20481.04</v>
      </c>
      <c r="H56" s="25" t="n">
        <v>16576.24</v>
      </c>
      <c r="I56" s="25" t="s">
        <v>1707</v>
      </c>
      <c r="J56" s="26" t="n">
        <v>45171</v>
      </c>
    </row>
    <row r="57" customFormat="false" ht="15" hidden="false" customHeight="false" outlineLevel="0" collapsed="false">
      <c r="A57" s="25" t="n">
        <v>55</v>
      </c>
      <c r="B57" s="25" t="s">
        <v>158</v>
      </c>
      <c r="C57" s="25" t="s">
        <v>159</v>
      </c>
      <c r="D57" s="25" t="s">
        <v>22</v>
      </c>
      <c r="E57" s="25" t="s">
        <v>2191</v>
      </c>
      <c r="F57" s="25" t="n">
        <v>18</v>
      </c>
      <c r="G57" s="25" t="n">
        <v>5471.28</v>
      </c>
      <c r="H57" s="25" t="n">
        <v>4861.71</v>
      </c>
      <c r="I57" s="25" t="s">
        <v>1707</v>
      </c>
      <c r="J57" s="26" t="n">
        <v>44494</v>
      </c>
    </row>
    <row r="58" customFormat="false" ht="15" hidden="false" customHeight="false" outlineLevel="0" collapsed="false">
      <c r="A58" s="25" t="n">
        <v>56</v>
      </c>
      <c r="B58" s="25" t="s">
        <v>623</v>
      </c>
      <c r="C58" s="25" t="s">
        <v>624</v>
      </c>
      <c r="D58" s="25" t="s">
        <v>20</v>
      </c>
      <c r="E58" s="25" t="s">
        <v>2199</v>
      </c>
      <c r="F58" s="25" t="n">
        <v>14</v>
      </c>
      <c r="G58" s="25" t="n">
        <v>16535.66</v>
      </c>
      <c r="H58" s="25" t="n">
        <v>14375.43</v>
      </c>
      <c r="I58" s="25" t="s">
        <v>1706</v>
      </c>
      <c r="J58" s="26" t="n">
        <v>43938</v>
      </c>
    </row>
    <row r="59" customFormat="false" ht="15" hidden="false" customHeight="false" outlineLevel="0" collapsed="false">
      <c r="A59" s="25" t="n">
        <v>57</v>
      </c>
      <c r="B59" s="25" t="s">
        <v>631</v>
      </c>
      <c r="C59" s="25" t="s">
        <v>632</v>
      </c>
      <c r="D59" s="25" t="s">
        <v>24</v>
      </c>
      <c r="E59" s="25" t="s">
        <v>2201</v>
      </c>
      <c r="F59" s="25" t="n">
        <v>6</v>
      </c>
      <c r="G59" s="25" t="n">
        <v>11518.86</v>
      </c>
      <c r="H59" s="25" t="n">
        <v>9601.23</v>
      </c>
      <c r="I59" s="25" t="s">
        <v>1707</v>
      </c>
      <c r="J59" s="26" t="n">
        <v>45005</v>
      </c>
    </row>
    <row r="60" customFormat="false" ht="15" hidden="false" customHeight="false" outlineLevel="0" collapsed="false">
      <c r="A60" s="25" t="n">
        <v>58</v>
      </c>
      <c r="B60" s="25" t="s">
        <v>835</v>
      </c>
      <c r="C60" s="25" t="s">
        <v>2226</v>
      </c>
      <c r="D60" s="25" t="s">
        <v>22</v>
      </c>
      <c r="E60" s="25" t="s">
        <v>2227</v>
      </c>
      <c r="F60" s="25" t="n">
        <v>4</v>
      </c>
      <c r="G60" s="25" t="n">
        <v>22572.25</v>
      </c>
      <c r="H60" s="25" t="n">
        <v>14799.86</v>
      </c>
      <c r="I60" s="25" t="s">
        <v>1707</v>
      </c>
      <c r="J60" s="26" t="n">
        <v>45349</v>
      </c>
    </row>
    <row r="61" customFormat="false" ht="15" hidden="false" customHeight="false" outlineLevel="0" collapsed="false">
      <c r="A61" s="25" t="n">
        <v>59</v>
      </c>
      <c r="B61" s="25" t="s">
        <v>630</v>
      </c>
      <c r="C61" s="25" t="s">
        <v>25</v>
      </c>
      <c r="D61" s="25" t="s">
        <v>23</v>
      </c>
      <c r="E61" s="25" t="s">
        <v>2216</v>
      </c>
      <c r="F61" s="25" t="n">
        <v>6</v>
      </c>
      <c r="G61" s="25" t="n">
        <v>18828.5</v>
      </c>
      <c r="H61" s="25" t="n">
        <v>15780.42</v>
      </c>
      <c r="I61" s="25" t="s">
        <v>1707</v>
      </c>
      <c r="J61" s="26" t="n">
        <v>44136</v>
      </c>
    </row>
    <row r="62" customFormat="false" ht="15" hidden="false" customHeight="false" outlineLevel="0" collapsed="false">
      <c r="A62" s="25" t="n">
        <v>60</v>
      </c>
      <c r="B62" s="25" t="s">
        <v>607</v>
      </c>
      <c r="C62" s="25" t="s">
        <v>608</v>
      </c>
      <c r="D62" s="25" t="s">
        <v>22</v>
      </c>
      <c r="E62" s="25" t="s">
        <v>2191</v>
      </c>
      <c r="F62" s="25" t="n">
        <v>3</v>
      </c>
      <c r="G62" s="25" t="n">
        <v>11569.57</v>
      </c>
      <c r="H62" s="25" t="n">
        <v>18576.25</v>
      </c>
      <c r="I62" s="25" t="s">
        <v>1707</v>
      </c>
      <c r="J62" s="26" t="n">
        <v>43544</v>
      </c>
    </row>
    <row r="63" customFormat="false" ht="15" hidden="false" customHeight="false" outlineLevel="0" collapsed="false">
      <c r="A63" s="25" t="n">
        <v>61</v>
      </c>
      <c r="B63" s="25" t="s">
        <v>143</v>
      </c>
      <c r="C63" s="25" t="s">
        <v>144</v>
      </c>
      <c r="D63" s="25" t="s">
        <v>23</v>
      </c>
      <c r="E63" s="25" t="s">
        <v>2188</v>
      </c>
      <c r="F63" s="25" t="n">
        <v>13</v>
      </c>
      <c r="G63" s="25" t="n">
        <v>8318.56</v>
      </c>
      <c r="H63" s="25" t="n">
        <v>5529.46</v>
      </c>
      <c r="I63" s="25" t="s">
        <v>1707</v>
      </c>
      <c r="J63" s="26" t="n">
        <v>44870</v>
      </c>
    </row>
    <row r="64" customFormat="false" ht="15" hidden="false" customHeight="false" outlineLevel="0" collapsed="false">
      <c r="A64" s="25" t="n">
        <v>62</v>
      </c>
      <c r="B64" s="25" t="s">
        <v>639</v>
      </c>
      <c r="C64" s="25" t="s">
        <v>640</v>
      </c>
      <c r="D64" s="25" t="s">
        <v>23</v>
      </c>
      <c r="E64" s="25" t="s">
        <v>2216</v>
      </c>
      <c r="F64" s="25" t="n">
        <v>9</v>
      </c>
      <c r="G64" s="25" t="n">
        <v>8493.72</v>
      </c>
      <c r="H64" s="25" t="n">
        <v>6808.53</v>
      </c>
      <c r="I64" s="25" t="s">
        <v>1707</v>
      </c>
      <c r="J64" s="26" t="n">
        <v>44674</v>
      </c>
    </row>
    <row r="65" customFormat="false" ht="15" hidden="false" customHeight="false" outlineLevel="0" collapsed="false">
      <c r="A65" s="25" t="n">
        <v>63</v>
      </c>
      <c r="B65" s="25" t="s">
        <v>628</v>
      </c>
      <c r="C65" s="25" t="s">
        <v>629</v>
      </c>
      <c r="D65" s="25" t="s">
        <v>22</v>
      </c>
      <c r="E65" s="25" t="s">
        <v>2197</v>
      </c>
      <c r="F65" s="25" t="n">
        <v>14</v>
      </c>
      <c r="G65" s="25" t="n">
        <v>9269.43</v>
      </c>
      <c r="H65" s="25" t="n">
        <v>8076.58</v>
      </c>
      <c r="I65" s="25" t="s">
        <v>1707</v>
      </c>
      <c r="J65" s="26" t="n">
        <v>44008</v>
      </c>
    </row>
    <row r="66" customFormat="false" ht="15" hidden="false" customHeight="false" outlineLevel="0" collapsed="false">
      <c r="A66" s="25" t="n">
        <v>64</v>
      </c>
      <c r="B66" s="25" t="s">
        <v>822</v>
      </c>
      <c r="C66" s="25" t="s">
        <v>2228</v>
      </c>
      <c r="D66" s="25" t="s">
        <v>21</v>
      </c>
      <c r="E66" s="25" t="s">
        <v>2209</v>
      </c>
      <c r="F66" s="25" t="n">
        <v>13</v>
      </c>
      <c r="G66" s="25" t="n">
        <v>11089.19</v>
      </c>
      <c r="H66" s="25" t="n">
        <v>8990.04</v>
      </c>
      <c r="I66" s="25" t="s">
        <v>1707</v>
      </c>
      <c r="J66" s="26" t="n">
        <v>43863</v>
      </c>
    </row>
    <row r="67" customFormat="false" ht="15" hidden="false" customHeight="false" outlineLevel="0" collapsed="false">
      <c r="A67" s="25" t="n">
        <v>65</v>
      </c>
      <c r="B67" s="25" t="s">
        <v>133</v>
      </c>
      <c r="C67" s="25" t="s">
        <v>134</v>
      </c>
      <c r="D67" s="25" t="s">
        <v>21</v>
      </c>
      <c r="E67" s="25" t="s">
        <v>2202</v>
      </c>
      <c r="F67" s="25" t="n">
        <v>15</v>
      </c>
      <c r="G67" s="25" t="n">
        <v>15706.03</v>
      </c>
      <c r="H67" s="25" t="n">
        <v>23290.69</v>
      </c>
      <c r="I67" s="25" t="s">
        <v>1707</v>
      </c>
      <c r="J67" s="26" t="n">
        <v>43550</v>
      </c>
    </row>
    <row r="68" customFormat="false" ht="15" hidden="false" customHeight="false" outlineLevel="0" collapsed="false">
      <c r="A68" s="25" t="n">
        <v>66</v>
      </c>
      <c r="B68" s="25" t="s">
        <v>986</v>
      </c>
      <c r="C68" s="25" t="s">
        <v>2229</v>
      </c>
      <c r="D68" s="25" t="s">
        <v>22</v>
      </c>
      <c r="E68" s="25" t="s">
        <v>2191</v>
      </c>
      <c r="F68" s="25" t="n">
        <v>6</v>
      </c>
      <c r="G68" s="25" t="n">
        <v>19639.31</v>
      </c>
      <c r="H68" s="25" t="n">
        <v>13836.78</v>
      </c>
      <c r="I68" s="25" t="s">
        <v>1707</v>
      </c>
      <c r="J68" s="26" t="n">
        <v>44026</v>
      </c>
    </row>
    <row r="69" customFormat="false" ht="15" hidden="false" customHeight="false" outlineLevel="0" collapsed="false">
      <c r="A69" s="25" t="n">
        <v>67</v>
      </c>
      <c r="B69" s="25" t="s">
        <v>833</v>
      </c>
      <c r="C69" s="25" t="s">
        <v>2230</v>
      </c>
      <c r="D69" s="25" t="s">
        <v>23</v>
      </c>
      <c r="E69" s="25" t="s">
        <v>2192</v>
      </c>
      <c r="F69" s="25" t="n">
        <v>11</v>
      </c>
      <c r="G69" s="25" t="n">
        <v>14595.44</v>
      </c>
      <c r="H69" s="25" t="n">
        <v>9154.08</v>
      </c>
      <c r="I69" s="25" t="s">
        <v>1707</v>
      </c>
      <c r="J69" s="26" t="n">
        <v>43466</v>
      </c>
    </row>
    <row r="70" customFormat="false" ht="15" hidden="false" customHeight="false" outlineLevel="0" collapsed="false">
      <c r="A70" s="25" t="n">
        <v>68</v>
      </c>
      <c r="B70" s="25" t="s">
        <v>150</v>
      </c>
      <c r="C70" s="25" t="s">
        <v>151</v>
      </c>
      <c r="D70" s="25" t="s">
        <v>22</v>
      </c>
      <c r="E70" s="25" t="s">
        <v>2191</v>
      </c>
      <c r="F70" s="25" t="n">
        <v>7</v>
      </c>
      <c r="G70" s="25" t="n">
        <v>21978.46</v>
      </c>
      <c r="H70" s="25" t="n">
        <v>15261.01</v>
      </c>
      <c r="I70" s="25" t="s">
        <v>1707</v>
      </c>
      <c r="J70" s="26" t="n">
        <v>43834</v>
      </c>
    </row>
    <row r="71" customFormat="false" ht="15" hidden="false" customHeight="false" outlineLevel="0" collapsed="false">
      <c r="A71" s="25" t="n">
        <v>69</v>
      </c>
      <c r="B71" s="25" t="s">
        <v>854</v>
      </c>
      <c r="C71" s="25" t="s">
        <v>2231</v>
      </c>
      <c r="D71" s="25" t="s">
        <v>20</v>
      </c>
      <c r="E71" s="25" t="s">
        <v>2217</v>
      </c>
      <c r="F71" s="25" t="n">
        <v>-1</v>
      </c>
      <c r="G71" s="25" t="n">
        <v>25742.49</v>
      </c>
      <c r="H71" s="25" t="n">
        <v>16592.6</v>
      </c>
      <c r="I71" s="25" t="s">
        <v>1707</v>
      </c>
      <c r="J71" s="26" t="n">
        <v>45801</v>
      </c>
    </row>
    <row r="72" customFormat="false" ht="15" hidden="false" customHeight="false" outlineLevel="0" collapsed="false">
      <c r="A72" s="25" t="n">
        <v>70</v>
      </c>
      <c r="B72" s="25" t="s">
        <v>781</v>
      </c>
      <c r="C72" s="25" t="s">
        <v>2232</v>
      </c>
      <c r="D72" s="25" t="s">
        <v>21</v>
      </c>
      <c r="E72" s="25" t="s">
        <v>2202</v>
      </c>
      <c r="F72" s="25" t="n">
        <v>8</v>
      </c>
      <c r="G72" s="25" t="n">
        <v>3962.52</v>
      </c>
      <c r="H72" s="25" t="n">
        <v>2413.18</v>
      </c>
      <c r="I72" s="25" t="s">
        <v>1706</v>
      </c>
      <c r="J72" s="26" t="n">
        <v>45292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5"/>
  </cols>
  <sheetData>
    <row r="1" customFormat="false" ht="30" hidden="false" customHeight="true" outlineLevel="0" collapsed="false">
      <c r="A1" s="10" t="s">
        <v>2233</v>
      </c>
      <c r="B1" s="10" t="s">
        <v>2234</v>
      </c>
      <c r="C1" s="10" t="s">
        <v>2235</v>
      </c>
      <c r="D1" s="10" t="s">
        <v>2236</v>
      </c>
      <c r="E1" s="10" t="s">
        <v>2237</v>
      </c>
      <c r="F1" s="10" t="s">
        <v>2238</v>
      </c>
      <c r="G1" s="10" t="s">
        <v>2239</v>
      </c>
    </row>
    <row r="2" customFormat="false" ht="15" hidden="false" customHeight="false" outlineLevel="0" collapsed="false">
      <c r="A2" s="25" t="n">
        <v>-1</v>
      </c>
      <c r="B2" s="25" t="s">
        <v>25</v>
      </c>
      <c r="C2" s="27" t="b">
        <f aca="false">FALSE()</f>
        <v>0</v>
      </c>
      <c r="D2" s="25"/>
      <c r="E2" s="25"/>
      <c r="F2" s="25"/>
      <c r="G2" s="25"/>
    </row>
    <row r="3" customFormat="false" ht="15" hidden="false" customHeight="false" outlineLevel="0" collapsed="false">
      <c r="A3" s="25" t="n">
        <v>20201029</v>
      </c>
      <c r="B3" s="25" t="s">
        <v>2240</v>
      </c>
      <c r="C3" s="27" t="b">
        <f aca="false">FALSE()</f>
        <v>0</v>
      </c>
      <c r="D3" s="26" t="n">
        <v>44133</v>
      </c>
      <c r="E3" s="25" t="n">
        <v>2020</v>
      </c>
      <c r="F3" s="25" t="n">
        <v>4</v>
      </c>
      <c r="G3" s="25" t="n">
        <v>10</v>
      </c>
    </row>
    <row r="4" customFormat="false" ht="15" hidden="false" customHeight="false" outlineLevel="0" collapsed="false">
      <c r="A4" s="25" t="n">
        <v>20201030</v>
      </c>
      <c r="B4" s="25" t="s">
        <v>2240</v>
      </c>
      <c r="C4" s="27" t="b">
        <f aca="false">FALSE()</f>
        <v>0</v>
      </c>
      <c r="D4" s="26" t="n">
        <v>44134</v>
      </c>
      <c r="E4" s="25" t="n">
        <v>2020</v>
      </c>
      <c r="F4" s="25" t="n">
        <v>4</v>
      </c>
      <c r="G4" s="25" t="n">
        <v>10</v>
      </c>
    </row>
    <row r="5" customFormat="false" ht="15" hidden="false" customHeight="false" outlineLevel="0" collapsed="false">
      <c r="A5" s="25" t="n">
        <v>20201031</v>
      </c>
      <c r="B5" s="25" t="s">
        <v>2240</v>
      </c>
      <c r="C5" s="27" t="b">
        <f aca="false">TRUE()</f>
        <v>1</v>
      </c>
      <c r="D5" s="26" t="n">
        <v>44135</v>
      </c>
      <c r="E5" s="25" t="n">
        <v>2020</v>
      </c>
      <c r="F5" s="25" t="n">
        <v>4</v>
      </c>
      <c r="G5" s="25" t="n">
        <v>10</v>
      </c>
    </row>
    <row r="6" customFormat="false" ht="15" hidden="false" customHeight="false" outlineLevel="0" collapsed="false">
      <c r="A6" s="25" t="n">
        <v>20201101</v>
      </c>
      <c r="B6" s="25" t="s">
        <v>2241</v>
      </c>
      <c r="C6" s="27" t="b">
        <f aca="false">TRUE()</f>
        <v>1</v>
      </c>
      <c r="D6" s="26" t="n">
        <v>44136</v>
      </c>
      <c r="E6" s="25" t="n">
        <v>2020</v>
      </c>
      <c r="F6" s="25" t="n">
        <v>4</v>
      </c>
      <c r="G6" s="25" t="n">
        <v>11</v>
      </c>
    </row>
    <row r="7" customFormat="false" ht="15" hidden="false" customHeight="false" outlineLevel="0" collapsed="false">
      <c r="A7" s="25" t="n">
        <v>20201102</v>
      </c>
      <c r="B7" s="25" t="s">
        <v>2241</v>
      </c>
      <c r="C7" s="27" t="b">
        <f aca="false">FALSE()</f>
        <v>0</v>
      </c>
      <c r="D7" s="26" t="n">
        <v>44137</v>
      </c>
      <c r="E7" s="25" t="n">
        <v>2020</v>
      </c>
      <c r="F7" s="25" t="n">
        <v>4</v>
      </c>
      <c r="G7" s="25" t="n">
        <v>11</v>
      </c>
    </row>
    <row r="8" customFormat="false" ht="15" hidden="false" customHeight="false" outlineLevel="0" collapsed="false">
      <c r="A8" s="25" t="n">
        <v>20201103</v>
      </c>
      <c r="B8" s="25" t="s">
        <v>2241</v>
      </c>
      <c r="C8" s="27" t="b">
        <f aca="false">FALSE()</f>
        <v>0</v>
      </c>
      <c r="D8" s="26" t="n">
        <v>44138</v>
      </c>
      <c r="E8" s="25" t="n">
        <v>2020</v>
      </c>
      <c r="F8" s="25" t="n">
        <v>4</v>
      </c>
      <c r="G8" s="25" t="n">
        <v>11</v>
      </c>
    </row>
    <row r="9" customFormat="false" ht="15" hidden="false" customHeight="false" outlineLevel="0" collapsed="false">
      <c r="A9" s="25" t="n">
        <v>20201104</v>
      </c>
      <c r="B9" s="25" t="s">
        <v>2241</v>
      </c>
      <c r="C9" s="27" t="b">
        <f aca="false">FALSE()</f>
        <v>0</v>
      </c>
      <c r="D9" s="26" t="n">
        <v>44139</v>
      </c>
      <c r="E9" s="25" t="n">
        <v>2020</v>
      </c>
      <c r="F9" s="25" t="n">
        <v>4</v>
      </c>
      <c r="G9" s="25" t="n">
        <v>11</v>
      </c>
    </row>
    <row r="10" customFormat="false" ht="15" hidden="false" customHeight="false" outlineLevel="0" collapsed="false">
      <c r="A10" s="25" t="n">
        <v>20201105</v>
      </c>
      <c r="B10" s="25" t="s">
        <v>2241</v>
      </c>
      <c r="C10" s="27" t="b">
        <f aca="false">FALSE()</f>
        <v>0</v>
      </c>
      <c r="D10" s="26" t="n">
        <v>44140</v>
      </c>
      <c r="E10" s="25" t="n">
        <v>2020</v>
      </c>
      <c r="F10" s="25" t="n">
        <v>4</v>
      </c>
      <c r="G10" s="25" t="n">
        <v>11</v>
      </c>
    </row>
    <row r="11" customFormat="false" ht="15" hidden="false" customHeight="false" outlineLevel="0" collapsed="false">
      <c r="A11" s="25" t="n">
        <v>20201106</v>
      </c>
      <c r="B11" s="25" t="s">
        <v>2241</v>
      </c>
      <c r="C11" s="27" t="b">
        <f aca="false">FALSE()</f>
        <v>0</v>
      </c>
      <c r="D11" s="26" t="n">
        <v>44141</v>
      </c>
      <c r="E11" s="25" t="n">
        <v>2020</v>
      </c>
      <c r="F11" s="25" t="n">
        <v>4</v>
      </c>
      <c r="G11" s="25" t="n">
        <v>11</v>
      </c>
    </row>
    <row r="12" customFormat="false" ht="15" hidden="false" customHeight="false" outlineLevel="0" collapsed="false">
      <c r="A12" s="25" t="n">
        <v>20201107</v>
      </c>
      <c r="B12" s="25" t="s">
        <v>2241</v>
      </c>
      <c r="C12" s="27" t="b">
        <f aca="false">TRUE()</f>
        <v>1</v>
      </c>
      <c r="D12" s="26" t="n">
        <v>44142</v>
      </c>
      <c r="E12" s="25" t="n">
        <v>2020</v>
      </c>
      <c r="F12" s="25" t="n">
        <v>4</v>
      </c>
      <c r="G12" s="25" t="n">
        <v>11</v>
      </c>
    </row>
    <row r="13" customFormat="false" ht="15" hidden="false" customHeight="false" outlineLevel="0" collapsed="false">
      <c r="A13" s="25" t="n">
        <v>20201108</v>
      </c>
      <c r="B13" s="25" t="s">
        <v>2241</v>
      </c>
      <c r="C13" s="27" t="b">
        <f aca="false">TRUE()</f>
        <v>1</v>
      </c>
      <c r="D13" s="26" t="n">
        <v>44143</v>
      </c>
      <c r="E13" s="25" t="n">
        <v>2020</v>
      </c>
      <c r="F13" s="25" t="n">
        <v>4</v>
      </c>
      <c r="G13" s="25" t="n">
        <v>11</v>
      </c>
    </row>
    <row r="14" customFormat="false" ht="15" hidden="false" customHeight="false" outlineLevel="0" collapsed="false">
      <c r="A14" s="25" t="n">
        <v>20201109</v>
      </c>
      <c r="B14" s="25" t="s">
        <v>2241</v>
      </c>
      <c r="C14" s="27" t="b">
        <f aca="false">FALSE()</f>
        <v>0</v>
      </c>
      <c r="D14" s="26" t="n">
        <v>44144</v>
      </c>
      <c r="E14" s="25" t="n">
        <v>2020</v>
      </c>
      <c r="F14" s="25" t="n">
        <v>4</v>
      </c>
      <c r="G14" s="25" t="n">
        <v>11</v>
      </c>
    </row>
    <row r="15" customFormat="false" ht="15" hidden="false" customHeight="false" outlineLevel="0" collapsed="false">
      <c r="A15" s="25" t="n">
        <v>20201110</v>
      </c>
      <c r="B15" s="25" t="s">
        <v>2241</v>
      </c>
      <c r="C15" s="27" t="b">
        <f aca="false">FALSE()</f>
        <v>0</v>
      </c>
      <c r="D15" s="26" t="n">
        <v>44145</v>
      </c>
      <c r="E15" s="25" t="n">
        <v>2020</v>
      </c>
      <c r="F15" s="25" t="n">
        <v>4</v>
      </c>
      <c r="G15" s="25" t="n">
        <v>11</v>
      </c>
    </row>
    <row r="16" customFormat="false" ht="15" hidden="false" customHeight="false" outlineLevel="0" collapsed="false">
      <c r="A16" s="25" t="n">
        <v>20201111</v>
      </c>
      <c r="B16" s="25" t="s">
        <v>2241</v>
      </c>
      <c r="C16" s="27" t="b">
        <f aca="false">FALSE()</f>
        <v>0</v>
      </c>
      <c r="D16" s="26" t="n">
        <v>44146</v>
      </c>
      <c r="E16" s="25" t="n">
        <v>2020</v>
      </c>
      <c r="F16" s="25" t="n">
        <v>4</v>
      </c>
      <c r="G16" s="25" t="n">
        <v>11</v>
      </c>
    </row>
    <row r="17" customFormat="false" ht="15" hidden="false" customHeight="false" outlineLevel="0" collapsed="false">
      <c r="A17" s="25" t="n">
        <v>20201112</v>
      </c>
      <c r="B17" s="25" t="s">
        <v>2241</v>
      </c>
      <c r="C17" s="27" t="b">
        <f aca="false">FALSE()</f>
        <v>0</v>
      </c>
      <c r="D17" s="26" t="n">
        <v>44147</v>
      </c>
      <c r="E17" s="25" t="n">
        <v>2020</v>
      </c>
      <c r="F17" s="25" t="n">
        <v>4</v>
      </c>
      <c r="G17" s="25" t="n">
        <v>11</v>
      </c>
    </row>
    <row r="18" customFormat="false" ht="15" hidden="false" customHeight="false" outlineLevel="0" collapsed="false">
      <c r="A18" s="25" t="n">
        <v>20201113</v>
      </c>
      <c r="B18" s="25" t="s">
        <v>2241</v>
      </c>
      <c r="C18" s="27" t="b">
        <f aca="false">FALSE()</f>
        <v>0</v>
      </c>
      <c r="D18" s="26" t="n">
        <v>44148</v>
      </c>
      <c r="E18" s="25" t="n">
        <v>2020</v>
      </c>
      <c r="F18" s="25" t="n">
        <v>4</v>
      </c>
      <c r="G18" s="25" t="n">
        <v>11</v>
      </c>
    </row>
    <row r="19" customFormat="false" ht="15" hidden="false" customHeight="false" outlineLevel="0" collapsed="false">
      <c r="A19" s="25" t="n">
        <v>20201114</v>
      </c>
      <c r="B19" s="25" t="s">
        <v>2241</v>
      </c>
      <c r="C19" s="27" t="b">
        <f aca="false">TRUE()</f>
        <v>1</v>
      </c>
      <c r="D19" s="26" t="n">
        <v>44149</v>
      </c>
      <c r="E19" s="25" t="n">
        <v>2020</v>
      </c>
      <c r="F19" s="25" t="n">
        <v>4</v>
      </c>
      <c r="G19" s="25" t="n">
        <v>11</v>
      </c>
    </row>
    <row r="20" customFormat="false" ht="15" hidden="false" customHeight="false" outlineLevel="0" collapsed="false">
      <c r="A20" s="25" t="n">
        <v>20201115</v>
      </c>
      <c r="B20" s="25" t="s">
        <v>2241</v>
      </c>
      <c r="C20" s="27" t="b">
        <f aca="false">TRUE()</f>
        <v>1</v>
      </c>
      <c r="D20" s="26" t="n">
        <v>44150</v>
      </c>
      <c r="E20" s="25" t="n">
        <v>2020</v>
      </c>
      <c r="F20" s="25" t="n">
        <v>4</v>
      </c>
      <c r="G20" s="25" t="n">
        <v>11</v>
      </c>
    </row>
    <row r="21" customFormat="false" ht="15" hidden="false" customHeight="false" outlineLevel="0" collapsed="false">
      <c r="A21" s="25" t="n">
        <v>20201116</v>
      </c>
      <c r="B21" s="25" t="s">
        <v>2241</v>
      </c>
      <c r="C21" s="27" t="b">
        <f aca="false">FALSE()</f>
        <v>0</v>
      </c>
      <c r="D21" s="26" t="n">
        <v>44151</v>
      </c>
      <c r="E21" s="25" t="n">
        <v>2020</v>
      </c>
      <c r="F21" s="25" t="n">
        <v>4</v>
      </c>
      <c r="G21" s="25" t="n">
        <v>11</v>
      </c>
    </row>
    <row r="22" customFormat="false" ht="15" hidden="false" customHeight="false" outlineLevel="0" collapsed="false">
      <c r="A22" s="25" t="n">
        <v>20201117</v>
      </c>
      <c r="B22" s="25" t="s">
        <v>2241</v>
      </c>
      <c r="C22" s="27" t="b">
        <f aca="false">FALSE()</f>
        <v>0</v>
      </c>
      <c r="D22" s="26" t="n">
        <v>44152</v>
      </c>
      <c r="E22" s="25" t="n">
        <v>2020</v>
      </c>
      <c r="F22" s="25" t="n">
        <v>4</v>
      </c>
      <c r="G22" s="25" t="n">
        <v>11</v>
      </c>
    </row>
    <row r="23" customFormat="false" ht="15" hidden="false" customHeight="false" outlineLevel="0" collapsed="false">
      <c r="A23" s="25" t="n">
        <v>20201118</v>
      </c>
      <c r="B23" s="25" t="s">
        <v>2241</v>
      </c>
      <c r="C23" s="27" t="b">
        <f aca="false">FALSE()</f>
        <v>0</v>
      </c>
      <c r="D23" s="26" t="n">
        <v>44153</v>
      </c>
      <c r="E23" s="25" t="n">
        <v>2020</v>
      </c>
      <c r="F23" s="25" t="n">
        <v>4</v>
      </c>
      <c r="G23" s="25" t="n">
        <v>11</v>
      </c>
    </row>
    <row r="24" customFormat="false" ht="15" hidden="false" customHeight="false" outlineLevel="0" collapsed="false">
      <c r="A24" s="25" t="n">
        <v>20201119</v>
      </c>
      <c r="B24" s="25" t="s">
        <v>2241</v>
      </c>
      <c r="C24" s="27" t="b">
        <f aca="false">FALSE()</f>
        <v>0</v>
      </c>
      <c r="D24" s="26" t="n">
        <v>44154</v>
      </c>
      <c r="E24" s="25" t="n">
        <v>2020</v>
      </c>
      <c r="F24" s="25" t="n">
        <v>4</v>
      </c>
      <c r="G24" s="25" t="n">
        <v>11</v>
      </c>
    </row>
    <row r="25" customFormat="false" ht="15" hidden="false" customHeight="false" outlineLevel="0" collapsed="false">
      <c r="A25" s="25" t="n">
        <v>20201120</v>
      </c>
      <c r="B25" s="25" t="s">
        <v>2241</v>
      </c>
      <c r="C25" s="27" t="b">
        <f aca="false">FALSE()</f>
        <v>0</v>
      </c>
      <c r="D25" s="26" t="n">
        <v>44155</v>
      </c>
      <c r="E25" s="25" t="n">
        <v>2020</v>
      </c>
      <c r="F25" s="25" t="n">
        <v>4</v>
      </c>
      <c r="G25" s="25" t="n">
        <v>11</v>
      </c>
    </row>
    <row r="26" customFormat="false" ht="15" hidden="false" customHeight="false" outlineLevel="0" collapsed="false">
      <c r="A26" s="25" t="n">
        <v>20201121</v>
      </c>
      <c r="B26" s="25" t="s">
        <v>2241</v>
      </c>
      <c r="C26" s="27" t="b">
        <f aca="false">TRUE()</f>
        <v>1</v>
      </c>
      <c r="D26" s="26" t="n">
        <v>44156</v>
      </c>
      <c r="E26" s="25" t="n">
        <v>2020</v>
      </c>
      <c r="F26" s="25" t="n">
        <v>4</v>
      </c>
      <c r="G26" s="25" t="n">
        <v>11</v>
      </c>
    </row>
    <row r="27" customFormat="false" ht="15" hidden="false" customHeight="false" outlineLevel="0" collapsed="false">
      <c r="A27" s="25" t="n">
        <v>20201122</v>
      </c>
      <c r="B27" s="25" t="s">
        <v>2241</v>
      </c>
      <c r="C27" s="27" t="b">
        <f aca="false">TRUE()</f>
        <v>1</v>
      </c>
      <c r="D27" s="26" t="n">
        <v>44157</v>
      </c>
      <c r="E27" s="25" t="n">
        <v>2020</v>
      </c>
      <c r="F27" s="25" t="n">
        <v>4</v>
      </c>
      <c r="G27" s="25" t="n">
        <v>11</v>
      </c>
    </row>
    <row r="28" customFormat="false" ht="15" hidden="false" customHeight="false" outlineLevel="0" collapsed="false">
      <c r="A28" s="25" t="n">
        <v>20201123</v>
      </c>
      <c r="B28" s="25" t="s">
        <v>2241</v>
      </c>
      <c r="C28" s="27" t="b">
        <f aca="false">FALSE()</f>
        <v>0</v>
      </c>
      <c r="D28" s="26" t="n">
        <v>44158</v>
      </c>
      <c r="E28" s="25" t="n">
        <v>2020</v>
      </c>
      <c r="F28" s="25" t="n">
        <v>4</v>
      </c>
      <c r="G28" s="25" t="n">
        <v>11</v>
      </c>
    </row>
    <row r="29" customFormat="false" ht="15" hidden="false" customHeight="false" outlineLevel="0" collapsed="false">
      <c r="A29" s="25" t="n">
        <v>20201124</v>
      </c>
      <c r="B29" s="25" t="s">
        <v>2241</v>
      </c>
      <c r="C29" s="27" t="b">
        <f aca="false">FALSE()</f>
        <v>0</v>
      </c>
      <c r="D29" s="26" t="n">
        <v>44159</v>
      </c>
      <c r="E29" s="25" t="n">
        <v>2020</v>
      </c>
      <c r="F29" s="25" t="n">
        <v>4</v>
      </c>
      <c r="G29" s="25" t="n">
        <v>11</v>
      </c>
    </row>
    <row r="30" customFormat="false" ht="15" hidden="false" customHeight="false" outlineLevel="0" collapsed="false">
      <c r="A30" s="25" t="n">
        <v>20201125</v>
      </c>
      <c r="B30" s="25" t="s">
        <v>2241</v>
      </c>
      <c r="C30" s="27" t="b">
        <f aca="false">FALSE()</f>
        <v>0</v>
      </c>
      <c r="D30" s="26" t="n">
        <v>44160</v>
      </c>
      <c r="E30" s="25" t="n">
        <v>2020</v>
      </c>
      <c r="F30" s="25" t="n">
        <v>4</v>
      </c>
      <c r="G30" s="25" t="n">
        <v>11</v>
      </c>
    </row>
    <row r="31" customFormat="false" ht="15" hidden="false" customHeight="false" outlineLevel="0" collapsed="false">
      <c r="A31" s="25" t="n">
        <v>20201126</v>
      </c>
      <c r="B31" s="25" t="s">
        <v>2241</v>
      </c>
      <c r="C31" s="27" t="b">
        <f aca="false">FALSE()</f>
        <v>0</v>
      </c>
      <c r="D31" s="26" t="n">
        <v>44161</v>
      </c>
      <c r="E31" s="25" t="n">
        <v>2020</v>
      </c>
      <c r="F31" s="25" t="n">
        <v>4</v>
      </c>
      <c r="G31" s="25" t="n">
        <v>11</v>
      </c>
    </row>
    <row r="32" customFormat="false" ht="15" hidden="false" customHeight="false" outlineLevel="0" collapsed="false">
      <c r="A32" s="25" t="n">
        <v>20201127</v>
      </c>
      <c r="B32" s="25" t="s">
        <v>2241</v>
      </c>
      <c r="C32" s="27" t="b">
        <f aca="false">FALSE()</f>
        <v>0</v>
      </c>
      <c r="D32" s="26" t="n">
        <v>44162</v>
      </c>
      <c r="E32" s="25" t="n">
        <v>2020</v>
      </c>
      <c r="F32" s="25" t="n">
        <v>4</v>
      </c>
      <c r="G32" s="25" t="n">
        <v>11</v>
      </c>
    </row>
    <row r="33" customFormat="false" ht="15" hidden="false" customHeight="false" outlineLevel="0" collapsed="false">
      <c r="A33" s="25" t="n">
        <v>20201128</v>
      </c>
      <c r="B33" s="25" t="s">
        <v>2241</v>
      </c>
      <c r="C33" s="27" t="b">
        <f aca="false">TRUE()</f>
        <v>1</v>
      </c>
      <c r="D33" s="26" t="n">
        <v>44163</v>
      </c>
      <c r="E33" s="25" t="n">
        <v>2020</v>
      </c>
      <c r="F33" s="25" t="n">
        <v>4</v>
      </c>
      <c r="G33" s="25" t="n">
        <v>11</v>
      </c>
    </row>
    <row r="34" customFormat="false" ht="15" hidden="false" customHeight="false" outlineLevel="0" collapsed="false">
      <c r="A34" s="25" t="n">
        <v>20201129</v>
      </c>
      <c r="B34" s="25" t="s">
        <v>2241</v>
      </c>
      <c r="C34" s="27" t="b">
        <f aca="false">TRUE()</f>
        <v>1</v>
      </c>
      <c r="D34" s="26" t="n">
        <v>44164</v>
      </c>
      <c r="E34" s="25" t="n">
        <v>2020</v>
      </c>
      <c r="F34" s="25" t="n">
        <v>4</v>
      </c>
      <c r="G34" s="25" t="n">
        <v>11</v>
      </c>
    </row>
    <row r="35" customFormat="false" ht="15" hidden="false" customHeight="false" outlineLevel="0" collapsed="false">
      <c r="A35" s="25" t="n">
        <v>20201130</v>
      </c>
      <c r="B35" s="25" t="s">
        <v>2241</v>
      </c>
      <c r="C35" s="27" t="b">
        <f aca="false">FALSE()</f>
        <v>0</v>
      </c>
      <c r="D35" s="26" t="n">
        <v>44165</v>
      </c>
      <c r="E35" s="25" t="n">
        <v>2020</v>
      </c>
      <c r="F35" s="25" t="n">
        <v>4</v>
      </c>
      <c r="G35" s="25" t="n">
        <v>11</v>
      </c>
    </row>
    <row r="36" customFormat="false" ht="15" hidden="false" customHeight="false" outlineLevel="0" collapsed="false">
      <c r="A36" s="25" t="n">
        <v>20201201</v>
      </c>
      <c r="B36" s="25" t="s">
        <v>2242</v>
      </c>
      <c r="C36" s="27" t="b">
        <f aca="false">FALSE()</f>
        <v>0</v>
      </c>
      <c r="D36" s="26" t="n">
        <v>44166</v>
      </c>
      <c r="E36" s="25" t="n">
        <v>2020</v>
      </c>
      <c r="F36" s="25" t="n">
        <v>4</v>
      </c>
      <c r="G36" s="25" t="n">
        <v>12</v>
      </c>
    </row>
    <row r="37" customFormat="false" ht="15" hidden="false" customHeight="false" outlineLevel="0" collapsed="false">
      <c r="A37" s="25" t="n">
        <v>20201202</v>
      </c>
      <c r="B37" s="25" t="s">
        <v>2242</v>
      </c>
      <c r="C37" s="27" t="b">
        <f aca="false">FALSE()</f>
        <v>0</v>
      </c>
      <c r="D37" s="26" t="n">
        <v>44167</v>
      </c>
      <c r="E37" s="25" t="n">
        <v>2020</v>
      </c>
      <c r="F37" s="25" t="n">
        <v>4</v>
      </c>
      <c r="G37" s="25" t="n">
        <v>12</v>
      </c>
    </row>
    <row r="38" customFormat="false" ht="15" hidden="false" customHeight="false" outlineLevel="0" collapsed="false">
      <c r="A38" s="25" t="n">
        <v>20201203</v>
      </c>
      <c r="B38" s="25" t="s">
        <v>2242</v>
      </c>
      <c r="C38" s="27" t="b">
        <f aca="false">FALSE()</f>
        <v>0</v>
      </c>
      <c r="D38" s="26" t="n">
        <v>44168</v>
      </c>
      <c r="E38" s="25" t="n">
        <v>2020</v>
      </c>
      <c r="F38" s="25" t="n">
        <v>4</v>
      </c>
      <c r="G38" s="25" t="n">
        <v>12</v>
      </c>
    </row>
    <row r="39" customFormat="false" ht="15" hidden="false" customHeight="false" outlineLevel="0" collapsed="false">
      <c r="A39" s="25" t="n">
        <v>20201204</v>
      </c>
      <c r="B39" s="25" t="s">
        <v>2242</v>
      </c>
      <c r="C39" s="27" t="b">
        <f aca="false">FALSE()</f>
        <v>0</v>
      </c>
      <c r="D39" s="26" t="n">
        <v>44169</v>
      </c>
      <c r="E39" s="25" t="n">
        <v>2020</v>
      </c>
      <c r="F39" s="25" t="n">
        <v>4</v>
      </c>
      <c r="G39" s="25" t="n">
        <v>12</v>
      </c>
    </row>
    <row r="40" customFormat="false" ht="15" hidden="false" customHeight="false" outlineLevel="0" collapsed="false">
      <c r="A40" s="25" t="n">
        <v>20201205</v>
      </c>
      <c r="B40" s="25" t="s">
        <v>2242</v>
      </c>
      <c r="C40" s="27" t="b">
        <f aca="false">TRUE()</f>
        <v>1</v>
      </c>
      <c r="D40" s="26" t="n">
        <v>44170</v>
      </c>
      <c r="E40" s="25" t="n">
        <v>2020</v>
      </c>
      <c r="F40" s="25" t="n">
        <v>4</v>
      </c>
      <c r="G40" s="25" t="n">
        <v>12</v>
      </c>
    </row>
    <row r="41" customFormat="false" ht="15" hidden="false" customHeight="false" outlineLevel="0" collapsed="false">
      <c r="A41" s="25" t="n">
        <v>20201206</v>
      </c>
      <c r="B41" s="25" t="s">
        <v>2242</v>
      </c>
      <c r="C41" s="27" t="b">
        <f aca="false">TRUE()</f>
        <v>1</v>
      </c>
      <c r="D41" s="26" t="n">
        <v>44171</v>
      </c>
      <c r="E41" s="25" t="n">
        <v>2020</v>
      </c>
      <c r="F41" s="25" t="n">
        <v>4</v>
      </c>
      <c r="G41" s="25" t="n">
        <v>12</v>
      </c>
    </row>
    <row r="42" customFormat="false" ht="15" hidden="false" customHeight="false" outlineLevel="0" collapsed="false">
      <c r="A42" s="25" t="n">
        <v>20201207</v>
      </c>
      <c r="B42" s="25" t="s">
        <v>2242</v>
      </c>
      <c r="C42" s="27" t="b">
        <f aca="false">FALSE()</f>
        <v>0</v>
      </c>
      <c r="D42" s="26" t="n">
        <v>44172</v>
      </c>
      <c r="E42" s="25" t="n">
        <v>2020</v>
      </c>
      <c r="F42" s="25" t="n">
        <v>4</v>
      </c>
      <c r="G42" s="25" t="n">
        <v>12</v>
      </c>
    </row>
    <row r="43" customFormat="false" ht="15" hidden="false" customHeight="false" outlineLevel="0" collapsed="false">
      <c r="A43" s="25" t="n">
        <v>20201208</v>
      </c>
      <c r="B43" s="25" t="s">
        <v>2242</v>
      </c>
      <c r="C43" s="27" t="b">
        <f aca="false">FALSE()</f>
        <v>0</v>
      </c>
      <c r="D43" s="26" t="n">
        <v>44173</v>
      </c>
      <c r="E43" s="25" t="n">
        <v>2020</v>
      </c>
      <c r="F43" s="25" t="n">
        <v>4</v>
      </c>
      <c r="G43" s="25" t="n">
        <v>12</v>
      </c>
    </row>
    <row r="44" customFormat="false" ht="15" hidden="false" customHeight="false" outlineLevel="0" collapsed="false">
      <c r="A44" s="25" t="n">
        <v>20201209</v>
      </c>
      <c r="B44" s="25" t="s">
        <v>2242</v>
      </c>
      <c r="C44" s="27" t="b">
        <f aca="false">FALSE()</f>
        <v>0</v>
      </c>
      <c r="D44" s="26" t="n">
        <v>44174</v>
      </c>
      <c r="E44" s="25" t="n">
        <v>2020</v>
      </c>
      <c r="F44" s="25" t="n">
        <v>4</v>
      </c>
      <c r="G44" s="25" t="n">
        <v>12</v>
      </c>
    </row>
    <row r="45" customFormat="false" ht="15" hidden="false" customHeight="false" outlineLevel="0" collapsed="false">
      <c r="A45" s="25" t="n">
        <v>20201210</v>
      </c>
      <c r="B45" s="25" t="s">
        <v>2242</v>
      </c>
      <c r="C45" s="27" t="b">
        <f aca="false">FALSE()</f>
        <v>0</v>
      </c>
      <c r="D45" s="26" t="n">
        <v>44175</v>
      </c>
      <c r="E45" s="25" t="n">
        <v>2020</v>
      </c>
      <c r="F45" s="25" t="n">
        <v>4</v>
      </c>
      <c r="G45" s="25" t="n">
        <v>12</v>
      </c>
    </row>
    <row r="46" customFormat="false" ht="15" hidden="false" customHeight="false" outlineLevel="0" collapsed="false">
      <c r="A46" s="25" t="n">
        <v>20201211</v>
      </c>
      <c r="B46" s="25" t="s">
        <v>2242</v>
      </c>
      <c r="C46" s="27" t="b">
        <f aca="false">FALSE()</f>
        <v>0</v>
      </c>
      <c r="D46" s="26" t="n">
        <v>44176</v>
      </c>
      <c r="E46" s="25" t="n">
        <v>2020</v>
      </c>
      <c r="F46" s="25" t="n">
        <v>4</v>
      </c>
      <c r="G46" s="25" t="n">
        <v>12</v>
      </c>
    </row>
    <row r="47" customFormat="false" ht="15" hidden="false" customHeight="false" outlineLevel="0" collapsed="false">
      <c r="A47" s="25" t="n">
        <v>20201212</v>
      </c>
      <c r="B47" s="25" t="s">
        <v>2242</v>
      </c>
      <c r="C47" s="27" t="b">
        <f aca="false">TRUE()</f>
        <v>1</v>
      </c>
      <c r="D47" s="26" t="n">
        <v>44177</v>
      </c>
      <c r="E47" s="25" t="n">
        <v>2020</v>
      </c>
      <c r="F47" s="25" t="n">
        <v>4</v>
      </c>
      <c r="G47" s="25" t="n">
        <v>12</v>
      </c>
    </row>
    <row r="48" customFormat="false" ht="15" hidden="false" customHeight="false" outlineLevel="0" collapsed="false">
      <c r="A48" s="25" t="n">
        <v>20201213</v>
      </c>
      <c r="B48" s="25" t="s">
        <v>2242</v>
      </c>
      <c r="C48" s="27" t="b">
        <f aca="false">TRUE()</f>
        <v>1</v>
      </c>
      <c r="D48" s="26" t="n">
        <v>44178</v>
      </c>
      <c r="E48" s="25" t="n">
        <v>2020</v>
      </c>
      <c r="F48" s="25" t="n">
        <v>4</v>
      </c>
      <c r="G48" s="25" t="n">
        <v>12</v>
      </c>
    </row>
    <row r="49" customFormat="false" ht="15" hidden="false" customHeight="false" outlineLevel="0" collapsed="false">
      <c r="A49" s="25" t="n">
        <v>20201214</v>
      </c>
      <c r="B49" s="25" t="s">
        <v>2242</v>
      </c>
      <c r="C49" s="27" t="b">
        <f aca="false">FALSE()</f>
        <v>0</v>
      </c>
      <c r="D49" s="26" t="n">
        <v>44179</v>
      </c>
      <c r="E49" s="25" t="n">
        <v>2020</v>
      </c>
      <c r="F49" s="25" t="n">
        <v>4</v>
      </c>
      <c r="G49" s="25" t="n">
        <v>12</v>
      </c>
    </row>
    <row r="50" customFormat="false" ht="15" hidden="false" customHeight="false" outlineLevel="0" collapsed="false">
      <c r="A50" s="25" t="n">
        <v>20201215</v>
      </c>
      <c r="B50" s="25" t="s">
        <v>2242</v>
      </c>
      <c r="C50" s="27" t="b">
        <f aca="false">FALSE()</f>
        <v>0</v>
      </c>
      <c r="D50" s="26" t="n">
        <v>44180</v>
      </c>
      <c r="E50" s="25" t="n">
        <v>2020</v>
      </c>
      <c r="F50" s="25" t="n">
        <v>4</v>
      </c>
      <c r="G50" s="25" t="n">
        <v>12</v>
      </c>
    </row>
    <row r="51" customFormat="false" ht="15" hidden="false" customHeight="false" outlineLevel="0" collapsed="false">
      <c r="A51" s="25" t="n">
        <v>20201216</v>
      </c>
      <c r="B51" s="25" t="s">
        <v>2242</v>
      </c>
      <c r="C51" s="27" t="b">
        <f aca="false">FALSE()</f>
        <v>0</v>
      </c>
      <c r="D51" s="26" t="n">
        <v>44181</v>
      </c>
      <c r="E51" s="25" t="n">
        <v>2020</v>
      </c>
      <c r="F51" s="25" t="n">
        <v>4</v>
      </c>
      <c r="G51" s="25" t="n">
        <v>12</v>
      </c>
    </row>
    <row r="52" customFormat="false" ht="15" hidden="false" customHeight="false" outlineLevel="0" collapsed="false">
      <c r="A52" s="25" t="n">
        <v>20201217</v>
      </c>
      <c r="B52" s="25" t="s">
        <v>2242</v>
      </c>
      <c r="C52" s="27" t="b">
        <f aca="false">FALSE()</f>
        <v>0</v>
      </c>
      <c r="D52" s="26" t="n">
        <v>44182</v>
      </c>
      <c r="E52" s="25" t="n">
        <v>2020</v>
      </c>
      <c r="F52" s="25" t="n">
        <v>4</v>
      </c>
      <c r="G52" s="25" t="n">
        <v>12</v>
      </c>
    </row>
    <row r="53" customFormat="false" ht="15" hidden="false" customHeight="false" outlineLevel="0" collapsed="false">
      <c r="A53" s="25" t="n">
        <v>20201218</v>
      </c>
      <c r="B53" s="25" t="s">
        <v>2242</v>
      </c>
      <c r="C53" s="27" t="b">
        <f aca="false">FALSE()</f>
        <v>0</v>
      </c>
      <c r="D53" s="26" t="n">
        <v>44183</v>
      </c>
      <c r="E53" s="25" t="n">
        <v>2020</v>
      </c>
      <c r="F53" s="25" t="n">
        <v>4</v>
      </c>
      <c r="G53" s="25" t="n">
        <v>12</v>
      </c>
    </row>
    <row r="54" customFormat="false" ht="15" hidden="false" customHeight="false" outlineLevel="0" collapsed="false">
      <c r="A54" s="25" t="n">
        <v>20201219</v>
      </c>
      <c r="B54" s="25" t="s">
        <v>2242</v>
      </c>
      <c r="C54" s="27" t="b">
        <f aca="false">TRUE()</f>
        <v>1</v>
      </c>
      <c r="D54" s="26" t="n">
        <v>44184</v>
      </c>
      <c r="E54" s="25" t="n">
        <v>2020</v>
      </c>
      <c r="F54" s="25" t="n">
        <v>4</v>
      </c>
      <c r="G54" s="25" t="n">
        <v>12</v>
      </c>
    </row>
    <row r="55" customFormat="false" ht="15" hidden="false" customHeight="false" outlineLevel="0" collapsed="false">
      <c r="A55" s="25" t="n">
        <v>20201220</v>
      </c>
      <c r="B55" s="25" t="s">
        <v>2242</v>
      </c>
      <c r="C55" s="27" t="b">
        <f aca="false">TRUE()</f>
        <v>1</v>
      </c>
      <c r="D55" s="26" t="n">
        <v>44185</v>
      </c>
      <c r="E55" s="25" t="n">
        <v>2020</v>
      </c>
      <c r="F55" s="25" t="n">
        <v>4</v>
      </c>
      <c r="G55" s="25" t="n">
        <v>12</v>
      </c>
    </row>
    <row r="56" customFormat="false" ht="15" hidden="false" customHeight="false" outlineLevel="0" collapsed="false">
      <c r="A56" s="25" t="n">
        <v>20201221</v>
      </c>
      <c r="B56" s="25" t="s">
        <v>2242</v>
      </c>
      <c r="C56" s="27" t="b">
        <f aca="false">FALSE()</f>
        <v>0</v>
      </c>
      <c r="D56" s="26" t="n">
        <v>44186</v>
      </c>
      <c r="E56" s="25" t="n">
        <v>2020</v>
      </c>
      <c r="F56" s="25" t="n">
        <v>4</v>
      </c>
      <c r="G56" s="25" t="n">
        <v>12</v>
      </c>
    </row>
    <row r="57" customFormat="false" ht="15" hidden="false" customHeight="false" outlineLevel="0" collapsed="false">
      <c r="A57" s="25" t="n">
        <v>20201222</v>
      </c>
      <c r="B57" s="25" t="s">
        <v>2242</v>
      </c>
      <c r="C57" s="27" t="b">
        <f aca="false">FALSE()</f>
        <v>0</v>
      </c>
      <c r="D57" s="26" t="n">
        <v>44187</v>
      </c>
      <c r="E57" s="25" t="n">
        <v>2020</v>
      </c>
      <c r="F57" s="25" t="n">
        <v>4</v>
      </c>
      <c r="G57" s="25" t="n">
        <v>12</v>
      </c>
    </row>
    <row r="58" customFormat="false" ht="15" hidden="false" customHeight="false" outlineLevel="0" collapsed="false">
      <c r="A58" s="25" t="n">
        <v>20201223</v>
      </c>
      <c r="B58" s="25" t="s">
        <v>2242</v>
      </c>
      <c r="C58" s="27" t="b">
        <f aca="false">FALSE()</f>
        <v>0</v>
      </c>
      <c r="D58" s="26" t="n">
        <v>44188</v>
      </c>
      <c r="E58" s="25" t="n">
        <v>2020</v>
      </c>
      <c r="F58" s="25" t="n">
        <v>4</v>
      </c>
      <c r="G58" s="25" t="n">
        <v>12</v>
      </c>
    </row>
    <row r="59" customFormat="false" ht="15" hidden="false" customHeight="false" outlineLevel="0" collapsed="false">
      <c r="A59" s="25" t="n">
        <v>20201224</v>
      </c>
      <c r="B59" s="25" t="s">
        <v>2242</v>
      </c>
      <c r="C59" s="27" t="b">
        <f aca="false">FALSE()</f>
        <v>0</v>
      </c>
      <c r="D59" s="26" t="n">
        <v>44189</v>
      </c>
      <c r="E59" s="25" t="n">
        <v>2020</v>
      </c>
      <c r="F59" s="25" t="n">
        <v>4</v>
      </c>
      <c r="G59" s="25" t="n">
        <v>12</v>
      </c>
    </row>
    <row r="60" customFormat="false" ht="15" hidden="false" customHeight="false" outlineLevel="0" collapsed="false">
      <c r="A60" s="25" t="n">
        <v>20201225</v>
      </c>
      <c r="B60" s="25" t="s">
        <v>2242</v>
      </c>
      <c r="C60" s="27" t="b">
        <f aca="false">FALSE()</f>
        <v>0</v>
      </c>
      <c r="D60" s="26" t="n">
        <v>44190</v>
      </c>
      <c r="E60" s="25" t="n">
        <v>2020</v>
      </c>
      <c r="F60" s="25" t="n">
        <v>4</v>
      </c>
      <c r="G60" s="25" t="n">
        <v>12</v>
      </c>
    </row>
    <row r="61" customFormat="false" ht="15" hidden="false" customHeight="false" outlineLevel="0" collapsed="false">
      <c r="A61" s="25" t="n">
        <v>20201226</v>
      </c>
      <c r="B61" s="25" t="s">
        <v>2242</v>
      </c>
      <c r="C61" s="27" t="b">
        <f aca="false">TRUE()</f>
        <v>1</v>
      </c>
      <c r="D61" s="26" t="n">
        <v>44191</v>
      </c>
      <c r="E61" s="25" t="n">
        <v>2020</v>
      </c>
      <c r="F61" s="25" t="n">
        <v>4</v>
      </c>
      <c r="G61" s="25" t="n">
        <v>12</v>
      </c>
    </row>
    <row r="62" customFormat="false" ht="15" hidden="false" customHeight="false" outlineLevel="0" collapsed="false">
      <c r="A62" s="25" t="n">
        <v>20201227</v>
      </c>
      <c r="B62" s="25" t="s">
        <v>2242</v>
      </c>
      <c r="C62" s="27" t="b">
        <f aca="false">TRUE()</f>
        <v>1</v>
      </c>
      <c r="D62" s="26" t="n">
        <v>44192</v>
      </c>
      <c r="E62" s="25" t="n">
        <v>2020</v>
      </c>
      <c r="F62" s="25" t="n">
        <v>4</v>
      </c>
      <c r="G62" s="25" t="n">
        <v>12</v>
      </c>
    </row>
    <row r="63" customFormat="false" ht="15" hidden="false" customHeight="false" outlineLevel="0" collapsed="false">
      <c r="A63" s="25" t="n">
        <v>20201228</v>
      </c>
      <c r="B63" s="25" t="s">
        <v>2242</v>
      </c>
      <c r="C63" s="27" t="b">
        <f aca="false">FALSE()</f>
        <v>0</v>
      </c>
      <c r="D63" s="26" t="n">
        <v>44193</v>
      </c>
      <c r="E63" s="25" t="n">
        <v>2020</v>
      </c>
      <c r="F63" s="25" t="n">
        <v>4</v>
      </c>
      <c r="G63" s="25" t="n">
        <v>12</v>
      </c>
    </row>
    <row r="64" customFormat="false" ht="15" hidden="false" customHeight="false" outlineLevel="0" collapsed="false">
      <c r="A64" s="25" t="n">
        <v>20201229</v>
      </c>
      <c r="B64" s="25" t="s">
        <v>2242</v>
      </c>
      <c r="C64" s="27" t="b">
        <f aca="false">FALSE()</f>
        <v>0</v>
      </c>
      <c r="D64" s="26" t="n">
        <v>44194</v>
      </c>
      <c r="E64" s="25" t="n">
        <v>2020</v>
      </c>
      <c r="F64" s="25" t="n">
        <v>4</v>
      </c>
      <c r="G64" s="25" t="n">
        <v>12</v>
      </c>
    </row>
    <row r="65" customFormat="false" ht="15" hidden="false" customHeight="false" outlineLevel="0" collapsed="false">
      <c r="A65" s="25" t="n">
        <v>20201230</v>
      </c>
      <c r="B65" s="25" t="s">
        <v>2242</v>
      </c>
      <c r="C65" s="27" t="b">
        <f aca="false">FALSE()</f>
        <v>0</v>
      </c>
      <c r="D65" s="26" t="n">
        <v>44195</v>
      </c>
      <c r="E65" s="25" t="n">
        <v>2020</v>
      </c>
      <c r="F65" s="25" t="n">
        <v>4</v>
      </c>
      <c r="G65" s="25" t="n">
        <v>12</v>
      </c>
    </row>
    <row r="66" customFormat="false" ht="15" hidden="false" customHeight="false" outlineLevel="0" collapsed="false">
      <c r="A66" s="25" t="n">
        <v>20201231</v>
      </c>
      <c r="B66" s="25" t="s">
        <v>2242</v>
      </c>
      <c r="C66" s="27" t="b">
        <f aca="false">FALSE()</f>
        <v>0</v>
      </c>
      <c r="D66" s="26" t="n">
        <v>44196</v>
      </c>
      <c r="E66" s="25" t="n">
        <v>2020</v>
      </c>
      <c r="F66" s="25" t="n">
        <v>4</v>
      </c>
      <c r="G66" s="25" t="n">
        <v>12</v>
      </c>
    </row>
    <row r="67" customFormat="false" ht="15" hidden="false" customHeight="false" outlineLevel="0" collapsed="false">
      <c r="A67" s="25" t="n">
        <v>20210101</v>
      </c>
      <c r="B67" s="25" t="s">
        <v>2243</v>
      </c>
      <c r="C67" s="27" t="b">
        <f aca="false">FALSE()</f>
        <v>0</v>
      </c>
      <c r="D67" s="26" t="n">
        <v>44197</v>
      </c>
      <c r="E67" s="25" t="n">
        <v>2021</v>
      </c>
      <c r="F67" s="25" t="n">
        <v>1</v>
      </c>
      <c r="G67" s="25" t="n">
        <v>1</v>
      </c>
    </row>
    <row r="68" customFormat="false" ht="15" hidden="false" customHeight="false" outlineLevel="0" collapsed="false">
      <c r="A68" s="25" t="n">
        <v>20210102</v>
      </c>
      <c r="B68" s="25" t="s">
        <v>2243</v>
      </c>
      <c r="C68" s="27" t="b">
        <f aca="false">TRUE()</f>
        <v>1</v>
      </c>
      <c r="D68" s="26" t="n">
        <v>44198</v>
      </c>
      <c r="E68" s="25" t="n">
        <v>2021</v>
      </c>
      <c r="F68" s="25" t="n">
        <v>1</v>
      </c>
      <c r="G68" s="25" t="n">
        <v>1</v>
      </c>
    </row>
    <row r="69" customFormat="false" ht="15" hidden="false" customHeight="false" outlineLevel="0" collapsed="false">
      <c r="A69" s="25" t="n">
        <v>20210103</v>
      </c>
      <c r="B69" s="25" t="s">
        <v>2243</v>
      </c>
      <c r="C69" s="27" t="b">
        <f aca="false">TRUE()</f>
        <v>1</v>
      </c>
      <c r="D69" s="26" t="n">
        <v>44199</v>
      </c>
      <c r="E69" s="25" t="n">
        <v>2021</v>
      </c>
      <c r="F69" s="25" t="n">
        <v>1</v>
      </c>
      <c r="G69" s="25" t="n">
        <v>1</v>
      </c>
    </row>
    <row r="70" customFormat="false" ht="15" hidden="false" customHeight="false" outlineLevel="0" collapsed="false">
      <c r="A70" s="25" t="n">
        <v>20210104</v>
      </c>
      <c r="B70" s="25" t="s">
        <v>2243</v>
      </c>
      <c r="C70" s="27" t="b">
        <f aca="false">FALSE()</f>
        <v>0</v>
      </c>
      <c r="D70" s="26" t="n">
        <v>44200</v>
      </c>
      <c r="E70" s="25" t="n">
        <v>2021</v>
      </c>
      <c r="F70" s="25" t="n">
        <v>1</v>
      </c>
      <c r="G70" s="25" t="n">
        <v>1</v>
      </c>
    </row>
    <row r="71" customFormat="false" ht="15" hidden="false" customHeight="false" outlineLevel="0" collapsed="false">
      <c r="A71" s="25" t="n">
        <v>20210105</v>
      </c>
      <c r="B71" s="25" t="s">
        <v>2243</v>
      </c>
      <c r="C71" s="27" t="b">
        <f aca="false">FALSE()</f>
        <v>0</v>
      </c>
      <c r="D71" s="26" t="n">
        <v>44201</v>
      </c>
      <c r="E71" s="25" t="n">
        <v>2021</v>
      </c>
      <c r="F71" s="25" t="n">
        <v>1</v>
      </c>
      <c r="G71" s="25" t="n">
        <v>1</v>
      </c>
    </row>
    <row r="72" customFormat="false" ht="15" hidden="false" customHeight="false" outlineLevel="0" collapsed="false">
      <c r="A72" s="25" t="n">
        <v>20210106</v>
      </c>
      <c r="B72" s="25" t="s">
        <v>2243</v>
      </c>
      <c r="C72" s="27" t="b">
        <f aca="false">FALSE()</f>
        <v>0</v>
      </c>
      <c r="D72" s="26" t="n">
        <v>44202</v>
      </c>
      <c r="E72" s="25" t="n">
        <v>2021</v>
      </c>
      <c r="F72" s="25" t="n">
        <v>1</v>
      </c>
      <c r="G72" s="25" t="n">
        <v>1</v>
      </c>
    </row>
    <row r="73" customFormat="false" ht="15" hidden="false" customHeight="false" outlineLevel="0" collapsed="false">
      <c r="A73" s="25" t="n">
        <v>20210107</v>
      </c>
      <c r="B73" s="25" t="s">
        <v>2243</v>
      </c>
      <c r="C73" s="27" t="b">
        <f aca="false">FALSE()</f>
        <v>0</v>
      </c>
      <c r="D73" s="26" t="n">
        <v>44203</v>
      </c>
      <c r="E73" s="25" t="n">
        <v>2021</v>
      </c>
      <c r="F73" s="25" t="n">
        <v>1</v>
      </c>
      <c r="G73" s="25" t="n">
        <v>1</v>
      </c>
    </row>
    <row r="74" customFormat="false" ht="15" hidden="false" customHeight="false" outlineLevel="0" collapsed="false">
      <c r="A74" s="25" t="n">
        <v>20210108</v>
      </c>
      <c r="B74" s="25" t="s">
        <v>2243</v>
      </c>
      <c r="C74" s="27" t="b">
        <f aca="false">FALSE()</f>
        <v>0</v>
      </c>
      <c r="D74" s="26" t="n">
        <v>44204</v>
      </c>
      <c r="E74" s="25" t="n">
        <v>2021</v>
      </c>
      <c r="F74" s="25" t="n">
        <v>1</v>
      </c>
      <c r="G74" s="25" t="n">
        <v>1</v>
      </c>
    </row>
    <row r="75" customFormat="false" ht="15" hidden="false" customHeight="false" outlineLevel="0" collapsed="false">
      <c r="A75" s="25" t="n">
        <v>20210109</v>
      </c>
      <c r="B75" s="25" t="s">
        <v>2243</v>
      </c>
      <c r="C75" s="27" t="b">
        <f aca="false">TRUE()</f>
        <v>1</v>
      </c>
      <c r="D75" s="26" t="n">
        <v>44205</v>
      </c>
      <c r="E75" s="25" t="n">
        <v>2021</v>
      </c>
      <c r="F75" s="25" t="n">
        <v>1</v>
      </c>
      <c r="G75" s="25" t="n">
        <v>1</v>
      </c>
    </row>
    <row r="76" customFormat="false" ht="15" hidden="false" customHeight="false" outlineLevel="0" collapsed="false">
      <c r="A76" s="25" t="n">
        <v>20210110</v>
      </c>
      <c r="B76" s="25" t="s">
        <v>2243</v>
      </c>
      <c r="C76" s="27" t="b">
        <f aca="false">TRUE()</f>
        <v>1</v>
      </c>
      <c r="D76" s="26" t="n">
        <v>44206</v>
      </c>
      <c r="E76" s="25" t="n">
        <v>2021</v>
      </c>
      <c r="F76" s="25" t="n">
        <v>1</v>
      </c>
      <c r="G76" s="25" t="n">
        <v>1</v>
      </c>
    </row>
    <row r="77" customFormat="false" ht="15" hidden="false" customHeight="false" outlineLevel="0" collapsed="false">
      <c r="A77" s="25" t="n">
        <v>20210111</v>
      </c>
      <c r="B77" s="25" t="s">
        <v>2243</v>
      </c>
      <c r="C77" s="27" t="b">
        <f aca="false">FALSE()</f>
        <v>0</v>
      </c>
      <c r="D77" s="26" t="n">
        <v>44207</v>
      </c>
      <c r="E77" s="25" t="n">
        <v>2021</v>
      </c>
      <c r="F77" s="25" t="n">
        <v>1</v>
      </c>
      <c r="G77" s="25" t="n">
        <v>1</v>
      </c>
    </row>
    <row r="78" customFormat="false" ht="15" hidden="false" customHeight="false" outlineLevel="0" collapsed="false">
      <c r="A78" s="25" t="n">
        <v>20210112</v>
      </c>
      <c r="B78" s="25" t="s">
        <v>2243</v>
      </c>
      <c r="C78" s="27" t="b">
        <f aca="false">FALSE()</f>
        <v>0</v>
      </c>
      <c r="D78" s="26" t="n">
        <v>44208</v>
      </c>
      <c r="E78" s="25" t="n">
        <v>2021</v>
      </c>
      <c r="F78" s="25" t="n">
        <v>1</v>
      </c>
      <c r="G78" s="25" t="n">
        <v>1</v>
      </c>
    </row>
    <row r="79" customFormat="false" ht="15" hidden="false" customHeight="false" outlineLevel="0" collapsed="false">
      <c r="A79" s="25" t="n">
        <v>20210113</v>
      </c>
      <c r="B79" s="25" t="s">
        <v>2243</v>
      </c>
      <c r="C79" s="27" t="b">
        <f aca="false">FALSE()</f>
        <v>0</v>
      </c>
      <c r="D79" s="26" t="n">
        <v>44209</v>
      </c>
      <c r="E79" s="25" t="n">
        <v>2021</v>
      </c>
      <c r="F79" s="25" t="n">
        <v>1</v>
      </c>
      <c r="G79" s="25" t="n">
        <v>1</v>
      </c>
    </row>
    <row r="80" customFormat="false" ht="15" hidden="false" customHeight="false" outlineLevel="0" collapsed="false">
      <c r="A80" s="25" t="n">
        <v>20210114</v>
      </c>
      <c r="B80" s="25" t="s">
        <v>2243</v>
      </c>
      <c r="C80" s="27" t="b">
        <f aca="false">FALSE()</f>
        <v>0</v>
      </c>
      <c r="D80" s="26" t="n">
        <v>44210</v>
      </c>
      <c r="E80" s="25" t="n">
        <v>2021</v>
      </c>
      <c r="F80" s="25" t="n">
        <v>1</v>
      </c>
      <c r="G80" s="25" t="n">
        <v>1</v>
      </c>
    </row>
    <row r="81" customFormat="false" ht="15" hidden="false" customHeight="false" outlineLevel="0" collapsed="false">
      <c r="A81" s="25" t="n">
        <v>20210115</v>
      </c>
      <c r="B81" s="25" t="s">
        <v>2243</v>
      </c>
      <c r="C81" s="27" t="b">
        <f aca="false">FALSE()</f>
        <v>0</v>
      </c>
      <c r="D81" s="26" t="n">
        <v>44211</v>
      </c>
      <c r="E81" s="25" t="n">
        <v>2021</v>
      </c>
      <c r="F81" s="25" t="n">
        <v>1</v>
      </c>
      <c r="G81" s="25" t="n">
        <v>1</v>
      </c>
    </row>
    <row r="82" customFormat="false" ht="15" hidden="false" customHeight="false" outlineLevel="0" collapsed="false">
      <c r="A82" s="25" t="n">
        <v>20210116</v>
      </c>
      <c r="B82" s="25" t="s">
        <v>2243</v>
      </c>
      <c r="C82" s="27" t="b">
        <f aca="false">TRUE()</f>
        <v>1</v>
      </c>
      <c r="D82" s="26" t="n">
        <v>44212</v>
      </c>
      <c r="E82" s="25" t="n">
        <v>2021</v>
      </c>
      <c r="F82" s="25" t="n">
        <v>1</v>
      </c>
      <c r="G82" s="25" t="n">
        <v>1</v>
      </c>
    </row>
    <row r="83" customFormat="false" ht="15" hidden="false" customHeight="false" outlineLevel="0" collapsed="false">
      <c r="A83" s="25" t="n">
        <v>20210117</v>
      </c>
      <c r="B83" s="25" t="s">
        <v>2243</v>
      </c>
      <c r="C83" s="27" t="b">
        <f aca="false">TRUE()</f>
        <v>1</v>
      </c>
      <c r="D83" s="26" t="n">
        <v>44213</v>
      </c>
      <c r="E83" s="25" t="n">
        <v>2021</v>
      </c>
      <c r="F83" s="25" t="n">
        <v>1</v>
      </c>
      <c r="G83" s="25" t="n">
        <v>1</v>
      </c>
    </row>
    <row r="84" customFormat="false" ht="15" hidden="false" customHeight="false" outlineLevel="0" collapsed="false">
      <c r="A84" s="25" t="n">
        <v>20210118</v>
      </c>
      <c r="B84" s="25" t="s">
        <v>2243</v>
      </c>
      <c r="C84" s="27" t="b">
        <f aca="false">FALSE()</f>
        <v>0</v>
      </c>
      <c r="D84" s="26" t="n">
        <v>44214</v>
      </c>
      <c r="E84" s="25" t="n">
        <v>2021</v>
      </c>
      <c r="F84" s="25" t="n">
        <v>1</v>
      </c>
      <c r="G84" s="25" t="n">
        <v>1</v>
      </c>
    </row>
    <row r="85" customFormat="false" ht="15" hidden="false" customHeight="false" outlineLevel="0" collapsed="false">
      <c r="A85" s="25" t="n">
        <v>20210119</v>
      </c>
      <c r="B85" s="25" t="s">
        <v>2243</v>
      </c>
      <c r="C85" s="27" t="b">
        <f aca="false">FALSE()</f>
        <v>0</v>
      </c>
      <c r="D85" s="26" t="n">
        <v>44215</v>
      </c>
      <c r="E85" s="25" t="n">
        <v>2021</v>
      </c>
      <c r="F85" s="25" t="n">
        <v>1</v>
      </c>
      <c r="G85" s="25" t="n">
        <v>1</v>
      </c>
    </row>
    <row r="86" customFormat="false" ht="15" hidden="false" customHeight="false" outlineLevel="0" collapsed="false">
      <c r="A86" s="25" t="n">
        <v>20210120</v>
      </c>
      <c r="B86" s="25" t="s">
        <v>2243</v>
      </c>
      <c r="C86" s="27" t="b">
        <f aca="false">FALSE()</f>
        <v>0</v>
      </c>
      <c r="D86" s="26" t="n">
        <v>44216</v>
      </c>
      <c r="E86" s="25" t="n">
        <v>2021</v>
      </c>
      <c r="F86" s="25" t="n">
        <v>1</v>
      </c>
      <c r="G86" s="25" t="n">
        <v>1</v>
      </c>
    </row>
    <row r="87" customFormat="false" ht="15" hidden="false" customHeight="false" outlineLevel="0" collapsed="false">
      <c r="A87" s="25" t="n">
        <v>20210121</v>
      </c>
      <c r="B87" s="25" t="s">
        <v>2243</v>
      </c>
      <c r="C87" s="27" t="b">
        <f aca="false">FALSE()</f>
        <v>0</v>
      </c>
      <c r="D87" s="26" t="n">
        <v>44217</v>
      </c>
      <c r="E87" s="25" t="n">
        <v>2021</v>
      </c>
      <c r="F87" s="25" t="n">
        <v>1</v>
      </c>
      <c r="G87" s="25" t="n">
        <v>1</v>
      </c>
    </row>
    <row r="88" customFormat="false" ht="15" hidden="false" customHeight="false" outlineLevel="0" collapsed="false">
      <c r="A88" s="25" t="n">
        <v>20210122</v>
      </c>
      <c r="B88" s="25" t="s">
        <v>2243</v>
      </c>
      <c r="C88" s="27" t="b">
        <f aca="false">FALSE()</f>
        <v>0</v>
      </c>
      <c r="D88" s="26" t="n">
        <v>44218</v>
      </c>
      <c r="E88" s="25" t="n">
        <v>2021</v>
      </c>
      <c r="F88" s="25" t="n">
        <v>1</v>
      </c>
      <c r="G88" s="25" t="n">
        <v>1</v>
      </c>
    </row>
    <row r="89" customFormat="false" ht="15" hidden="false" customHeight="false" outlineLevel="0" collapsed="false">
      <c r="A89" s="25" t="n">
        <v>20210123</v>
      </c>
      <c r="B89" s="25" t="s">
        <v>2243</v>
      </c>
      <c r="C89" s="27" t="b">
        <f aca="false">TRUE()</f>
        <v>1</v>
      </c>
      <c r="D89" s="26" t="n">
        <v>44219</v>
      </c>
      <c r="E89" s="25" t="n">
        <v>2021</v>
      </c>
      <c r="F89" s="25" t="n">
        <v>1</v>
      </c>
      <c r="G89" s="25" t="n">
        <v>1</v>
      </c>
    </row>
    <row r="90" customFormat="false" ht="15" hidden="false" customHeight="false" outlineLevel="0" collapsed="false">
      <c r="A90" s="25" t="n">
        <v>20210124</v>
      </c>
      <c r="B90" s="25" t="s">
        <v>2243</v>
      </c>
      <c r="C90" s="27" t="b">
        <f aca="false">TRUE()</f>
        <v>1</v>
      </c>
      <c r="D90" s="26" t="n">
        <v>44220</v>
      </c>
      <c r="E90" s="25" t="n">
        <v>2021</v>
      </c>
      <c r="F90" s="25" t="n">
        <v>1</v>
      </c>
      <c r="G90" s="25" t="n">
        <v>1</v>
      </c>
    </row>
    <row r="91" customFormat="false" ht="15" hidden="false" customHeight="false" outlineLevel="0" collapsed="false">
      <c r="A91" s="25" t="n">
        <v>20210125</v>
      </c>
      <c r="B91" s="25" t="s">
        <v>2243</v>
      </c>
      <c r="C91" s="27" t="b">
        <f aca="false">FALSE()</f>
        <v>0</v>
      </c>
      <c r="D91" s="26" t="n">
        <v>44221</v>
      </c>
      <c r="E91" s="25" t="n">
        <v>2021</v>
      </c>
      <c r="F91" s="25" t="n">
        <v>1</v>
      </c>
      <c r="G91" s="25" t="n">
        <v>1</v>
      </c>
    </row>
    <row r="92" customFormat="false" ht="15" hidden="false" customHeight="false" outlineLevel="0" collapsed="false">
      <c r="A92" s="25" t="n">
        <v>20210126</v>
      </c>
      <c r="B92" s="25" t="s">
        <v>2243</v>
      </c>
      <c r="C92" s="27" t="b">
        <f aca="false">FALSE()</f>
        <v>0</v>
      </c>
      <c r="D92" s="26" t="n">
        <v>44222</v>
      </c>
      <c r="E92" s="25" t="n">
        <v>2021</v>
      </c>
      <c r="F92" s="25" t="n">
        <v>1</v>
      </c>
      <c r="G92" s="25" t="n">
        <v>1</v>
      </c>
    </row>
    <row r="93" customFormat="false" ht="15" hidden="false" customHeight="false" outlineLevel="0" collapsed="false">
      <c r="A93" s="25" t="n">
        <v>20210127</v>
      </c>
      <c r="B93" s="25" t="s">
        <v>2243</v>
      </c>
      <c r="C93" s="27" t="b">
        <f aca="false">FALSE()</f>
        <v>0</v>
      </c>
      <c r="D93" s="26" t="n">
        <v>44223</v>
      </c>
      <c r="E93" s="25" t="n">
        <v>2021</v>
      </c>
      <c r="F93" s="25" t="n">
        <v>1</v>
      </c>
      <c r="G93" s="25" t="n">
        <v>1</v>
      </c>
    </row>
    <row r="94" customFormat="false" ht="15" hidden="false" customHeight="false" outlineLevel="0" collapsed="false">
      <c r="A94" s="25" t="n">
        <v>20210128</v>
      </c>
      <c r="B94" s="25" t="s">
        <v>2243</v>
      </c>
      <c r="C94" s="27" t="b">
        <f aca="false">FALSE()</f>
        <v>0</v>
      </c>
      <c r="D94" s="26" t="n">
        <v>44224</v>
      </c>
      <c r="E94" s="25" t="n">
        <v>2021</v>
      </c>
      <c r="F94" s="25" t="n">
        <v>1</v>
      </c>
      <c r="G94" s="25" t="n">
        <v>1</v>
      </c>
    </row>
    <row r="95" customFormat="false" ht="15" hidden="false" customHeight="false" outlineLevel="0" collapsed="false">
      <c r="A95" s="25" t="n">
        <v>20210129</v>
      </c>
      <c r="B95" s="25" t="s">
        <v>2243</v>
      </c>
      <c r="C95" s="27" t="b">
        <f aca="false">FALSE()</f>
        <v>0</v>
      </c>
      <c r="D95" s="26" t="n">
        <v>44225</v>
      </c>
      <c r="E95" s="25" t="n">
        <v>2021</v>
      </c>
      <c r="F95" s="25" t="n">
        <v>1</v>
      </c>
      <c r="G95" s="25" t="n">
        <v>1</v>
      </c>
    </row>
    <row r="96" customFormat="false" ht="15" hidden="false" customHeight="false" outlineLevel="0" collapsed="false">
      <c r="A96" s="25" t="n">
        <v>20210130</v>
      </c>
      <c r="B96" s="25" t="s">
        <v>2243</v>
      </c>
      <c r="C96" s="27" t="b">
        <f aca="false">TRUE()</f>
        <v>1</v>
      </c>
      <c r="D96" s="26" t="n">
        <v>44226</v>
      </c>
      <c r="E96" s="25" t="n">
        <v>2021</v>
      </c>
      <c r="F96" s="25" t="n">
        <v>1</v>
      </c>
      <c r="G96" s="25" t="n">
        <v>1</v>
      </c>
    </row>
    <row r="97" customFormat="false" ht="15" hidden="false" customHeight="false" outlineLevel="0" collapsed="false">
      <c r="A97" s="25" t="n">
        <v>20210131</v>
      </c>
      <c r="B97" s="25" t="s">
        <v>2243</v>
      </c>
      <c r="C97" s="27" t="b">
        <f aca="false">TRUE()</f>
        <v>1</v>
      </c>
      <c r="D97" s="26" t="n">
        <v>44227</v>
      </c>
      <c r="E97" s="25" t="n">
        <v>2021</v>
      </c>
      <c r="F97" s="25" t="n">
        <v>1</v>
      </c>
      <c r="G97" s="25" t="n">
        <v>1</v>
      </c>
    </row>
    <row r="98" customFormat="false" ht="15" hidden="false" customHeight="false" outlineLevel="0" collapsed="false">
      <c r="A98" s="25" t="n">
        <v>20210201</v>
      </c>
      <c r="B98" s="25" t="s">
        <v>2244</v>
      </c>
      <c r="C98" s="27" t="b">
        <f aca="false">FALSE()</f>
        <v>0</v>
      </c>
      <c r="D98" s="26" t="n">
        <v>44228</v>
      </c>
      <c r="E98" s="25" t="n">
        <v>2021</v>
      </c>
      <c r="F98" s="25" t="n">
        <v>1</v>
      </c>
      <c r="G98" s="25" t="n">
        <v>2</v>
      </c>
    </row>
    <row r="99" customFormat="false" ht="15" hidden="false" customHeight="false" outlineLevel="0" collapsed="false">
      <c r="A99" s="25" t="n">
        <v>20210202</v>
      </c>
      <c r="B99" s="25" t="s">
        <v>2244</v>
      </c>
      <c r="C99" s="27" t="b">
        <f aca="false">FALSE()</f>
        <v>0</v>
      </c>
      <c r="D99" s="26" t="n">
        <v>44229</v>
      </c>
      <c r="E99" s="25" t="n">
        <v>2021</v>
      </c>
      <c r="F99" s="25" t="n">
        <v>1</v>
      </c>
      <c r="G99" s="25" t="n">
        <v>2</v>
      </c>
    </row>
    <row r="100" customFormat="false" ht="15" hidden="false" customHeight="false" outlineLevel="0" collapsed="false">
      <c r="A100" s="25" t="n">
        <v>20210203</v>
      </c>
      <c r="B100" s="25" t="s">
        <v>2244</v>
      </c>
      <c r="C100" s="27" t="b">
        <f aca="false">FALSE()</f>
        <v>0</v>
      </c>
      <c r="D100" s="26" t="n">
        <v>44230</v>
      </c>
      <c r="E100" s="25" t="n">
        <v>2021</v>
      </c>
      <c r="F100" s="25" t="n">
        <v>1</v>
      </c>
      <c r="G100" s="25" t="n">
        <v>2</v>
      </c>
    </row>
    <row r="101" customFormat="false" ht="15" hidden="false" customHeight="false" outlineLevel="0" collapsed="false">
      <c r="A101" s="25" t="n">
        <v>20210204</v>
      </c>
      <c r="B101" s="25" t="s">
        <v>2244</v>
      </c>
      <c r="C101" s="27" t="b">
        <f aca="false">FALSE()</f>
        <v>0</v>
      </c>
      <c r="D101" s="26" t="n">
        <v>44231</v>
      </c>
      <c r="E101" s="25" t="n">
        <v>2021</v>
      </c>
      <c r="F101" s="25" t="n">
        <v>1</v>
      </c>
      <c r="G101" s="25" t="n">
        <v>2</v>
      </c>
    </row>
    <row r="102" customFormat="false" ht="15" hidden="false" customHeight="false" outlineLevel="0" collapsed="false">
      <c r="A102" s="25" t="n">
        <v>20210205</v>
      </c>
      <c r="B102" s="25" t="s">
        <v>2244</v>
      </c>
      <c r="C102" s="27" t="b">
        <f aca="false">FALSE()</f>
        <v>0</v>
      </c>
      <c r="D102" s="26" t="n">
        <v>44232</v>
      </c>
      <c r="E102" s="25" t="n">
        <v>2021</v>
      </c>
      <c r="F102" s="25" t="n">
        <v>1</v>
      </c>
      <c r="G102" s="25" t="n">
        <v>2</v>
      </c>
    </row>
    <row r="103" customFormat="false" ht="15" hidden="false" customHeight="false" outlineLevel="0" collapsed="false">
      <c r="A103" s="25" t="n">
        <v>20210206</v>
      </c>
      <c r="B103" s="25" t="s">
        <v>2244</v>
      </c>
      <c r="C103" s="27" t="b">
        <f aca="false">TRUE()</f>
        <v>1</v>
      </c>
      <c r="D103" s="26" t="n">
        <v>44233</v>
      </c>
      <c r="E103" s="25" t="n">
        <v>2021</v>
      </c>
      <c r="F103" s="25" t="n">
        <v>1</v>
      </c>
      <c r="G103" s="25" t="n">
        <v>2</v>
      </c>
    </row>
    <row r="104" customFormat="false" ht="15" hidden="false" customHeight="false" outlineLevel="0" collapsed="false">
      <c r="A104" s="25" t="n">
        <v>20210207</v>
      </c>
      <c r="B104" s="25" t="s">
        <v>2244</v>
      </c>
      <c r="C104" s="27" t="b">
        <f aca="false">TRUE()</f>
        <v>1</v>
      </c>
      <c r="D104" s="26" t="n">
        <v>44234</v>
      </c>
      <c r="E104" s="25" t="n">
        <v>2021</v>
      </c>
      <c r="F104" s="25" t="n">
        <v>1</v>
      </c>
      <c r="G104" s="25" t="n">
        <v>2</v>
      </c>
    </row>
    <row r="105" customFormat="false" ht="15" hidden="false" customHeight="false" outlineLevel="0" collapsed="false">
      <c r="A105" s="25" t="n">
        <v>20210208</v>
      </c>
      <c r="B105" s="25" t="s">
        <v>2244</v>
      </c>
      <c r="C105" s="27" t="b">
        <f aca="false">FALSE()</f>
        <v>0</v>
      </c>
      <c r="D105" s="26" t="n">
        <v>44235</v>
      </c>
      <c r="E105" s="25" t="n">
        <v>2021</v>
      </c>
      <c r="F105" s="25" t="n">
        <v>1</v>
      </c>
      <c r="G105" s="25" t="n">
        <v>2</v>
      </c>
    </row>
    <row r="106" customFormat="false" ht="15" hidden="false" customHeight="false" outlineLevel="0" collapsed="false">
      <c r="A106" s="25" t="n">
        <v>20210209</v>
      </c>
      <c r="B106" s="25" t="s">
        <v>2244</v>
      </c>
      <c r="C106" s="27" t="b">
        <f aca="false">FALSE()</f>
        <v>0</v>
      </c>
      <c r="D106" s="26" t="n">
        <v>44236</v>
      </c>
      <c r="E106" s="25" t="n">
        <v>2021</v>
      </c>
      <c r="F106" s="25" t="n">
        <v>1</v>
      </c>
      <c r="G106" s="25" t="n">
        <v>2</v>
      </c>
    </row>
    <row r="107" customFormat="false" ht="15" hidden="false" customHeight="false" outlineLevel="0" collapsed="false">
      <c r="A107" s="25" t="n">
        <v>20210210</v>
      </c>
      <c r="B107" s="25" t="s">
        <v>2244</v>
      </c>
      <c r="C107" s="27" t="b">
        <f aca="false">FALSE()</f>
        <v>0</v>
      </c>
      <c r="D107" s="26" t="n">
        <v>44237</v>
      </c>
      <c r="E107" s="25" t="n">
        <v>2021</v>
      </c>
      <c r="F107" s="25" t="n">
        <v>1</v>
      </c>
      <c r="G107" s="25" t="n">
        <v>2</v>
      </c>
    </row>
    <row r="108" customFormat="false" ht="15" hidden="false" customHeight="false" outlineLevel="0" collapsed="false">
      <c r="A108" s="25" t="n">
        <v>20210211</v>
      </c>
      <c r="B108" s="25" t="s">
        <v>2244</v>
      </c>
      <c r="C108" s="27" t="b">
        <f aca="false">FALSE()</f>
        <v>0</v>
      </c>
      <c r="D108" s="26" t="n">
        <v>44238</v>
      </c>
      <c r="E108" s="25" t="n">
        <v>2021</v>
      </c>
      <c r="F108" s="25" t="n">
        <v>1</v>
      </c>
      <c r="G108" s="25" t="n">
        <v>2</v>
      </c>
    </row>
    <row r="109" customFormat="false" ht="15" hidden="false" customHeight="false" outlineLevel="0" collapsed="false">
      <c r="A109" s="25" t="n">
        <v>20210212</v>
      </c>
      <c r="B109" s="25" t="s">
        <v>2244</v>
      </c>
      <c r="C109" s="27" t="b">
        <f aca="false">FALSE()</f>
        <v>0</v>
      </c>
      <c r="D109" s="26" t="n">
        <v>44239</v>
      </c>
      <c r="E109" s="25" t="n">
        <v>2021</v>
      </c>
      <c r="F109" s="25" t="n">
        <v>1</v>
      </c>
      <c r="G109" s="25" t="n">
        <v>2</v>
      </c>
    </row>
    <row r="110" customFormat="false" ht="15" hidden="false" customHeight="false" outlineLevel="0" collapsed="false">
      <c r="A110" s="25" t="n">
        <v>20210213</v>
      </c>
      <c r="B110" s="25" t="s">
        <v>2244</v>
      </c>
      <c r="C110" s="27" t="b">
        <f aca="false">TRUE()</f>
        <v>1</v>
      </c>
      <c r="D110" s="26" t="n">
        <v>44240</v>
      </c>
      <c r="E110" s="25" t="n">
        <v>2021</v>
      </c>
      <c r="F110" s="25" t="n">
        <v>1</v>
      </c>
      <c r="G110" s="25" t="n">
        <v>2</v>
      </c>
    </row>
    <row r="111" customFormat="false" ht="15" hidden="false" customHeight="false" outlineLevel="0" collapsed="false">
      <c r="A111" s="25" t="n">
        <v>20210214</v>
      </c>
      <c r="B111" s="25" t="s">
        <v>2244</v>
      </c>
      <c r="C111" s="27" t="b">
        <f aca="false">TRUE()</f>
        <v>1</v>
      </c>
      <c r="D111" s="26" t="n">
        <v>44241</v>
      </c>
      <c r="E111" s="25" t="n">
        <v>2021</v>
      </c>
      <c r="F111" s="25" t="n">
        <v>1</v>
      </c>
      <c r="G111" s="25" t="n">
        <v>2</v>
      </c>
    </row>
    <row r="112" customFormat="false" ht="15" hidden="false" customHeight="false" outlineLevel="0" collapsed="false">
      <c r="A112" s="25" t="n">
        <v>20210215</v>
      </c>
      <c r="B112" s="25" t="s">
        <v>2244</v>
      </c>
      <c r="C112" s="27" t="b">
        <f aca="false">FALSE()</f>
        <v>0</v>
      </c>
      <c r="D112" s="26" t="n">
        <v>44242</v>
      </c>
      <c r="E112" s="25" t="n">
        <v>2021</v>
      </c>
      <c r="F112" s="25" t="n">
        <v>1</v>
      </c>
      <c r="G112" s="25" t="n">
        <v>2</v>
      </c>
    </row>
    <row r="113" customFormat="false" ht="15" hidden="false" customHeight="false" outlineLevel="0" collapsed="false">
      <c r="A113" s="25" t="n">
        <v>20210216</v>
      </c>
      <c r="B113" s="25" t="s">
        <v>2244</v>
      </c>
      <c r="C113" s="27" t="b">
        <f aca="false">FALSE()</f>
        <v>0</v>
      </c>
      <c r="D113" s="26" t="n">
        <v>44243</v>
      </c>
      <c r="E113" s="25" t="n">
        <v>2021</v>
      </c>
      <c r="F113" s="25" t="n">
        <v>1</v>
      </c>
      <c r="G113" s="25" t="n">
        <v>2</v>
      </c>
    </row>
    <row r="114" customFormat="false" ht="15" hidden="false" customHeight="false" outlineLevel="0" collapsed="false">
      <c r="A114" s="25" t="n">
        <v>20210217</v>
      </c>
      <c r="B114" s="25" t="s">
        <v>2244</v>
      </c>
      <c r="C114" s="27" t="b">
        <f aca="false">FALSE()</f>
        <v>0</v>
      </c>
      <c r="D114" s="26" t="n">
        <v>44244</v>
      </c>
      <c r="E114" s="25" t="n">
        <v>2021</v>
      </c>
      <c r="F114" s="25" t="n">
        <v>1</v>
      </c>
      <c r="G114" s="25" t="n">
        <v>2</v>
      </c>
    </row>
    <row r="115" customFormat="false" ht="15" hidden="false" customHeight="false" outlineLevel="0" collapsed="false">
      <c r="A115" s="25" t="n">
        <v>20210218</v>
      </c>
      <c r="B115" s="25" t="s">
        <v>2244</v>
      </c>
      <c r="C115" s="27" t="b">
        <f aca="false">FALSE()</f>
        <v>0</v>
      </c>
      <c r="D115" s="26" t="n">
        <v>44245</v>
      </c>
      <c r="E115" s="25" t="n">
        <v>2021</v>
      </c>
      <c r="F115" s="25" t="n">
        <v>1</v>
      </c>
      <c r="G115" s="25" t="n">
        <v>2</v>
      </c>
    </row>
    <row r="116" customFormat="false" ht="15" hidden="false" customHeight="false" outlineLevel="0" collapsed="false">
      <c r="A116" s="25" t="n">
        <v>20210219</v>
      </c>
      <c r="B116" s="25" t="s">
        <v>2244</v>
      </c>
      <c r="C116" s="27" t="b">
        <f aca="false">FALSE()</f>
        <v>0</v>
      </c>
      <c r="D116" s="26" t="n">
        <v>44246</v>
      </c>
      <c r="E116" s="25" t="n">
        <v>2021</v>
      </c>
      <c r="F116" s="25" t="n">
        <v>1</v>
      </c>
      <c r="G116" s="25" t="n">
        <v>2</v>
      </c>
    </row>
    <row r="117" customFormat="false" ht="15" hidden="false" customHeight="false" outlineLevel="0" collapsed="false">
      <c r="A117" s="25" t="n">
        <v>20210220</v>
      </c>
      <c r="B117" s="25" t="s">
        <v>2244</v>
      </c>
      <c r="C117" s="27" t="b">
        <f aca="false">TRUE()</f>
        <v>1</v>
      </c>
      <c r="D117" s="26" t="n">
        <v>44247</v>
      </c>
      <c r="E117" s="25" t="n">
        <v>2021</v>
      </c>
      <c r="F117" s="25" t="n">
        <v>1</v>
      </c>
      <c r="G117" s="25" t="n">
        <v>2</v>
      </c>
    </row>
    <row r="118" customFormat="false" ht="15" hidden="false" customHeight="false" outlineLevel="0" collapsed="false">
      <c r="A118" s="25" t="n">
        <v>20210221</v>
      </c>
      <c r="B118" s="25" t="s">
        <v>2244</v>
      </c>
      <c r="C118" s="27" t="b">
        <f aca="false">TRUE()</f>
        <v>1</v>
      </c>
      <c r="D118" s="26" t="n">
        <v>44248</v>
      </c>
      <c r="E118" s="25" t="n">
        <v>2021</v>
      </c>
      <c r="F118" s="25" t="n">
        <v>1</v>
      </c>
      <c r="G118" s="25" t="n">
        <v>2</v>
      </c>
    </row>
    <row r="119" customFormat="false" ht="15" hidden="false" customHeight="false" outlineLevel="0" collapsed="false">
      <c r="A119" s="25" t="n">
        <v>20210222</v>
      </c>
      <c r="B119" s="25" t="s">
        <v>2244</v>
      </c>
      <c r="C119" s="27" t="b">
        <f aca="false">FALSE()</f>
        <v>0</v>
      </c>
      <c r="D119" s="26" t="n">
        <v>44249</v>
      </c>
      <c r="E119" s="25" t="n">
        <v>2021</v>
      </c>
      <c r="F119" s="25" t="n">
        <v>1</v>
      </c>
      <c r="G119" s="25" t="n">
        <v>2</v>
      </c>
    </row>
    <row r="120" customFormat="false" ht="15" hidden="false" customHeight="false" outlineLevel="0" collapsed="false">
      <c r="A120" s="25" t="n">
        <v>20210223</v>
      </c>
      <c r="B120" s="25" t="s">
        <v>2244</v>
      </c>
      <c r="C120" s="27" t="b">
        <f aca="false">FALSE()</f>
        <v>0</v>
      </c>
      <c r="D120" s="26" t="n">
        <v>44250</v>
      </c>
      <c r="E120" s="25" t="n">
        <v>2021</v>
      </c>
      <c r="F120" s="25" t="n">
        <v>1</v>
      </c>
      <c r="G120" s="25" t="n">
        <v>2</v>
      </c>
    </row>
    <row r="121" customFormat="false" ht="15" hidden="false" customHeight="false" outlineLevel="0" collapsed="false">
      <c r="A121" s="25" t="n">
        <v>20210224</v>
      </c>
      <c r="B121" s="25" t="s">
        <v>2244</v>
      </c>
      <c r="C121" s="27" t="b">
        <f aca="false">FALSE()</f>
        <v>0</v>
      </c>
      <c r="D121" s="26" t="n">
        <v>44251</v>
      </c>
      <c r="E121" s="25" t="n">
        <v>2021</v>
      </c>
      <c r="F121" s="25" t="n">
        <v>1</v>
      </c>
      <c r="G121" s="25" t="n">
        <v>2</v>
      </c>
    </row>
    <row r="122" customFormat="false" ht="15" hidden="false" customHeight="false" outlineLevel="0" collapsed="false">
      <c r="A122" s="25" t="n">
        <v>20210225</v>
      </c>
      <c r="B122" s="25" t="s">
        <v>2244</v>
      </c>
      <c r="C122" s="27" t="b">
        <f aca="false">FALSE()</f>
        <v>0</v>
      </c>
      <c r="D122" s="26" t="n">
        <v>44252</v>
      </c>
      <c r="E122" s="25" t="n">
        <v>2021</v>
      </c>
      <c r="F122" s="25" t="n">
        <v>1</v>
      </c>
      <c r="G122" s="25" t="n">
        <v>2</v>
      </c>
    </row>
    <row r="123" customFormat="false" ht="15" hidden="false" customHeight="false" outlineLevel="0" collapsed="false">
      <c r="A123" s="25" t="n">
        <v>20210226</v>
      </c>
      <c r="B123" s="25" t="s">
        <v>2244</v>
      </c>
      <c r="C123" s="27" t="b">
        <f aca="false">FALSE()</f>
        <v>0</v>
      </c>
      <c r="D123" s="26" t="n">
        <v>44253</v>
      </c>
      <c r="E123" s="25" t="n">
        <v>2021</v>
      </c>
      <c r="F123" s="25" t="n">
        <v>1</v>
      </c>
      <c r="G123" s="25" t="n">
        <v>2</v>
      </c>
    </row>
    <row r="124" customFormat="false" ht="15" hidden="false" customHeight="false" outlineLevel="0" collapsed="false">
      <c r="A124" s="25" t="n">
        <v>20210227</v>
      </c>
      <c r="B124" s="25" t="s">
        <v>2244</v>
      </c>
      <c r="C124" s="27" t="b">
        <f aca="false">TRUE()</f>
        <v>1</v>
      </c>
      <c r="D124" s="26" t="n">
        <v>44254</v>
      </c>
      <c r="E124" s="25" t="n">
        <v>2021</v>
      </c>
      <c r="F124" s="25" t="n">
        <v>1</v>
      </c>
      <c r="G124" s="25" t="n">
        <v>2</v>
      </c>
    </row>
    <row r="125" customFormat="false" ht="15" hidden="false" customHeight="false" outlineLevel="0" collapsed="false">
      <c r="A125" s="25" t="n">
        <v>20210228</v>
      </c>
      <c r="B125" s="25" t="s">
        <v>2244</v>
      </c>
      <c r="C125" s="27" t="b">
        <f aca="false">TRUE()</f>
        <v>1</v>
      </c>
      <c r="D125" s="26" t="n">
        <v>44255</v>
      </c>
      <c r="E125" s="25" t="n">
        <v>2021</v>
      </c>
      <c r="F125" s="25" t="n">
        <v>1</v>
      </c>
      <c r="G125" s="25" t="n">
        <v>2</v>
      </c>
    </row>
    <row r="126" customFormat="false" ht="15" hidden="false" customHeight="false" outlineLevel="0" collapsed="false">
      <c r="A126" s="25" t="n">
        <v>20210301</v>
      </c>
      <c r="B126" s="25" t="s">
        <v>2245</v>
      </c>
      <c r="C126" s="27" t="b">
        <f aca="false">FALSE()</f>
        <v>0</v>
      </c>
      <c r="D126" s="26" t="n">
        <v>44256</v>
      </c>
      <c r="E126" s="25" t="n">
        <v>2021</v>
      </c>
      <c r="F126" s="25" t="n">
        <v>1</v>
      </c>
      <c r="G126" s="25" t="n">
        <v>3</v>
      </c>
    </row>
    <row r="127" customFormat="false" ht="15" hidden="false" customHeight="false" outlineLevel="0" collapsed="false">
      <c r="A127" s="25" t="n">
        <v>20210302</v>
      </c>
      <c r="B127" s="25" t="s">
        <v>2245</v>
      </c>
      <c r="C127" s="27" t="b">
        <f aca="false">FALSE()</f>
        <v>0</v>
      </c>
      <c r="D127" s="26" t="n">
        <v>44257</v>
      </c>
      <c r="E127" s="25" t="n">
        <v>2021</v>
      </c>
      <c r="F127" s="25" t="n">
        <v>1</v>
      </c>
      <c r="G127" s="25" t="n">
        <v>3</v>
      </c>
    </row>
    <row r="128" customFormat="false" ht="15" hidden="false" customHeight="false" outlineLevel="0" collapsed="false">
      <c r="A128" s="25" t="n">
        <v>20210303</v>
      </c>
      <c r="B128" s="25" t="s">
        <v>2245</v>
      </c>
      <c r="C128" s="27" t="b">
        <f aca="false">FALSE()</f>
        <v>0</v>
      </c>
      <c r="D128" s="26" t="n">
        <v>44258</v>
      </c>
      <c r="E128" s="25" t="n">
        <v>2021</v>
      </c>
      <c r="F128" s="25" t="n">
        <v>1</v>
      </c>
      <c r="G128" s="25" t="n">
        <v>3</v>
      </c>
    </row>
    <row r="129" customFormat="false" ht="15" hidden="false" customHeight="false" outlineLevel="0" collapsed="false">
      <c r="A129" s="25" t="n">
        <v>20210304</v>
      </c>
      <c r="B129" s="25" t="s">
        <v>2245</v>
      </c>
      <c r="C129" s="27" t="b">
        <f aca="false">FALSE()</f>
        <v>0</v>
      </c>
      <c r="D129" s="26" t="n">
        <v>44259</v>
      </c>
      <c r="E129" s="25" t="n">
        <v>2021</v>
      </c>
      <c r="F129" s="25" t="n">
        <v>1</v>
      </c>
      <c r="G129" s="25" t="n">
        <v>3</v>
      </c>
    </row>
    <row r="130" customFormat="false" ht="15" hidden="false" customHeight="false" outlineLevel="0" collapsed="false">
      <c r="A130" s="25" t="n">
        <v>20210305</v>
      </c>
      <c r="B130" s="25" t="s">
        <v>2245</v>
      </c>
      <c r="C130" s="27" t="b">
        <f aca="false">FALSE()</f>
        <v>0</v>
      </c>
      <c r="D130" s="26" t="n">
        <v>44260</v>
      </c>
      <c r="E130" s="25" t="n">
        <v>2021</v>
      </c>
      <c r="F130" s="25" t="n">
        <v>1</v>
      </c>
      <c r="G130" s="25" t="n">
        <v>3</v>
      </c>
    </row>
    <row r="131" customFormat="false" ht="15" hidden="false" customHeight="false" outlineLevel="0" collapsed="false">
      <c r="A131" s="25" t="n">
        <v>20210306</v>
      </c>
      <c r="B131" s="25" t="s">
        <v>2245</v>
      </c>
      <c r="C131" s="27" t="b">
        <f aca="false">TRUE()</f>
        <v>1</v>
      </c>
      <c r="D131" s="26" t="n">
        <v>44261</v>
      </c>
      <c r="E131" s="25" t="n">
        <v>2021</v>
      </c>
      <c r="F131" s="25" t="n">
        <v>1</v>
      </c>
      <c r="G131" s="25" t="n">
        <v>3</v>
      </c>
    </row>
    <row r="132" customFormat="false" ht="15" hidden="false" customHeight="false" outlineLevel="0" collapsed="false">
      <c r="A132" s="25" t="n">
        <v>20210307</v>
      </c>
      <c r="B132" s="25" t="s">
        <v>2245</v>
      </c>
      <c r="C132" s="27" t="b">
        <f aca="false">TRUE()</f>
        <v>1</v>
      </c>
      <c r="D132" s="26" t="n">
        <v>44262</v>
      </c>
      <c r="E132" s="25" t="n">
        <v>2021</v>
      </c>
      <c r="F132" s="25" t="n">
        <v>1</v>
      </c>
      <c r="G132" s="25" t="n">
        <v>3</v>
      </c>
    </row>
    <row r="133" customFormat="false" ht="15" hidden="false" customHeight="false" outlineLevel="0" collapsed="false">
      <c r="A133" s="25" t="n">
        <v>20210308</v>
      </c>
      <c r="B133" s="25" t="s">
        <v>2245</v>
      </c>
      <c r="C133" s="27" t="b">
        <f aca="false">FALSE()</f>
        <v>0</v>
      </c>
      <c r="D133" s="26" t="n">
        <v>44263</v>
      </c>
      <c r="E133" s="25" t="n">
        <v>2021</v>
      </c>
      <c r="F133" s="25" t="n">
        <v>1</v>
      </c>
      <c r="G133" s="25" t="n">
        <v>3</v>
      </c>
    </row>
    <row r="134" customFormat="false" ht="15" hidden="false" customHeight="false" outlineLevel="0" collapsed="false">
      <c r="A134" s="25" t="n">
        <v>20210309</v>
      </c>
      <c r="B134" s="25" t="s">
        <v>2245</v>
      </c>
      <c r="C134" s="27" t="b">
        <f aca="false">FALSE()</f>
        <v>0</v>
      </c>
      <c r="D134" s="26" t="n">
        <v>44264</v>
      </c>
      <c r="E134" s="25" t="n">
        <v>2021</v>
      </c>
      <c r="F134" s="25" t="n">
        <v>1</v>
      </c>
      <c r="G134" s="25" t="n">
        <v>3</v>
      </c>
    </row>
    <row r="135" customFormat="false" ht="15" hidden="false" customHeight="false" outlineLevel="0" collapsed="false">
      <c r="A135" s="25" t="n">
        <v>20210310</v>
      </c>
      <c r="B135" s="25" t="s">
        <v>2245</v>
      </c>
      <c r="C135" s="27" t="b">
        <f aca="false">FALSE()</f>
        <v>0</v>
      </c>
      <c r="D135" s="26" t="n">
        <v>44265</v>
      </c>
      <c r="E135" s="25" t="n">
        <v>2021</v>
      </c>
      <c r="F135" s="25" t="n">
        <v>1</v>
      </c>
      <c r="G135" s="25" t="n">
        <v>3</v>
      </c>
    </row>
    <row r="136" customFormat="false" ht="15" hidden="false" customHeight="false" outlineLevel="0" collapsed="false">
      <c r="A136" s="25" t="n">
        <v>20210311</v>
      </c>
      <c r="B136" s="25" t="s">
        <v>2245</v>
      </c>
      <c r="C136" s="27" t="b">
        <f aca="false">FALSE()</f>
        <v>0</v>
      </c>
      <c r="D136" s="26" t="n">
        <v>44266</v>
      </c>
      <c r="E136" s="25" t="n">
        <v>2021</v>
      </c>
      <c r="F136" s="25" t="n">
        <v>1</v>
      </c>
      <c r="G136" s="25" t="n">
        <v>3</v>
      </c>
    </row>
    <row r="137" customFormat="false" ht="15" hidden="false" customHeight="false" outlineLevel="0" collapsed="false">
      <c r="A137" s="25" t="n">
        <v>20210312</v>
      </c>
      <c r="B137" s="25" t="s">
        <v>2245</v>
      </c>
      <c r="C137" s="27" t="b">
        <f aca="false">FALSE()</f>
        <v>0</v>
      </c>
      <c r="D137" s="26" t="n">
        <v>44267</v>
      </c>
      <c r="E137" s="25" t="n">
        <v>2021</v>
      </c>
      <c r="F137" s="25" t="n">
        <v>1</v>
      </c>
      <c r="G137" s="25" t="n">
        <v>3</v>
      </c>
    </row>
    <row r="138" customFormat="false" ht="15" hidden="false" customHeight="false" outlineLevel="0" collapsed="false">
      <c r="A138" s="25" t="n">
        <v>20210313</v>
      </c>
      <c r="B138" s="25" t="s">
        <v>2245</v>
      </c>
      <c r="C138" s="27" t="b">
        <f aca="false">TRUE()</f>
        <v>1</v>
      </c>
      <c r="D138" s="26" t="n">
        <v>44268</v>
      </c>
      <c r="E138" s="25" t="n">
        <v>2021</v>
      </c>
      <c r="F138" s="25" t="n">
        <v>1</v>
      </c>
      <c r="G138" s="25" t="n">
        <v>3</v>
      </c>
    </row>
    <row r="139" customFormat="false" ht="15" hidden="false" customHeight="false" outlineLevel="0" collapsed="false">
      <c r="A139" s="25" t="n">
        <v>20210314</v>
      </c>
      <c r="B139" s="25" t="s">
        <v>2245</v>
      </c>
      <c r="C139" s="27" t="b">
        <f aca="false">TRUE()</f>
        <v>1</v>
      </c>
      <c r="D139" s="26" t="n">
        <v>44269</v>
      </c>
      <c r="E139" s="25" t="n">
        <v>2021</v>
      </c>
      <c r="F139" s="25" t="n">
        <v>1</v>
      </c>
      <c r="G139" s="25" t="n">
        <v>3</v>
      </c>
    </row>
    <row r="140" customFormat="false" ht="15" hidden="false" customHeight="false" outlineLevel="0" collapsed="false">
      <c r="A140" s="25" t="n">
        <v>20210315</v>
      </c>
      <c r="B140" s="25" t="s">
        <v>2245</v>
      </c>
      <c r="C140" s="27" t="b">
        <f aca="false">FALSE()</f>
        <v>0</v>
      </c>
      <c r="D140" s="26" t="n">
        <v>44270</v>
      </c>
      <c r="E140" s="25" t="n">
        <v>2021</v>
      </c>
      <c r="F140" s="25" t="n">
        <v>1</v>
      </c>
      <c r="G140" s="25" t="n">
        <v>3</v>
      </c>
    </row>
    <row r="141" customFormat="false" ht="15" hidden="false" customHeight="false" outlineLevel="0" collapsed="false">
      <c r="A141" s="25" t="n">
        <v>20210316</v>
      </c>
      <c r="B141" s="25" t="s">
        <v>2245</v>
      </c>
      <c r="C141" s="27" t="b">
        <f aca="false">FALSE()</f>
        <v>0</v>
      </c>
      <c r="D141" s="26" t="n">
        <v>44271</v>
      </c>
      <c r="E141" s="25" t="n">
        <v>2021</v>
      </c>
      <c r="F141" s="25" t="n">
        <v>1</v>
      </c>
      <c r="G141" s="25" t="n">
        <v>3</v>
      </c>
    </row>
    <row r="142" customFormat="false" ht="15" hidden="false" customHeight="false" outlineLevel="0" collapsed="false">
      <c r="A142" s="25" t="n">
        <v>20210317</v>
      </c>
      <c r="B142" s="25" t="s">
        <v>2245</v>
      </c>
      <c r="C142" s="27" t="b">
        <f aca="false">FALSE()</f>
        <v>0</v>
      </c>
      <c r="D142" s="26" t="n">
        <v>44272</v>
      </c>
      <c r="E142" s="25" t="n">
        <v>2021</v>
      </c>
      <c r="F142" s="25" t="n">
        <v>1</v>
      </c>
      <c r="G142" s="25" t="n">
        <v>3</v>
      </c>
    </row>
    <row r="143" customFormat="false" ht="15" hidden="false" customHeight="false" outlineLevel="0" collapsed="false">
      <c r="A143" s="25" t="n">
        <v>20210318</v>
      </c>
      <c r="B143" s="25" t="s">
        <v>2245</v>
      </c>
      <c r="C143" s="27" t="b">
        <f aca="false">FALSE()</f>
        <v>0</v>
      </c>
      <c r="D143" s="26" t="n">
        <v>44273</v>
      </c>
      <c r="E143" s="25" t="n">
        <v>2021</v>
      </c>
      <c r="F143" s="25" t="n">
        <v>1</v>
      </c>
      <c r="G143" s="25" t="n">
        <v>3</v>
      </c>
    </row>
    <row r="144" customFormat="false" ht="15" hidden="false" customHeight="false" outlineLevel="0" collapsed="false">
      <c r="A144" s="25" t="n">
        <v>20210319</v>
      </c>
      <c r="B144" s="25" t="s">
        <v>2245</v>
      </c>
      <c r="C144" s="27" t="b">
        <f aca="false">FALSE()</f>
        <v>0</v>
      </c>
      <c r="D144" s="26" t="n">
        <v>44274</v>
      </c>
      <c r="E144" s="25" t="n">
        <v>2021</v>
      </c>
      <c r="F144" s="25" t="n">
        <v>1</v>
      </c>
      <c r="G144" s="25" t="n">
        <v>3</v>
      </c>
    </row>
    <row r="145" customFormat="false" ht="15" hidden="false" customHeight="false" outlineLevel="0" collapsed="false">
      <c r="A145" s="25" t="n">
        <v>20210320</v>
      </c>
      <c r="B145" s="25" t="s">
        <v>2245</v>
      </c>
      <c r="C145" s="27" t="b">
        <f aca="false">TRUE()</f>
        <v>1</v>
      </c>
      <c r="D145" s="26" t="n">
        <v>44275</v>
      </c>
      <c r="E145" s="25" t="n">
        <v>2021</v>
      </c>
      <c r="F145" s="25" t="n">
        <v>1</v>
      </c>
      <c r="G145" s="25" t="n">
        <v>3</v>
      </c>
    </row>
    <row r="146" customFormat="false" ht="15" hidden="false" customHeight="false" outlineLevel="0" collapsed="false">
      <c r="A146" s="25" t="n">
        <v>20210321</v>
      </c>
      <c r="B146" s="25" t="s">
        <v>2245</v>
      </c>
      <c r="C146" s="27" t="b">
        <f aca="false">TRUE()</f>
        <v>1</v>
      </c>
      <c r="D146" s="26" t="n">
        <v>44276</v>
      </c>
      <c r="E146" s="25" t="n">
        <v>2021</v>
      </c>
      <c r="F146" s="25" t="n">
        <v>1</v>
      </c>
      <c r="G146" s="25" t="n">
        <v>3</v>
      </c>
    </row>
    <row r="147" customFormat="false" ht="15" hidden="false" customHeight="false" outlineLevel="0" collapsed="false">
      <c r="A147" s="25" t="n">
        <v>20210322</v>
      </c>
      <c r="B147" s="25" t="s">
        <v>2245</v>
      </c>
      <c r="C147" s="27" t="b">
        <f aca="false">FALSE()</f>
        <v>0</v>
      </c>
      <c r="D147" s="26" t="n">
        <v>44277</v>
      </c>
      <c r="E147" s="25" t="n">
        <v>2021</v>
      </c>
      <c r="F147" s="25" t="n">
        <v>1</v>
      </c>
      <c r="G147" s="25" t="n">
        <v>3</v>
      </c>
    </row>
    <row r="148" customFormat="false" ht="15" hidden="false" customHeight="false" outlineLevel="0" collapsed="false">
      <c r="A148" s="25" t="n">
        <v>20210323</v>
      </c>
      <c r="B148" s="25" t="s">
        <v>2245</v>
      </c>
      <c r="C148" s="27" t="b">
        <f aca="false">FALSE()</f>
        <v>0</v>
      </c>
      <c r="D148" s="26" t="n">
        <v>44278</v>
      </c>
      <c r="E148" s="25" t="n">
        <v>2021</v>
      </c>
      <c r="F148" s="25" t="n">
        <v>1</v>
      </c>
      <c r="G148" s="25" t="n">
        <v>3</v>
      </c>
    </row>
    <row r="149" customFormat="false" ht="15" hidden="false" customHeight="false" outlineLevel="0" collapsed="false">
      <c r="A149" s="25" t="n">
        <v>20210324</v>
      </c>
      <c r="B149" s="25" t="s">
        <v>2245</v>
      </c>
      <c r="C149" s="27" t="b">
        <f aca="false">FALSE()</f>
        <v>0</v>
      </c>
      <c r="D149" s="26" t="n">
        <v>44279</v>
      </c>
      <c r="E149" s="25" t="n">
        <v>2021</v>
      </c>
      <c r="F149" s="25" t="n">
        <v>1</v>
      </c>
      <c r="G149" s="25" t="n">
        <v>3</v>
      </c>
    </row>
    <row r="150" customFormat="false" ht="15" hidden="false" customHeight="false" outlineLevel="0" collapsed="false">
      <c r="A150" s="25" t="n">
        <v>20210325</v>
      </c>
      <c r="B150" s="25" t="s">
        <v>2245</v>
      </c>
      <c r="C150" s="27" t="b">
        <f aca="false">FALSE()</f>
        <v>0</v>
      </c>
      <c r="D150" s="26" t="n">
        <v>44280</v>
      </c>
      <c r="E150" s="25" t="n">
        <v>2021</v>
      </c>
      <c r="F150" s="25" t="n">
        <v>1</v>
      </c>
      <c r="G150" s="25" t="n">
        <v>3</v>
      </c>
    </row>
    <row r="151" customFormat="false" ht="15" hidden="false" customHeight="false" outlineLevel="0" collapsed="false">
      <c r="A151" s="25" t="n">
        <v>20210326</v>
      </c>
      <c r="B151" s="25" t="s">
        <v>2245</v>
      </c>
      <c r="C151" s="27" t="b">
        <f aca="false">FALSE()</f>
        <v>0</v>
      </c>
      <c r="D151" s="26" t="n">
        <v>44281</v>
      </c>
      <c r="E151" s="25" t="n">
        <v>2021</v>
      </c>
      <c r="F151" s="25" t="n">
        <v>1</v>
      </c>
      <c r="G151" s="25" t="n">
        <v>3</v>
      </c>
    </row>
    <row r="152" customFormat="false" ht="15" hidden="false" customHeight="false" outlineLevel="0" collapsed="false">
      <c r="A152" s="25" t="n">
        <v>20210327</v>
      </c>
      <c r="B152" s="25" t="s">
        <v>2245</v>
      </c>
      <c r="C152" s="27" t="b">
        <f aca="false">TRUE()</f>
        <v>1</v>
      </c>
      <c r="D152" s="26" t="n">
        <v>44282</v>
      </c>
      <c r="E152" s="25" t="n">
        <v>2021</v>
      </c>
      <c r="F152" s="25" t="n">
        <v>1</v>
      </c>
      <c r="G152" s="25" t="n">
        <v>3</v>
      </c>
    </row>
    <row r="153" customFormat="false" ht="15" hidden="false" customHeight="false" outlineLevel="0" collapsed="false">
      <c r="A153" s="25" t="n">
        <v>20210328</v>
      </c>
      <c r="B153" s="25" t="s">
        <v>2245</v>
      </c>
      <c r="C153" s="27" t="b">
        <f aca="false">TRUE()</f>
        <v>1</v>
      </c>
      <c r="D153" s="26" t="n">
        <v>44283</v>
      </c>
      <c r="E153" s="25" t="n">
        <v>2021</v>
      </c>
      <c r="F153" s="25" t="n">
        <v>1</v>
      </c>
      <c r="G153" s="25" t="n">
        <v>3</v>
      </c>
    </row>
    <row r="154" customFormat="false" ht="15" hidden="false" customHeight="false" outlineLevel="0" collapsed="false">
      <c r="A154" s="25" t="n">
        <v>20210329</v>
      </c>
      <c r="B154" s="25" t="s">
        <v>2245</v>
      </c>
      <c r="C154" s="27" t="b">
        <f aca="false">FALSE()</f>
        <v>0</v>
      </c>
      <c r="D154" s="26" t="n">
        <v>44284</v>
      </c>
      <c r="E154" s="25" t="n">
        <v>2021</v>
      </c>
      <c r="F154" s="25" t="n">
        <v>1</v>
      </c>
      <c r="G154" s="25" t="n">
        <v>3</v>
      </c>
    </row>
    <row r="155" customFormat="false" ht="15" hidden="false" customHeight="false" outlineLevel="0" collapsed="false">
      <c r="A155" s="25" t="n">
        <v>20210330</v>
      </c>
      <c r="B155" s="25" t="s">
        <v>2245</v>
      </c>
      <c r="C155" s="27" t="b">
        <f aca="false">FALSE()</f>
        <v>0</v>
      </c>
      <c r="D155" s="26" t="n">
        <v>44285</v>
      </c>
      <c r="E155" s="25" t="n">
        <v>2021</v>
      </c>
      <c r="F155" s="25" t="n">
        <v>1</v>
      </c>
      <c r="G155" s="25" t="n">
        <v>3</v>
      </c>
    </row>
    <row r="156" customFormat="false" ht="15" hidden="false" customHeight="false" outlineLevel="0" collapsed="false">
      <c r="A156" s="25" t="n">
        <v>20210331</v>
      </c>
      <c r="B156" s="25" t="s">
        <v>2245</v>
      </c>
      <c r="C156" s="27" t="b">
        <f aca="false">FALSE()</f>
        <v>0</v>
      </c>
      <c r="D156" s="26" t="n">
        <v>44286</v>
      </c>
      <c r="E156" s="25" t="n">
        <v>2021</v>
      </c>
      <c r="F156" s="25" t="n">
        <v>1</v>
      </c>
      <c r="G156" s="25" t="n">
        <v>3</v>
      </c>
    </row>
    <row r="157" customFormat="false" ht="15" hidden="false" customHeight="false" outlineLevel="0" collapsed="false">
      <c r="A157" s="25" t="n">
        <v>20210401</v>
      </c>
      <c r="B157" s="25" t="s">
        <v>2246</v>
      </c>
      <c r="C157" s="27" t="b">
        <f aca="false">FALSE()</f>
        <v>0</v>
      </c>
      <c r="D157" s="26" t="n">
        <v>44287</v>
      </c>
      <c r="E157" s="25" t="n">
        <v>2021</v>
      </c>
      <c r="F157" s="25" t="n">
        <v>2</v>
      </c>
      <c r="G157" s="25" t="n">
        <v>4</v>
      </c>
    </row>
    <row r="158" customFormat="false" ht="15" hidden="false" customHeight="false" outlineLevel="0" collapsed="false">
      <c r="A158" s="25" t="n">
        <v>20210402</v>
      </c>
      <c r="B158" s="25" t="s">
        <v>2246</v>
      </c>
      <c r="C158" s="27" t="b">
        <f aca="false">FALSE()</f>
        <v>0</v>
      </c>
      <c r="D158" s="26" t="n">
        <v>44288</v>
      </c>
      <c r="E158" s="25" t="n">
        <v>2021</v>
      </c>
      <c r="F158" s="25" t="n">
        <v>2</v>
      </c>
      <c r="G158" s="25" t="n">
        <v>4</v>
      </c>
    </row>
    <row r="159" customFormat="false" ht="15" hidden="false" customHeight="false" outlineLevel="0" collapsed="false">
      <c r="A159" s="25" t="n">
        <v>20210403</v>
      </c>
      <c r="B159" s="25" t="s">
        <v>2246</v>
      </c>
      <c r="C159" s="27" t="b">
        <f aca="false">TRUE()</f>
        <v>1</v>
      </c>
      <c r="D159" s="26" t="n">
        <v>44289</v>
      </c>
      <c r="E159" s="25" t="n">
        <v>2021</v>
      </c>
      <c r="F159" s="25" t="n">
        <v>2</v>
      </c>
      <c r="G159" s="25" t="n">
        <v>4</v>
      </c>
    </row>
    <row r="160" customFormat="false" ht="15" hidden="false" customHeight="false" outlineLevel="0" collapsed="false">
      <c r="A160" s="25" t="n">
        <v>20210404</v>
      </c>
      <c r="B160" s="25" t="s">
        <v>2246</v>
      </c>
      <c r="C160" s="27" t="b">
        <f aca="false">TRUE()</f>
        <v>1</v>
      </c>
      <c r="D160" s="26" t="n">
        <v>44290</v>
      </c>
      <c r="E160" s="25" t="n">
        <v>2021</v>
      </c>
      <c r="F160" s="25" t="n">
        <v>2</v>
      </c>
      <c r="G160" s="25" t="n">
        <v>4</v>
      </c>
    </row>
    <row r="161" customFormat="false" ht="15" hidden="false" customHeight="false" outlineLevel="0" collapsed="false">
      <c r="A161" s="25" t="n">
        <v>20210405</v>
      </c>
      <c r="B161" s="25" t="s">
        <v>2246</v>
      </c>
      <c r="C161" s="27" t="b">
        <f aca="false">FALSE()</f>
        <v>0</v>
      </c>
      <c r="D161" s="26" t="n">
        <v>44291</v>
      </c>
      <c r="E161" s="25" t="n">
        <v>2021</v>
      </c>
      <c r="F161" s="25" t="n">
        <v>2</v>
      </c>
      <c r="G161" s="25" t="n">
        <v>4</v>
      </c>
    </row>
    <row r="162" customFormat="false" ht="15" hidden="false" customHeight="false" outlineLevel="0" collapsed="false">
      <c r="A162" s="25" t="n">
        <v>20210406</v>
      </c>
      <c r="B162" s="25" t="s">
        <v>2246</v>
      </c>
      <c r="C162" s="27" t="b">
        <f aca="false">FALSE()</f>
        <v>0</v>
      </c>
      <c r="D162" s="26" t="n">
        <v>44292</v>
      </c>
      <c r="E162" s="25" t="n">
        <v>2021</v>
      </c>
      <c r="F162" s="25" t="n">
        <v>2</v>
      </c>
      <c r="G162" s="25" t="n">
        <v>4</v>
      </c>
    </row>
    <row r="163" customFormat="false" ht="15" hidden="false" customHeight="false" outlineLevel="0" collapsed="false">
      <c r="A163" s="25" t="n">
        <v>20210407</v>
      </c>
      <c r="B163" s="25" t="s">
        <v>2246</v>
      </c>
      <c r="C163" s="27" t="b">
        <f aca="false">FALSE()</f>
        <v>0</v>
      </c>
      <c r="D163" s="26" t="n">
        <v>44293</v>
      </c>
      <c r="E163" s="25" t="n">
        <v>2021</v>
      </c>
      <c r="F163" s="25" t="n">
        <v>2</v>
      </c>
      <c r="G163" s="25" t="n">
        <v>4</v>
      </c>
    </row>
    <row r="164" customFormat="false" ht="15" hidden="false" customHeight="false" outlineLevel="0" collapsed="false">
      <c r="A164" s="25" t="n">
        <v>20210408</v>
      </c>
      <c r="B164" s="25" t="s">
        <v>2246</v>
      </c>
      <c r="C164" s="27" t="b">
        <f aca="false">FALSE()</f>
        <v>0</v>
      </c>
      <c r="D164" s="26" t="n">
        <v>44294</v>
      </c>
      <c r="E164" s="25" t="n">
        <v>2021</v>
      </c>
      <c r="F164" s="25" t="n">
        <v>2</v>
      </c>
      <c r="G164" s="25" t="n">
        <v>4</v>
      </c>
    </row>
    <row r="165" customFormat="false" ht="15" hidden="false" customHeight="false" outlineLevel="0" collapsed="false">
      <c r="A165" s="25" t="n">
        <v>20210409</v>
      </c>
      <c r="B165" s="25" t="s">
        <v>2246</v>
      </c>
      <c r="C165" s="27" t="b">
        <f aca="false">FALSE()</f>
        <v>0</v>
      </c>
      <c r="D165" s="26" t="n">
        <v>44295</v>
      </c>
      <c r="E165" s="25" t="n">
        <v>2021</v>
      </c>
      <c r="F165" s="25" t="n">
        <v>2</v>
      </c>
      <c r="G165" s="25" t="n">
        <v>4</v>
      </c>
    </row>
    <row r="166" customFormat="false" ht="15" hidden="false" customHeight="false" outlineLevel="0" collapsed="false">
      <c r="A166" s="25" t="n">
        <v>20210410</v>
      </c>
      <c r="B166" s="25" t="s">
        <v>2246</v>
      </c>
      <c r="C166" s="27" t="b">
        <f aca="false">TRUE()</f>
        <v>1</v>
      </c>
      <c r="D166" s="26" t="n">
        <v>44296</v>
      </c>
      <c r="E166" s="25" t="n">
        <v>2021</v>
      </c>
      <c r="F166" s="25" t="n">
        <v>2</v>
      </c>
      <c r="G166" s="25" t="n">
        <v>4</v>
      </c>
    </row>
    <row r="167" customFormat="false" ht="15" hidden="false" customHeight="false" outlineLevel="0" collapsed="false">
      <c r="A167" s="25" t="n">
        <v>20210411</v>
      </c>
      <c r="B167" s="25" t="s">
        <v>2246</v>
      </c>
      <c r="C167" s="27" t="b">
        <f aca="false">TRUE()</f>
        <v>1</v>
      </c>
      <c r="D167" s="26" t="n">
        <v>44297</v>
      </c>
      <c r="E167" s="25" t="n">
        <v>2021</v>
      </c>
      <c r="F167" s="25" t="n">
        <v>2</v>
      </c>
      <c r="G167" s="25" t="n">
        <v>4</v>
      </c>
    </row>
    <row r="168" customFormat="false" ht="15" hidden="false" customHeight="false" outlineLevel="0" collapsed="false">
      <c r="A168" s="25" t="n">
        <v>20210412</v>
      </c>
      <c r="B168" s="25" t="s">
        <v>2246</v>
      </c>
      <c r="C168" s="27" t="b">
        <f aca="false">FALSE()</f>
        <v>0</v>
      </c>
      <c r="D168" s="26" t="n">
        <v>44298</v>
      </c>
      <c r="E168" s="25" t="n">
        <v>2021</v>
      </c>
      <c r="F168" s="25" t="n">
        <v>2</v>
      </c>
      <c r="G168" s="25" t="n">
        <v>4</v>
      </c>
    </row>
    <row r="169" customFormat="false" ht="15" hidden="false" customHeight="false" outlineLevel="0" collapsed="false">
      <c r="A169" s="25" t="n">
        <v>20210413</v>
      </c>
      <c r="B169" s="25" t="s">
        <v>2246</v>
      </c>
      <c r="C169" s="27" t="b">
        <f aca="false">FALSE()</f>
        <v>0</v>
      </c>
      <c r="D169" s="26" t="n">
        <v>44299</v>
      </c>
      <c r="E169" s="25" t="n">
        <v>2021</v>
      </c>
      <c r="F169" s="25" t="n">
        <v>2</v>
      </c>
      <c r="G169" s="25" t="n">
        <v>4</v>
      </c>
    </row>
    <row r="170" customFormat="false" ht="15" hidden="false" customHeight="false" outlineLevel="0" collapsed="false">
      <c r="A170" s="25" t="n">
        <v>20210414</v>
      </c>
      <c r="B170" s="25" t="s">
        <v>2246</v>
      </c>
      <c r="C170" s="27" t="b">
        <f aca="false">FALSE()</f>
        <v>0</v>
      </c>
      <c r="D170" s="26" t="n">
        <v>44300</v>
      </c>
      <c r="E170" s="25" t="n">
        <v>2021</v>
      </c>
      <c r="F170" s="25" t="n">
        <v>2</v>
      </c>
      <c r="G170" s="25" t="n">
        <v>4</v>
      </c>
    </row>
    <row r="171" customFormat="false" ht="15" hidden="false" customHeight="false" outlineLevel="0" collapsed="false">
      <c r="A171" s="25" t="n">
        <v>20210415</v>
      </c>
      <c r="B171" s="25" t="s">
        <v>2246</v>
      </c>
      <c r="C171" s="27" t="b">
        <f aca="false">FALSE()</f>
        <v>0</v>
      </c>
      <c r="D171" s="26" t="n">
        <v>44301</v>
      </c>
      <c r="E171" s="25" t="n">
        <v>2021</v>
      </c>
      <c r="F171" s="25" t="n">
        <v>2</v>
      </c>
      <c r="G171" s="25" t="n">
        <v>4</v>
      </c>
    </row>
    <row r="172" customFormat="false" ht="15" hidden="false" customHeight="false" outlineLevel="0" collapsed="false">
      <c r="A172" s="25" t="n">
        <v>20210416</v>
      </c>
      <c r="B172" s="25" t="s">
        <v>2246</v>
      </c>
      <c r="C172" s="27" t="b">
        <f aca="false">FALSE()</f>
        <v>0</v>
      </c>
      <c r="D172" s="26" t="n">
        <v>44302</v>
      </c>
      <c r="E172" s="25" t="n">
        <v>2021</v>
      </c>
      <c r="F172" s="25" t="n">
        <v>2</v>
      </c>
      <c r="G172" s="25" t="n">
        <v>4</v>
      </c>
    </row>
    <row r="173" customFormat="false" ht="15" hidden="false" customHeight="false" outlineLevel="0" collapsed="false">
      <c r="A173" s="25" t="n">
        <v>20210417</v>
      </c>
      <c r="B173" s="25" t="s">
        <v>2246</v>
      </c>
      <c r="C173" s="27" t="b">
        <f aca="false">TRUE()</f>
        <v>1</v>
      </c>
      <c r="D173" s="26" t="n">
        <v>44303</v>
      </c>
      <c r="E173" s="25" t="n">
        <v>2021</v>
      </c>
      <c r="F173" s="25" t="n">
        <v>2</v>
      </c>
      <c r="G173" s="25" t="n">
        <v>4</v>
      </c>
    </row>
    <row r="174" customFormat="false" ht="15" hidden="false" customHeight="false" outlineLevel="0" collapsed="false">
      <c r="A174" s="25" t="n">
        <v>20210418</v>
      </c>
      <c r="B174" s="25" t="s">
        <v>2246</v>
      </c>
      <c r="C174" s="27" t="b">
        <f aca="false">TRUE()</f>
        <v>1</v>
      </c>
      <c r="D174" s="26" t="n">
        <v>44304</v>
      </c>
      <c r="E174" s="25" t="n">
        <v>2021</v>
      </c>
      <c r="F174" s="25" t="n">
        <v>2</v>
      </c>
      <c r="G174" s="25" t="n">
        <v>4</v>
      </c>
    </row>
    <row r="175" customFormat="false" ht="15" hidden="false" customHeight="false" outlineLevel="0" collapsed="false">
      <c r="A175" s="25" t="n">
        <v>20210419</v>
      </c>
      <c r="B175" s="25" t="s">
        <v>2246</v>
      </c>
      <c r="C175" s="27" t="b">
        <f aca="false">FALSE()</f>
        <v>0</v>
      </c>
      <c r="D175" s="26" t="n">
        <v>44305</v>
      </c>
      <c r="E175" s="25" t="n">
        <v>2021</v>
      </c>
      <c r="F175" s="25" t="n">
        <v>2</v>
      </c>
      <c r="G175" s="25" t="n">
        <v>4</v>
      </c>
    </row>
    <row r="176" customFormat="false" ht="15" hidden="false" customHeight="false" outlineLevel="0" collapsed="false">
      <c r="A176" s="25" t="n">
        <v>20210420</v>
      </c>
      <c r="B176" s="25" t="s">
        <v>2246</v>
      </c>
      <c r="C176" s="27" t="b">
        <f aca="false">FALSE()</f>
        <v>0</v>
      </c>
      <c r="D176" s="26" t="n">
        <v>44306</v>
      </c>
      <c r="E176" s="25" t="n">
        <v>2021</v>
      </c>
      <c r="F176" s="25" t="n">
        <v>2</v>
      </c>
      <c r="G176" s="25" t="n">
        <v>4</v>
      </c>
    </row>
    <row r="177" customFormat="false" ht="15" hidden="false" customHeight="false" outlineLevel="0" collapsed="false">
      <c r="A177" s="25" t="n">
        <v>20210421</v>
      </c>
      <c r="B177" s="25" t="s">
        <v>2246</v>
      </c>
      <c r="C177" s="27" t="b">
        <f aca="false">FALSE()</f>
        <v>0</v>
      </c>
      <c r="D177" s="26" t="n">
        <v>44307</v>
      </c>
      <c r="E177" s="25" t="n">
        <v>2021</v>
      </c>
      <c r="F177" s="25" t="n">
        <v>2</v>
      </c>
      <c r="G177" s="25" t="n">
        <v>4</v>
      </c>
    </row>
    <row r="178" customFormat="false" ht="15" hidden="false" customHeight="false" outlineLevel="0" collapsed="false">
      <c r="A178" s="25" t="n">
        <v>20210422</v>
      </c>
      <c r="B178" s="25" t="s">
        <v>2246</v>
      </c>
      <c r="C178" s="27" t="b">
        <f aca="false">FALSE()</f>
        <v>0</v>
      </c>
      <c r="D178" s="26" t="n">
        <v>44308</v>
      </c>
      <c r="E178" s="25" t="n">
        <v>2021</v>
      </c>
      <c r="F178" s="25" t="n">
        <v>2</v>
      </c>
      <c r="G178" s="25" t="n">
        <v>4</v>
      </c>
    </row>
    <row r="179" customFormat="false" ht="15" hidden="false" customHeight="false" outlineLevel="0" collapsed="false">
      <c r="A179" s="25" t="n">
        <v>20210423</v>
      </c>
      <c r="B179" s="25" t="s">
        <v>2246</v>
      </c>
      <c r="C179" s="27" t="b">
        <f aca="false">FALSE()</f>
        <v>0</v>
      </c>
      <c r="D179" s="26" t="n">
        <v>44309</v>
      </c>
      <c r="E179" s="25" t="n">
        <v>2021</v>
      </c>
      <c r="F179" s="25" t="n">
        <v>2</v>
      </c>
      <c r="G179" s="25" t="n">
        <v>4</v>
      </c>
    </row>
    <row r="180" customFormat="false" ht="15" hidden="false" customHeight="false" outlineLevel="0" collapsed="false">
      <c r="A180" s="25" t="n">
        <v>20210424</v>
      </c>
      <c r="B180" s="25" t="s">
        <v>2246</v>
      </c>
      <c r="C180" s="27" t="b">
        <f aca="false">TRUE()</f>
        <v>1</v>
      </c>
      <c r="D180" s="26" t="n">
        <v>44310</v>
      </c>
      <c r="E180" s="25" t="n">
        <v>2021</v>
      </c>
      <c r="F180" s="25" t="n">
        <v>2</v>
      </c>
      <c r="G180" s="25" t="n">
        <v>4</v>
      </c>
    </row>
    <row r="181" customFormat="false" ht="15" hidden="false" customHeight="false" outlineLevel="0" collapsed="false">
      <c r="A181" s="25" t="n">
        <v>20210425</v>
      </c>
      <c r="B181" s="25" t="s">
        <v>2246</v>
      </c>
      <c r="C181" s="27" t="b">
        <f aca="false">TRUE()</f>
        <v>1</v>
      </c>
      <c r="D181" s="26" t="n">
        <v>44311</v>
      </c>
      <c r="E181" s="25" t="n">
        <v>2021</v>
      </c>
      <c r="F181" s="25" t="n">
        <v>2</v>
      </c>
      <c r="G181" s="25" t="n">
        <v>4</v>
      </c>
    </row>
    <row r="182" customFormat="false" ht="15" hidden="false" customHeight="false" outlineLevel="0" collapsed="false">
      <c r="A182" s="25" t="n">
        <v>20210426</v>
      </c>
      <c r="B182" s="25" t="s">
        <v>2246</v>
      </c>
      <c r="C182" s="27" t="b">
        <f aca="false">FALSE()</f>
        <v>0</v>
      </c>
      <c r="D182" s="26" t="n">
        <v>44312</v>
      </c>
      <c r="E182" s="25" t="n">
        <v>2021</v>
      </c>
      <c r="F182" s="25" t="n">
        <v>2</v>
      </c>
      <c r="G182" s="25" t="n">
        <v>4</v>
      </c>
    </row>
    <row r="183" customFormat="false" ht="15" hidden="false" customHeight="false" outlineLevel="0" collapsed="false">
      <c r="A183" s="25" t="n">
        <v>20210427</v>
      </c>
      <c r="B183" s="25" t="s">
        <v>2246</v>
      </c>
      <c r="C183" s="27" t="b">
        <f aca="false">FALSE()</f>
        <v>0</v>
      </c>
      <c r="D183" s="26" t="n">
        <v>44313</v>
      </c>
      <c r="E183" s="25" t="n">
        <v>2021</v>
      </c>
      <c r="F183" s="25" t="n">
        <v>2</v>
      </c>
      <c r="G183" s="25" t="n">
        <v>4</v>
      </c>
    </row>
    <row r="184" customFormat="false" ht="15" hidden="false" customHeight="false" outlineLevel="0" collapsed="false">
      <c r="A184" s="25" t="n">
        <v>20210428</v>
      </c>
      <c r="B184" s="25" t="s">
        <v>2246</v>
      </c>
      <c r="C184" s="27" t="b">
        <f aca="false">FALSE()</f>
        <v>0</v>
      </c>
      <c r="D184" s="26" t="n">
        <v>44314</v>
      </c>
      <c r="E184" s="25" t="n">
        <v>2021</v>
      </c>
      <c r="F184" s="25" t="n">
        <v>2</v>
      </c>
      <c r="G184" s="25" t="n">
        <v>4</v>
      </c>
    </row>
    <row r="185" customFormat="false" ht="15" hidden="false" customHeight="false" outlineLevel="0" collapsed="false">
      <c r="A185" s="25" t="n">
        <v>20210429</v>
      </c>
      <c r="B185" s="25" t="s">
        <v>2246</v>
      </c>
      <c r="C185" s="27" t="b">
        <f aca="false">FALSE()</f>
        <v>0</v>
      </c>
      <c r="D185" s="26" t="n">
        <v>44315</v>
      </c>
      <c r="E185" s="25" t="n">
        <v>2021</v>
      </c>
      <c r="F185" s="25" t="n">
        <v>2</v>
      </c>
      <c r="G185" s="25" t="n">
        <v>4</v>
      </c>
    </row>
    <row r="186" customFormat="false" ht="15" hidden="false" customHeight="false" outlineLevel="0" collapsed="false">
      <c r="A186" s="25" t="n">
        <v>20210430</v>
      </c>
      <c r="B186" s="25" t="s">
        <v>2246</v>
      </c>
      <c r="C186" s="27" t="b">
        <f aca="false">FALSE()</f>
        <v>0</v>
      </c>
      <c r="D186" s="26" t="n">
        <v>44316</v>
      </c>
      <c r="E186" s="25" t="n">
        <v>2021</v>
      </c>
      <c r="F186" s="25" t="n">
        <v>2</v>
      </c>
      <c r="G186" s="25" t="n">
        <v>4</v>
      </c>
    </row>
    <row r="187" customFormat="false" ht="15" hidden="false" customHeight="false" outlineLevel="0" collapsed="false">
      <c r="A187" s="25" t="n">
        <v>20210501</v>
      </c>
      <c r="B187" s="25" t="s">
        <v>2247</v>
      </c>
      <c r="C187" s="27" t="b">
        <f aca="false">TRUE()</f>
        <v>1</v>
      </c>
      <c r="D187" s="26" t="n">
        <v>44317</v>
      </c>
      <c r="E187" s="25" t="n">
        <v>2021</v>
      </c>
      <c r="F187" s="25" t="n">
        <v>2</v>
      </c>
      <c r="G187" s="25" t="n">
        <v>5</v>
      </c>
    </row>
    <row r="188" customFormat="false" ht="15" hidden="false" customHeight="false" outlineLevel="0" collapsed="false">
      <c r="A188" s="25" t="n">
        <v>20210502</v>
      </c>
      <c r="B188" s="25" t="s">
        <v>2247</v>
      </c>
      <c r="C188" s="27" t="b">
        <f aca="false">TRUE()</f>
        <v>1</v>
      </c>
      <c r="D188" s="26" t="n">
        <v>44318</v>
      </c>
      <c r="E188" s="25" t="n">
        <v>2021</v>
      </c>
      <c r="F188" s="25" t="n">
        <v>2</v>
      </c>
      <c r="G188" s="25" t="n">
        <v>5</v>
      </c>
    </row>
    <row r="189" customFormat="false" ht="15" hidden="false" customHeight="false" outlineLevel="0" collapsed="false">
      <c r="A189" s="25" t="n">
        <v>20210503</v>
      </c>
      <c r="B189" s="25" t="s">
        <v>2247</v>
      </c>
      <c r="C189" s="27" t="b">
        <f aca="false">FALSE()</f>
        <v>0</v>
      </c>
      <c r="D189" s="26" t="n">
        <v>44319</v>
      </c>
      <c r="E189" s="25" t="n">
        <v>2021</v>
      </c>
      <c r="F189" s="25" t="n">
        <v>2</v>
      </c>
      <c r="G189" s="25" t="n">
        <v>5</v>
      </c>
    </row>
    <row r="190" customFormat="false" ht="15" hidden="false" customHeight="false" outlineLevel="0" collapsed="false">
      <c r="A190" s="25" t="n">
        <v>20210504</v>
      </c>
      <c r="B190" s="25" t="s">
        <v>2247</v>
      </c>
      <c r="C190" s="27" t="b">
        <f aca="false">FALSE()</f>
        <v>0</v>
      </c>
      <c r="D190" s="26" t="n">
        <v>44320</v>
      </c>
      <c r="E190" s="25" t="n">
        <v>2021</v>
      </c>
      <c r="F190" s="25" t="n">
        <v>2</v>
      </c>
      <c r="G190" s="25" t="n">
        <v>5</v>
      </c>
    </row>
    <row r="191" customFormat="false" ht="15" hidden="false" customHeight="false" outlineLevel="0" collapsed="false">
      <c r="A191" s="25" t="n">
        <v>20210505</v>
      </c>
      <c r="B191" s="25" t="s">
        <v>2247</v>
      </c>
      <c r="C191" s="27" t="b">
        <f aca="false">FALSE()</f>
        <v>0</v>
      </c>
      <c r="D191" s="26" t="n">
        <v>44321</v>
      </c>
      <c r="E191" s="25" t="n">
        <v>2021</v>
      </c>
      <c r="F191" s="25" t="n">
        <v>2</v>
      </c>
      <c r="G191" s="25" t="n">
        <v>5</v>
      </c>
    </row>
    <row r="192" customFormat="false" ht="15" hidden="false" customHeight="false" outlineLevel="0" collapsed="false">
      <c r="A192" s="25" t="n">
        <v>20210506</v>
      </c>
      <c r="B192" s="25" t="s">
        <v>2247</v>
      </c>
      <c r="C192" s="27" t="b">
        <f aca="false">FALSE()</f>
        <v>0</v>
      </c>
      <c r="D192" s="26" t="n">
        <v>44322</v>
      </c>
      <c r="E192" s="25" t="n">
        <v>2021</v>
      </c>
      <c r="F192" s="25" t="n">
        <v>2</v>
      </c>
      <c r="G192" s="25" t="n">
        <v>5</v>
      </c>
    </row>
    <row r="193" customFormat="false" ht="15" hidden="false" customHeight="false" outlineLevel="0" collapsed="false">
      <c r="A193" s="25" t="n">
        <v>20210507</v>
      </c>
      <c r="B193" s="25" t="s">
        <v>2247</v>
      </c>
      <c r="C193" s="27" t="b">
        <f aca="false">FALSE()</f>
        <v>0</v>
      </c>
      <c r="D193" s="26" t="n">
        <v>44323</v>
      </c>
      <c r="E193" s="25" t="n">
        <v>2021</v>
      </c>
      <c r="F193" s="25" t="n">
        <v>2</v>
      </c>
      <c r="G193" s="25" t="n">
        <v>5</v>
      </c>
    </row>
    <row r="194" customFormat="false" ht="15" hidden="false" customHeight="false" outlineLevel="0" collapsed="false">
      <c r="A194" s="25" t="n">
        <v>20210508</v>
      </c>
      <c r="B194" s="25" t="s">
        <v>2247</v>
      </c>
      <c r="C194" s="27" t="b">
        <f aca="false">TRUE()</f>
        <v>1</v>
      </c>
      <c r="D194" s="26" t="n">
        <v>44324</v>
      </c>
      <c r="E194" s="25" t="n">
        <v>2021</v>
      </c>
      <c r="F194" s="25" t="n">
        <v>2</v>
      </c>
      <c r="G194" s="25" t="n">
        <v>5</v>
      </c>
    </row>
    <row r="195" customFormat="false" ht="15" hidden="false" customHeight="false" outlineLevel="0" collapsed="false">
      <c r="A195" s="25" t="n">
        <v>20210509</v>
      </c>
      <c r="B195" s="25" t="s">
        <v>2247</v>
      </c>
      <c r="C195" s="27" t="b">
        <f aca="false">TRUE()</f>
        <v>1</v>
      </c>
      <c r="D195" s="26" t="n">
        <v>44325</v>
      </c>
      <c r="E195" s="25" t="n">
        <v>2021</v>
      </c>
      <c r="F195" s="25" t="n">
        <v>2</v>
      </c>
      <c r="G195" s="25" t="n">
        <v>5</v>
      </c>
    </row>
    <row r="196" customFormat="false" ht="15" hidden="false" customHeight="false" outlineLevel="0" collapsed="false">
      <c r="A196" s="25" t="n">
        <v>20210510</v>
      </c>
      <c r="B196" s="25" t="s">
        <v>2247</v>
      </c>
      <c r="C196" s="27" t="b">
        <f aca="false">FALSE()</f>
        <v>0</v>
      </c>
      <c r="D196" s="26" t="n">
        <v>44326</v>
      </c>
      <c r="E196" s="25" t="n">
        <v>2021</v>
      </c>
      <c r="F196" s="25" t="n">
        <v>2</v>
      </c>
      <c r="G196" s="25" t="n">
        <v>5</v>
      </c>
    </row>
    <row r="197" customFormat="false" ht="15" hidden="false" customHeight="false" outlineLevel="0" collapsed="false">
      <c r="A197" s="25" t="n">
        <v>20210511</v>
      </c>
      <c r="B197" s="25" t="s">
        <v>2247</v>
      </c>
      <c r="C197" s="27" t="b">
        <f aca="false">FALSE()</f>
        <v>0</v>
      </c>
      <c r="D197" s="26" t="n">
        <v>44327</v>
      </c>
      <c r="E197" s="25" t="n">
        <v>2021</v>
      </c>
      <c r="F197" s="25" t="n">
        <v>2</v>
      </c>
      <c r="G197" s="25" t="n">
        <v>5</v>
      </c>
    </row>
    <row r="198" customFormat="false" ht="15" hidden="false" customHeight="false" outlineLevel="0" collapsed="false">
      <c r="A198" s="25" t="n">
        <v>20210512</v>
      </c>
      <c r="B198" s="25" t="s">
        <v>2247</v>
      </c>
      <c r="C198" s="27" t="b">
        <f aca="false">FALSE()</f>
        <v>0</v>
      </c>
      <c r="D198" s="26" t="n">
        <v>44328</v>
      </c>
      <c r="E198" s="25" t="n">
        <v>2021</v>
      </c>
      <c r="F198" s="25" t="n">
        <v>2</v>
      </c>
      <c r="G198" s="25" t="n">
        <v>5</v>
      </c>
    </row>
    <row r="199" customFormat="false" ht="15" hidden="false" customHeight="false" outlineLevel="0" collapsed="false">
      <c r="A199" s="25" t="n">
        <v>20210513</v>
      </c>
      <c r="B199" s="25" t="s">
        <v>2247</v>
      </c>
      <c r="C199" s="27" t="b">
        <f aca="false">FALSE()</f>
        <v>0</v>
      </c>
      <c r="D199" s="26" t="n">
        <v>44329</v>
      </c>
      <c r="E199" s="25" t="n">
        <v>2021</v>
      </c>
      <c r="F199" s="25" t="n">
        <v>2</v>
      </c>
      <c r="G199" s="25" t="n">
        <v>5</v>
      </c>
    </row>
    <row r="200" customFormat="false" ht="15" hidden="false" customHeight="false" outlineLevel="0" collapsed="false">
      <c r="A200" s="25" t="n">
        <v>20210514</v>
      </c>
      <c r="B200" s="25" t="s">
        <v>2247</v>
      </c>
      <c r="C200" s="27" t="b">
        <f aca="false">FALSE()</f>
        <v>0</v>
      </c>
      <c r="D200" s="26" t="n">
        <v>44330</v>
      </c>
      <c r="E200" s="25" t="n">
        <v>2021</v>
      </c>
      <c r="F200" s="25" t="n">
        <v>2</v>
      </c>
      <c r="G200" s="25" t="n">
        <v>5</v>
      </c>
    </row>
    <row r="201" customFormat="false" ht="15" hidden="false" customHeight="false" outlineLevel="0" collapsed="false">
      <c r="A201" s="25" t="n">
        <v>20210515</v>
      </c>
      <c r="B201" s="25" t="s">
        <v>2247</v>
      </c>
      <c r="C201" s="27" t="b">
        <f aca="false">TRUE()</f>
        <v>1</v>
      </c>
      <c r="D201" s="26" t="n">
        <v>44331</v>
      </c>
      <c r="E201" s="25" t="n">
        <v>2021</v>
      </c>
      <c r="F201" s="25" t="n">
        <v>2</v>
      </c>
      <c r="G201" s="25" t="n">
        <v>5</v>
      </c>
    </row>
    <row r="202" customFormat="false" ht="15" hidden="false" customHeight="false" outlineLevel="0" collapsed="false">
      <c r="A202" s="25" t="n">
        <v>20210516</v>
      </c>
      <c r="B202" s="25" t="s">
        <v>2247</v>
      </c>
      <c r="C202" s="27" t="b">
        <f aca="false">TRUE()</f>
        <v>1</v>
      </c>
      <c r="D202" s="26" t="n">
        <v>44332</v>
      </c>
      <c r="E202" s="25" t="n">
        <v>2021</v>
      </c>
      <c r="F202" s="25" t="n">
        <v>2</v>
      </c>
      <c r="G202" s="25" t="n">
        <v>5</v>
      </c>
    </row>
    <row r="203" customFormat="false" ht="15" hidden="false" customHeight="false" outlineLevel="0" collapsed="false">
      <c r="A203" s="25" t="n">
        <v>20210517</v>
      </c>
      <c r="B203" s="25" t="s">
        <v>2247</v>
      </c>
      <c r="C203" s="27" t="b">
        <f aca="false">FALSE()</f>
        <v>0</v>
      </c>
      <c r="D203" s="26" t="n">
        <v>44333</v>
      </c>
      <c r="E203" s="25" t="n">
        <v>2021</v>
      </c>
      <c r="F203" s="25" t="n">
        <v>2</v>
      </c>
      <c r="G203" s="25" t="n">
        <v>5</v>
      </c>
    </row>
    <row r="204" customFormat="false" ht="15" hidden="false" customHeight="false" outlineLevel="0" collapsed="false">
      <c r="A204" s="25" t="n">
        <v>20210518</v>
      </c>
      <c r="B204" s="25" t="s">
        <v>2247</v>
      </c>
      <c r="C204" s="27" t="b">
        <f aca="false">FALSE()</f>
        <v>0</v>
      </c>
      <c r="D204" s="26" t="n">
        <v>44334</v>
      </c>
      <c r="E204" s="25" t="n">
        <v>2021</v>
      </c>
      <c r="F204" s="25" t="n">
        <v>2</v>
      </c>
      <c r="G204" s="25" t="n">
        <v>5</v>
      </c>
    </row>
    <row r="205" customFormat="false" ht="15" hidden="false" customHeight="false" outlineLevel="0" collapsed="false">
      <c r="A205" s="25" t="n">
        <v>20210519</v>
      </c>
      <c r="B205" s="25" t="s">
        <v>2247</v>
      </c>
      <c r="C205" s="27" t="b">
        <f aca="false">FALSE()</f>
        <v>0</v>
      </c>
      <c r="D205" s="26" t="n">
        <v>44335</v>
      </c>
      <c r="E205" s="25" t="n">
        <v>2021</v>
      </c>
      <c r="F205" s="25" t="n">
        <v>2</v>
      </c>
      <c r="G205" s="25" t="n">
        <v>5</v>
      </c>
    </row>
    <row r="206" customFormat="false" ht="15" hidden="false" customHeight="false" outlineLevel="0" collapsed="false">
      <c r="A206" s="25" t="n">
        <v>20210520</v>
      </c>
      <c r="B206" s="25" t="s">
        <v>2247</v>
      </c>
      <c r="C206" s="27" t="b">
        <f aca="false">FALSE()</f>
        <v>0</v>
      </c>
      <c r="D206" s="26" t="n">
        <v>44336</v>
      </c>
      <c r="E206" s="25" t="n">
        <v>2021</v>
      </c>
      <c r="F206" s="25" t="n">
        <v>2</v>
      </c>
      <c r="G206" s="25" t="n">
        <v>5</v>
      </c>
    </row>
    <row r="207" customFormat="false" ht="15" hidden="false" customHeight="false" outlineLevel="0" collapsed="false">
      <c r="A207" s="25" t="n">
        <v>20210521</v>
      </c>
      <c r="B207" s="25" t="s">
        <v>2247</v>
      </c>
      <c r="C207" s="27" t="b">
        <f aca="false">FALSE()</f>
        <v>0</v>
      </c>
      <c r="D207" s="26" t="n">
        <v>44337</v>
      </c>
      <c r="E207" s="25" t="n">
        <v>2021</v>
      </c>
      <c r="F207" s="25" t="n">
        <v>2</v>
      </c>
      <c r="G207" s="25" t="n">
        <v>5</v>
      </c>
    </row>
    <row r="208" customFormat="false" ht="15" hidden="false" customHeight="false" outlineLevel="0" collapsed="false">
      <c r="A208" s="25" t="n">
        <v>20210522</v>
      </c>
      <c r="B208" s="25" t="s">
        <v>2247</v>
      </c>
      <c r="C208" s="27" t="b">
        <f aca="false">TRUE()</f>
        <v>1</v>
      </c>
      <c r="D208" s="26" t="n">
        <v>44338</v>
      </c>
      <c r="E208" s="25" t="n">
        <v>2021</v>
      </c>
      <c r="F208" s="25" t="n">
        <v>2</v>
      </c>
      <c r="G208" s="25" t="n">
        <v>5</v>
      </c>
    </row>
    <row r="209" customFormat="false" ht="15" hidden="false" customHeight="false" outlineLevel="0" collapsed="false">
      <c r="A209" s="25" t="n">
        <v>20210523</v>
      </c>
      <c r="B209" s="25" t="s">
        <v>2247</v>
      </c>
      <c r="C209" s="27" t="b">
        <f aca="false">TRUE()</f>
        <v>1</v>
      </c>
      <c r="D209" s="26" t="n">
        <v>44339</v>
      </c>
      <c r="E209" s="25" t="n">
        <v>2021</v>
      </c>
      <c r="F209" s="25" t="n">
        <v>2</v>
      </c>
      <c r="G209" s="25" t="n">
        <v>5</v>
      </c>
    </row>
    <row r="210" customFormat="false" ht="15" hidden="false" customHeight="false" outlineLevel="0" collapsed="false">
      <c r="A210" s="25" t="n">
        <v>20210524</v>
      </c>
      <c r="B210" s="25" t="s">
        <v>2247</v>
      </c>
      <c r="C210" s="27" t="b">
        <f aca="false">FALSE()</f>
        <v>0</v>
      </c>
      <c r="D210" s="26" t="n">
        <v>44340</v>
      </c>
      <c r="E210" s="25" t="n">
        <v>2021</v>
      </c>
      <c r="F210" s="25" t="n">
        <v>2</v>
      </c>
      <c r="G210" s="25" t="n">
        <v>5</v>
      </c>
    </row>
    <row r="211" customFormat="false" ht="15" hidden="false" customHeight="false" outlineLevel="0" collapsed="false">
      <c r="A211" s="25" t="n">
        <v>20210525</v>
      </c>
      <c r="B211" s="25" t="s">
        <v>2247</v>
      </c>
      <c r="C211" s="27" t="b">
        <f aca="false">FALSE()</f>
        <v>0</v>
      </c>
      <c r="D211" s="26" t="n">
        <v>44341</v>
      </c>
      <c r="E211" s="25" t="n">
        <v>2021</v>
      </c>
      <c r="F211" s="25" t="n">
        <v>2</v>
      </c>
      <c r="G211" s="25" t="n">
        <v>5</v>
      </c>
    </row>
    <row r="212" customFormat="false" ht="15" hidden="false" customHeight="false" outlineLevel="0" collapsed="false">
      <c r="A212" s="25" t="n">
        <v>20210526</v>
      </c>
      <c r="B212" s="25" t="s">
        <v>2247</v>
      </c>
      <c r="C212" s="27" t="b">
        <f aca="false">FALSE()</f>
        <v>0</v>
      </c>
      <c r="D212" s="26" t="n">
        <v>44342</v>
      </c>
      <c r="E212" s="25" t="n">
        <v>2021</v>
      </c>
      <c r="F212" s="25" t="n">
        <v>2</v>
      </c>
      <c r="G212" s="25" t="n">
        <v>5</v>
      </c>
    </row>
    <row r="213" customFormat="false" ht="15" hidden="false" customHeight="false" outlineLevel="0" collapsed="false">
      <c r="A213" s="25" t="n">
        <v>20210527</v>
      </c>
      <c r="B213" s="25" t="s">
        <v>2247</v>
      </c>
      <c r="C213" s="27" t="b">
        <f aca="false">FALSE()</f>
        <v>0</v>
      </c>
      <c r="D213" s="26" t="n">
        <v>44343</v>
      </c>
      <c r="E213" s="25" t="n">
        <v>2021</v>
      </c>
      <c r="F213" s="25" t="n">
        <v>2</v>
      </c>
      <c r="G213" s="25" t="n">
        <v>5</v>
      </c>
    </row>
    <row r="214" customFormat="false" ht="15" hidden="false" customHeight="false" outlineLevel="0" collapsed="false">
      <c r="A214" s="25" t="n">
        <v>20210528</v>
      </c>
      <c r="B214" s="25" t="s">
        <v>2247</v>
      </c>
      <c r="C214" s="27" t="b">
        <f aca="false">FALSE()</f>
        <v>0</v>
      </c>
      <c r="D214" s="26" t="n">
        <v>44344</v>
      </c>
      <c r="E214" s="25" t="n">
        <v>2021</v>
      </c>
      <c r="F214" s="25" t="n">
        <v>2</v>
      </c>
      <c r="G214" s="25" t="n">
        <v>5</v>
      </c>
    </row>
    <row r="215" customFormat="false" ht="15" hidden="false" customHeight="false" outlineLevel="0" collapsed="false">
      <c r="A215" s="25" t="n">
        <v>20210529</v>
      </c>
      <c r="B215" s="25" t="s">
        <v>2247</v>
      </c>
      <c r="C215" s="27" t="b">
        <f aca="false">TRUE()</f>
        <v>1</v>
      </c>
      <c r="D215" s="26" t="n">
        <v>44345</v>
      </c>
      <c r="E215" s="25" t="n">
        <v>2021</v>
      </c>
      <c r="F215" s="25" t="n">
        <v>2</v>
      </c>
      <c r="G215" s="25" t="n">
        <v>5</v>
      </c>
    </row>
    <row r="216" customFormat="false" ht="15" hidden="false" customHeight="false" outlineLevel="0" collapsed="false">
      <c r="A216" s="25" t="n">
        <v>20210530</v>
      </c>
      <c r="B216" s="25" t="s">
        <v>2247</v>
      </c>
      <c r="C216" s="27" t="b">
        <f aca="false">TRUE()</f>
        <v>1</v>
      </c>
      <c r="D216" s="26" t="n">
        <v>44346</v>
      </c>
      <c r="E216" s="25" t="n">
        <v>2021</v>
      </c>
      <c r="F216" s="25" t="n">
        <v>2</v>
      </c>
      <c r="G216" s="25" t="n">
        <v>5</v>
      </c>
    </row>
    <row r="217" customFormat="false" ht="15" hidden="false" customHeight="false" outlineLevel="0" collapsed="false">
      <c r="A217" s="25" t="n">
        <v>20210531</v>
      </c>
      <c r="B217" s="25" t="s">
        <v>2247</v>
      </c>
      <c r="C217" s="27" t="b">
        <f aca="false">FALSE()</f>
        <v>0</v>
      </c>
      <c r="D217" s="26" t="n">
        <v>44347</v>
      </c>
      <c r="E217" s="25" t="n">
        <v>2021</v>
      </c>
      <c r="F217" s="25" t="n">
        <v>2</v>
      </c>
      <c r="G217" s="25" t="n">
        <v>5</v>
      </c>
    </row>
    <row r="218" customFormat="false" ht="15" hidden="false" customHeight="false" outlineLevel="0" collapsed="false">
      <c r="A218" s="25" t="n">
        <v>20210601</v>
      </c>
      <c r="B218" s="25" t="s">
        <v>2248</v>
      </c>
      <c r="C218" s="27" t="b">
        <f aca="false">FALSE()</f>
        <v>0</v>
      </c>
      <c r="D218" s="26" t="n">
        <v>44348</v>
      </c>
      <c r="E218" s="25" t="n">
        <v>2021</v>
      </c>
      <c r="F218" s="25" t="n">
        <v>2</v>
      </c>
      <c r="G218" s="25" t="n">
        <v>6</v>
      </c>
    </row>
    <row r="219" customFormat="false" ht="15" hidden="false" customHeight="false" outlineLevel="0" collapsed="false">
      <c r="A219" s="25" t="n">
        <v>20210602</v>
      </c>
      <c r="B219" s="25" t="s">
        <v>2248</v>
      </c>
      <c r="C219" s="27" t="b">
        <f aca="false">FALSE()</f>
        <v>0</v>
      </c>
      <c r="D219" s="26" t="n">
        <v>44349</v>
      </c>
      <c r="E219" s="25" t="n">
        <v>2021</v>
      </c>
      <c r="F219" s="25" t="n">
        <v>2</v>
      </c>
      <c r="G219" s="25" t="n">
        <v>6</v>
      </c>
    </row>
    <row r="220" customFormat="false" ht="15" hidden="false" customHeight="false" outlineLevel="0" collapsed="false">
      <c r="A220" s="25" t="n">
        <v>20210603</v>
      </c>
      <c r="B220" s="25" t="s">
        <v>2248</v>
      </c>
      <c r="C220" s="27" t="b">
        <f aca="false">FALSE()</f>
        <v>0</v>
      </c>
      <c r="D220" s="26" t="n">
        <v>44350</v>
      </c>
      <c r="E220" s="25" t="n">
        <v>2021</v>
      </c>
      <c r="F220" s="25" t="n">
        <v>2</v>
      </c>
      <c r="G220" s="25" t="n">
        <v>6</v>
      </c>
    </row>
    <row r="221" customFormat="false" ht="15" hidden="false" customHeight="false" outlineLevel="0" collapsed="false">
      <c r="A221" s="25" t="n">
        <v>20210604</v>
      </c>
      <c r="B221" s="25" t="s">
        <v>2248</v>
      </c>
      <c r="C221" s="27" t="b">
        <f aca="false">FALSE()</f>
        <v>0</v>
      </c>
      <c r="D221" s="26" t="n">
        <v>44351</v>
      </c>
      <c r="E221" s="25" t="n">
        <v>2021</v>
      </c>
      <c r="F221" s="25" t="n">
        <v>2</v>
      </c>
      <c r="G221" s="25" t="n">
        <v>6</v>
      </c>
    </row>
    <row r="222" customFormat="false" ht="15" hidden="false" customHeight="false" outlineLevel="0" collapsed="false">
      <c r="A222" s="25" t="n">
        <v>20210605</v>
      </c>
      <c r="B222" s="25" t="s">
        <v>2248</v>
      </c>
      <c r="C222" s="27" t="b">
        <f aca="false">TRUE()</f>
        <v>1</v>
      </c>
      <c r="D222" s="26" t="n">
        <v>44352</v>
      </c>
      <c r="E222" s="25" t="n">
        <v>2021</v>
      </c>
      <c r="F222" s="25" t="n">
        <v>2</v>
      </c>
      <c r="G222" s="25" t="n">
        <v>6</v>
      </c>
    </row>
    <row r="223" customFormat="false" ht="15" hidden="false" customHeight="false" outlineLevel="0" collapsed="false">
      <c r="A223" s="25" t="n">
        <v>20210606</v>
      </c>
      <c r="B223" s="25" t="s">
        <v>2248</v>
      </c>
      <c r="C223" s="27" t="b">
        <f aca="false">TRUE()</f>
        <v>1</v>
      </c>
      <c r="D223" s="26" t="n">
        <v>44353</v>
      </c>
      <c r="E223" s="25" t="n">
        <v>2021</v>
      </c>
      <c r="F223" s="25" t="n">
        <v>2</v>
      </c>
      <c r="G223" s="25" t="n">
        <v>6</v>
      </c>
    </row>
    <row r="224" customFormat="false" ht="15" hidden="false" customHeight="false" outlineLevel="0" collapsed="false">
      <c r="A224" s="25" t="n">
        <v>20210607</v>
      </c>
      <c r="B224" s="25" t="s">
        <v>2248</v>
      </c>
      <c r="C224" s="27" t="b">
        <f aca="false">FALSE()</f>
        <v>0</v>
      </c>
      <c r="D224" s="26" t="n">
        <v>44354</v>
      </c>
      <c r="E224" s="25" t="n">
        <v>2021</v>
      </c>
      <c r="F224" s="25" t="n">
        <v>2</v>
      </c>
      <c r="G224" s="25" t="n">
        <v>6</v>
      </c>
    </row>
    <row r="225" customFormat="false" ht="15" hidden="false" customHeight="false" outlineLevel="0" collapsed="false">
      <c r="A225" s="25" t="n">
        <v>20210608</v>
      </c>
      <c r="B225" s="25" t="s">
        <v>2248</v>
      </c>
      <c r="C225" s="27" t="b">
        <f aca="false">FALSE()</f>
        <v>0</v>
      </c>
      <c r="D225" s="26" t="n">
        <v>44355</v>
      </c>
      <c r="E225" s="25" t="n">
        <v>2021</v>
      </c>
      <c r="F225" s="25" t="n">
        <v>2</v>
      </c>
      <c r="G225" s="25" t="n">
        <v>6</v>
      </c>
    </row>
    <row r="226" customFormat="false" ht="15" hidden="false" customHeight="false" outlineLevel="0" collapsed="false">
      <c r="A226" s="25" t="n">
        <v>20210609</v>
      </c>
      <c r="B226" s="25" t="s">
        <v>2248</v>
      </c>
      <c r="C226" s="27" t="b">
        <f aca="false">FALSE()</f>
        <v>0</v>
      </c>
      <c r="D226" s="26" t="n">
        <v>44356</v>
      </c>
      <c r="E226" s="25" t="n">
        <v>2021</v>
      </c>
      <c r="F226" s="25" t="n">
        <v>2</v>
      </c>
      <c r="G226" s="25" t="n">
        <v>6</v>
      </c>
    </row>
    <row r="227" customFormat="false" ht="15" hidden="false" customHeight="false" outlineLevel="0" collapsed="false">
      <c r="A227" s="25" t="n">
        <v>20210610</v>
      </c>
      <c r="B227" s="25" t="s">
        <v>2248</v>
      </c>
      <c r="C227" s="27" t="b">
        <f aca="false">FALSE()</f>
        <v>0</v>
      </c>
      <c r="D227" s="26" t="n">
        <v>44357</v>
      </c>
      <c r="E227" s="25" t="n">
        <v>2021</v>
      </c>
      <c r="F227" s="25" t="n">
        <v>2</v>
      </c>
      <c r="G227" s="25" t="n">
        <v>6</v>
      </c>
    </row>
    <row r="228" customFormat="false" ht="15" hidden="false" customHeight="false" outlineLevel="0" collapsed="false">
      <c r="A228" s="25" t="n">
        <v>20210611</v>
      </c>
      <c r="B228" s="25" t="s">
        <v>2248</v>
      </c>
      <c r="C228" s="27" t="b">
        <f aca="false">FALSE()</f>
        <v>0</v>
      </c>
      <c r="D228" s="26" t="n">
        <v>44358</v>
      </c>
      <c r="E228" s="25" t="n">
        <v>2021</v>
      </c>
      <c r="F228" s="25" t="n">
        <v>2</v>
      </c>
      <c r="G228" s="25" t="n">
        <v>6</v>
      </c>
    </row>
    <row r="229" customFormat="false" ht="15" hidden="false" customHeight="false" outlineLevel="0" collapsed="false">
      <c r="A229" s="25" t="n">
        <v>20210612</v>
      </c>
      <c r="B229" s="25" t="s">
        <v>2248</v>
      </c>
      <c r="C229" s="27" t="b">
        <f aca="false">TRUE()</f>
        <v>1</v>
      </c>
      <c r="D229" s="26" t="n">
        <v>44359</v>
      </c>
      <c r="E229" s="25" t="n">
        <v>2021</v>
      </c>
      <c r="F229" s="25" t="n">
        <v>2</v>
      </c>
      <c r="G229" s="25" t="n">
        <v>6</v>
      </c>
    </row>
    <row r="230" customFormat="false" ht="15" hidden="false" customHeight="false" outlineLevel="0" collapsed="false">
      <c r="A230" s="25" t="n">
        <v>20210613</v>
      </c>
      <c r="B230" s="25" t="s">
        <v>2248</v>
      </c>
      <c r="C230" s="27" t="b">
        <f aca="false">TRUE()</f>
        <v>1</v>
      </c>
      <c r="D230" s="26" t="n">
        <v>44360</v>
      </c>
      <c r="E230" s="25" t="n">
        <v>2021</v>
      </c>
      <c r="F230" s="25" t="n">
        <v>2</v>
      </c>
      <c r="G230" s="25" t="n">
        <v>6</v>
      </c>
    </row>
    <row r="231" customFormat="false" ht="15" hidden="false" customHeight="false" outlineLevel="0" collapsed="false">
      <c r="A231" s="25" t="n">
        <v>20210614</v>
      </c>
      <c r="B231" s="25" t="s">
        <v>2248</v>
      </c>
      <c r="C231" s="27" t="b">
        <f aca="false">FALSE()</f>
        <v>0</v>
      </c>
      <c r="D231" s="26" t="n">
        <v>44361</v>
      </c>
      <c r="E231" s="25" t="n">
        <v>2021</v>
      </c>
      <c r="F231" s="25" t="n">
        <v>2</v>
      </c>
      <c r="G231" s="25" t="n">
        <v>6</v>
      </c>
    </row>
    <row r="232" customFormat="false" ht="15" hidden="false" customHeight="false" outlineLevel="0" collapsed="false">
      <c r="A232" s="25" t="n">
        <v>20210615</v>
      </c>
      <c r="B232" s="25" t="s">
        <v>2248</v>
      </c>
      <c r="C232" s="27" t="b">
        <f aca="false">FALSE()</f>
        <v>0</v>
      </c>
      <c r="D232" s="26" t="n">
        <v>44362</v>
      </c>
      <c r="E232" s="25" t="n">
        <v>2021</v>
      </c>
      <c r="F232" s="25" t="n">
        <v>2</v>
      </c>
      <c r="G232" s="25" t="n">
        <v>6</v>
      </c>
    </row>
    <row r="233" customFormat="false" ht="15" hidden="false" customHeight="false" outlineLevel="0" collapsed="false">
      <c r="A233" s="25" t="n">
        <v>20210616</v>
      </c>
      <c r="B233" s="25" t="s">
        <v>2248</v>
      </c>
      <c r="C233" s="27" t="b">
        <f aca="false">FALSE()</f>
        <v>0</v>
      </c>
      <c r="D233" s="26" t="n">
        <v>44363</v>
      </c>
      <c r="E233" s="25" t="n">
        <v>2021</v>
      </c>
      <c r="F233" s="25" t="n">
        <v>2</v>
      </c>
      <c r="G233" s="25" t="n">
        <v>6</v>
      </c>
    </row>
    <row r="234" customFormat="false" ht="15" hidden="false" customHeight="false" outlineLevel="0" collapsed="false">
      <c r="A234" s="25" t="n">
        <v>20210617</v>
      </c>
      <c r="B234" s="25" t="s">
        <v>2248</v>
      </c>
      <c r="C234" s="27" t="b">
        <f aca="false">FALSE()</f>
        <v>0</v>
      </c>
      <c r="D234" s="26" t="n">
        <v>44364</v>
      </c>
      <c r="E234" s="25" t="n">
        <v>2021</v>
      </c>
      <c r="F234" s="25" t="n">
        <v>2</v>
      </c>
      <c r="G234" s="25" t="n">
        <v>6</v>
      </c>
    </row>
    <row r="235" customFormat="false" ht="15" hidden="false" customHeight="false" outlineLevel="0" collapsed="false">
      <c r="A235" s="25" t="n">
        <v>20210618</v>
      </c>
      <c r="B235" s="25" t="s">
        <v>2248</v>
      </c>
      <c r="C235" s="27" t="b">
        <f aca="false">FALSE()</f>
        <v>0</v>
      </c>
      <c r="D235" s="26" t="n">
        <v>44365</v>
      </c>
      <c r="E235" s="25" t="n">
        <v>2021</v>
      </c>
      <c r="F235" s="25" t="n">
        <v>2</v>
      </c>
      <c r="G235" s="25" t="n">
        <v>6</v>
      </c>
    </row>
    <row r="236" customFormat="false" ht="15" hidden="false" customHeight="false" outlineLevel="0" collapsed="false">
      <c r="A236" s="25" t="n">
        <v>20210619</v>
      </c>
      <c r="B236" s="25" t="s">
        <v>2248</v>
      </c>
      <c r="C236" s="27" t="b">
        <f aca="false">TRUE()</f>
        <v>1</v>
      </c>
      <c r="D236" s="26" t="n">
        <v>44366</v>
      </c>
      <c r="E236" s="25" t="n">
        <v>2021</v>
      </c>
      <c r="F236" s="25" t="n">
        <v>2</v>
      </c>
      <c r="G236" s="25" t="n">
        <v>6</v>
      </c>
    </row>
    <row r="237" customFormat="false" ht="15" hidden="false" customHeight="false" outlineLevel="0" collapsed="false">
      <c r="A237" s="25" t="n">
        <v>20210620</v>
      </c>
      <c r="B237" s="25" t="s">
        <v>2248</v>
      </c>
      <c r="C237" s="27" t="b">
        <f aca="false">TRUE()</f>
        <v>1</v>
      </c>
      <c r="D237" s="26" t="n">
        <v>44367</v>
      </c>
      <c r="E237" s="25" t="n">
        <v>2021</v>
      </c>
      <c r="F237" s="25" t="n">
        <v>2</v>
      </c>
      <c r="G237" s="25" t="n">
        <v>6</v>
      </c>
    </row>
    <row r="238" customFormat="false" ht="15" hidden="false" customHeight="false" outlineLevel="0" collapsed="false">
      <c r="A238" s="25" t="n">
        <v>20210621</v>
      </c>
      <c r="B238" s="25" t="s">
        <v>2248</v>
      </c>
      <c r="C238" s="27" t="b">
        <f aca="false">FALSE()</f>
        <v>0</v>
      </c>
      <c r="D238" s="26" t="n">
        <v>44368</v>
      </c>
      <c r="E238" s="25" t="n">
        <v>2021</v>
      </c>
      <c r="F238" s="25" t="n">
        <v>2</v>
      </c>
      <c r="G238" s="25" t="n">
        <v>6</v>
      </c>
    </row>
    <row r="239" customFormat="false" ht="15" hidden="false" customHeight="false" outlineLevel="0" collapsed="false">
      <c r="A239" s="25" t="n">
        <v>20210622</v>
      </c>
      <c r="B239" s="25" t="s">
        <v>2248</v>
      </c>
      <c r="C239" s="27" t="b">
        <f aca="false">FALSE()</f>
        <v>0</v>
      </c>
      <c r="D239" s="26" t="n">
        <v>44369</v>
      </c>
      <c r="E239" s="25" t="n">
        <v>2021</v>
      </c>
      <c r="F239" s="25" t="n">
        <v>2</v>
      </c>
      <c r="G239" s="25" t="n">
        <v>6</v>
      </c>
    </row>
    <row r="240" customFormat="false" ht="15" hidden="false" customHeight="false" outlineLevel="0" collapsed="false">
      <c r="A240" s="25" t="n">
        <v>20210623</v>
      </c>
      <c r="B240" s="25" t="s">
        <v>2248</v>
      </c>
      <c r="C240" s="27" t="b">
        <f aca="false">FALSE()</f>
        <v>0</v>
      </c>
      <c r="D240" s="26" t="n">
        <v>44370</v>
      </c>
      <c r="E240" s="25" t="n">
        <v>2021</v>
      </c>
      <c r="F240" s="25" t="n">
        <v>2</v>
      </c>
      <c r="G240" s="25" t="n">
        <v>6</v>
      </c>
    </row>
    <row r="241" customFormat="false" ht="15" hidden="false" customHeight="false" outlineLevel="0" collapsed="false">
      <c r="A241" s="25" t="n">
        <v>20210624</v>
      </c>
      <c r="B241" s="25" t="s">
        <v>2248</v>
      </c>
      <c r="C241" s="27" t="b">
        <f aca="false">FALSE()</f>
        <v>0</v>
      </c>
      <c r="D241" s="26" t="n">
        <v>44371</v>
      </c>
      <c r="E241" s="25" t="n">
        <v>2021</v>
      </c>
      <c r="F241" s="25" t="n">
        <v>2</v>
      </c>
      <c r="G241" s="25" t="n">
        <v>6</v>
      </c>
    </row>
    <row r="242" customFormat="false" ht="15" hidden="false" customHeight="false" outlineLevel="0" collapsed="false">
      <c r="A242" s="25" t="n">
        <v>20210625</v>
      </c>
      <c r="B242" s="25" t="s">
        <v>2248</v>
      </c>
      <c r="C242" s="27" t="b">
        <f aca="false">FALSE()</f>
        <v>0</v>
      </c>
      <c r="D242" s="26" t="n">
        <v>44372</v>
      </c>
      <c r="E242" s="25" t="n">
        <v>2021</v>
      </c>
      <c r="F242" s="25" t="n">
        <v>2</v>
      </c>
      <c r="G242" s="25" t="n">
        <v>6</v>
      </c>
    </row>
    <row r="243" customFormat="false" ht="15" hidden="false" customHeight="false" outlineLevel="0" collapsed="false">
      <c r="A243" s="25" t="n">
        <v>20210626</v>
      </c>
      <c r="B243" s="25" t="s">
        <v>2248</v>
      </c>
      <c r="C243" s="27" t="b">
        <f aca="false">TRUE()</f>
        <v>1</v>
      </c>
      <c r="D243" s="26" t="n">
        <v>44373</v>
      </c>
      <c r="E243" s="25" t="n">
        <v>2021</v>
      </c>
      <c r="F243" s="25" t="n">
        <v>2</v>
      </c>
      <c r="G243" s="25" t="n">
        <v>6</v>
      </c>
    </row>
    <row r="244" customFormat="false" ht="15" hidden="false" customHeight="false" outlineLevel="0" collapsed="false">
      <c r="A244" s="25" t="n">
        <v>20210627</v>
      </c>
      <c r="B244" s="25" t="s">
        <v>2248</v>
      </c>
      <c r="C244" s="27" t="b">
        <f aca="false">TRUE()</f>
        <v>1</v>
      </c>
      <c r="D244" s="26" t="n">
        <v>44374</v>
      </c>
      <c r="E244" s="25" t="n">
        <v>2021</v>
      </c>
      <c r="F244" s="25" t="n">
        <v>2</v>
      </c>
      <c r="G244" s="25" t="n">
        <v>6</v>
      </c>
    </row>
    <row r="245" customFormat="false" ht="15" hidden="false" customHeight="false" outlineLevel="0" collapsed="false">
      <c r="A245" s="25" t="n">
        <v>20210628</v>
      </c>
      <c r="B245" s="25" t="s">
        <v>2248</v>
      </c>
      <c r="C245" s="27" t="b">
        <f aca="false">FALSE()</f>
        <v>0</v>
      </c>
      <c r="D245" s="26" t="n">
        <v>44375</v>
      </c>
      <c r="E245" s="25" t="n">
        <v>2021</v>
      </c>
      <c r="F245" s="25" t="n">
        <v>2</v>
      </c>
      <c r="G245" s="25" t="n">
        <v>6</v>
      </c>
    </row>
    <row r="246" customFormat="false" ht="15" hidden="false" customHeight="false" outlineLevel="0" collapsed="false">
      <c r="A246" s="25" t="n">
        <v>20210629</v>
      </c>
      <c r="B246" s="25" t="s">
        <v>2248</v>
      </c>
      <c r="C246" s="27" t="b">
        <f aca="false">FALSE()</f>
        <v>0</v>
      </c>
      <c r="D246" s="26" t="n">
        <v>44376</v>
      </c>
      <c r="E246" s="25" t="n">
        <v>2021</v>
      </c>
      <c r="F246" s="25" t="n">
        <v>2</v>
      </c>
      <c r="G246" s="25" t="n">
        <v>6</v>
      </c>
    </row>
    <row r="247" customFormat="false" ht="15" hidden="false" customHeight="false" outlineLevel="0" collapsed="false">
      <c r="A247" s="25" t="n">
        <v>20210630</v>
      </c>
      <c r="B247" s="25" t="s">
        <v>2248</v>
      </c>
      <c r="C247" s="27" t="b">
        <f aca="false">FALSE()</f>
        <v>0</v>
      </c>
      <c r="D247" s="26" t="n">
        <v>44377</v>
      </c>
      <c r="E247" s="25" t="n">
        <v>2021</v>
      </c>
      <c r="F247" s="25" t="n">
        <v>2</v>
      </c>
      <c r="G247" s="25" t="n">
        <v>6</v>
      </c>
    </row>
    <row r="248" customFormat="false" ht="15" hidden="false" customHeight="false" outlineLevel="0" collapsed="false">
      <c r="A248" s="25" t="n">
        <v>20210701</v>
      </c>
      <c r="B248" s="25" t="s">
        <v>2249</v>
      </c>
      <c r="C248" s="27" t="b">
        <f aca="false">FALSE()</f>
        <v>0</v>
      </c>
      <c r="D248" s="26" t="n">
        <v>44378</v>
      </c>
      <c r="E248" s="25" t="n">
        <v>2021</v>
      </c>
      <c r="F248" s="25" t="n">
        <v>3</v>
      </c>
      <c r="G248" s="25" t="n">
        <v>7</v>
      </c>
    </row>
    <row r="249" customFormat="false" ht="15" hidden="false" customHeight="false" outlineLevel="0" collapsed="false">
      <c r="A249" s="25" t="n">
        <v>20210702</v>
      </c>
      <c r="B249" s="25" t="s">
        <v>2249</v>
      </c>
      <c r="C249" s="27" t="b">
        <f aca="false">FALSE()</f>
        <v>0</v>
      </c>
      <c r="D249" s="26" t="n">
        <v>44379</v>
      </c>
      <c r="E249" s="25" t="n">
        <v>2021</v>
      </c>
      <c r="F249" s="25" t="n">
        <v>3</v>
      </c>
      <c r="G249" s="25" t="n">
        <v>7</v>
      </c>
    </row>
    <row r="250" customFormat="false" ht="15" hidden="false" customHeight="false" outlineLevel="0" collapsed="false">
      <c r="A250" s="25" t="n">
        <v>20210703</v>
      </c>
      <c r="B250" s="25" t="s">
        <v>2249</v>
      </c>
      <c r="C250" s="27" t="b">
        <f aca="false">TRUE()</f>
        <v>1</v>
      </c>
      <c r="D250" s="26" t="n">
        <v>44380</v>
      </c>
      <c r="E250" s="25" t="n">
        <v>2021</v>
      </c>
      <c r="F250" s="25" t="n">
        <v>3</v>
      </c>
      <c r="G250" s="25" t="n">
        <v>7</v>
      </c>
    </row>
    <row r="251" customFormat="false" ht="15" hidden="false" customHeight="false" outlineLevel="0" collapsed="false">
      <c r="A251" s="25" t="n">
        <v>20210704</v>
      </c>
      <c r="B251" s="25" t="s">
        <v>2249</v>
      </c>
      <c r="C251" s="27" t="b">
        <f aca="false">TRUE()</f>
        <v>1</v>
      </c>
      <c r="D251" s="26" t="n">
        <v>44381</v>
      </c>
      <c r="E251" s="25" t="n">
        <v>2021</v>
      </c>
      <c r="F251" s="25" t="n">
        <v>3</v>
      </c>
      <c r="G251" s="25" t="n">
        <v>7</v>
      </c>
    </row>
    <row r="252" customFormat="false" ht="15" hidden="false" customHeight="false" outlineLevel="0" collapsed="false">
      <c r="A252" s="25" t="n">
        <v>20210705</v>
      </c>
      <c r="B252" s="25" t="s">
        <v>2249</v>
      </c>
      <c r="C252" s="27" t="b">
        <f aca="false">FALSE()</f>
        <v>0</v>
      </c>
      <c r="D252" s="26" t="n">
        <v>44382</v>
      </c>
      <c r="E252" s="25" t="n">
        <v>2021</v>
      </c>
      <c r="F252" s="25" t="n">
        <v>3</v>
      </c>
      <c r="G252" s="25" t="n">
        <v>7</v>
      </c>
    </row>
    <row r="253" customFormat="false" ht="15" hidden="false" customHeight="false" outlineLevel="0" collapsed="false">
      <c r="A253" s="25" t="n">
        <v>20210706</v>
      </c>
      <c r="B253" s="25" t="s">
        <v>2249</v>
      </c>
      <c r="C253" s="27" t="b">
        <f aca="false">FALSE()</f>
        <v>0</v>
      </c>
      <c r="D253" s="26" t="n">
        <v>44383</v>
      </c>
      <c r="E253" s="25" t="n">
        <v>2021</v>
      </c>
      <c r="F253" s="25" t="n">
        <v>3</v>
      </c>
      <c r="G253" s="25" t="n">
        <v>7</v>
      </c>
    </row>
    <row r="254" customFormat="false" ht="15" hidden="false" customHeight="false" outlineLevel="0" collapsed="false">
      <c r="A254" s="25" t="n">
        <v>20210707</v>
      </c>
      <c r="B254" s="25" t="s">
        <v>2249</v>
      </c>
      <c r="C254" s="27" t="b">
        <f aca="false">FALSE()</f>
        <v>0</v>
      </c>
      <c r="D254" s="26" t="n">
        <v>44384</v>
      </c>
      <c r="E254" s="25" t="n">
        <v>2021</v>
      </c>
      <c r="F254" s="25" t="n">
        <v>3</v>
      </c>
      <c r="G254" s="25" t="n">
        <v>7</v>
      </c>
    </row>
    <row r="255" customFormat="false" ht="15" hidden="false" customHeight="false" outlineLevel="0" collapsed="false">
      <c r="A255" s="25" t="n">
        <v>20210708</v>
      </c>
      <c r="B255" s="25" t="s">
        <v>2249</v>
      </c>
      <c r="C255" s="27" t="b">
        <f aca="false">FALSE()</f>
        <v>0</v>
      </c>
      <c r="D255" s="26" t="n">
        <v>44385</v>
      </c>
      <c r="E255" s="25" t="n">
        <v>2021</v>
      </c>
      <c r="F255" s="25" t="n">
        <v>3</v>
      </c>
      <c r="G255" s="25" t="n">
        <v>7</v>
      </c>
    </row>
    <row r="256" customFormat="false" ht="15" hidden="false" customHeight="false" outlineLevel="0" collapsed="false">
      <c r="A256" s="25" t="n">
        <v>20210709</v>
      </c>
      <c r="B256" s="25" t="s">
        <v>2249</v>
      </c>
      <c r="C256" s="27" t="b">
        <f aca="false">FALSE()</f>
        <v>0</v>
      </c>
      <c r="D256" s="26" t="n">
        <v>44386</v>
      </c>
      <c r="E256" s="25" t="n">
        <v>2021</v>
      </c>
      <c r="F256" s="25" t="n">
        <v>3</v>
      </c>
      <c r="G256" s="25" t="n">
        <v>7</v>
      </c>
    </row>
    <row r="257" customFormat="false" ht="15" hidden="false" customHeight="false" outlineLevel="0" collapsed="false">
      <c r="A257" s="25" t="n">
        <v>20210710</v>
      </c>
      <c r="B257" s="25" t="s">
        <v>2249</v>
      </c>
      <c r="C257" s="27" t="b">
        <f aca="false">TRUE()</f>
        <v>1</v>
      </c>
      <c r="D257" s="26" t="n">
        <v>44387</v>
      </c>
      <c r="E257" s="25" t="n">
        <v>2021</v>
      </c>
      <c r="F257" s="25" t="n">
        <v>3</v>
      </c>
      <c r="G257" s="25" t="n">
        <v>7</v>
      </c>
    </row>
    <row r="258" customFormat="false" ht="15" hidden="false" customHeight="false" outlineLevel="0" collapsed="false">
      <c r="A258" s="25" t="n">
        <v>20210711</v>
      </c>
      <c r="B258" s="25" t="s">
        <v>2249</v>
      </c>
      <c r="C258" s="27" t="b">
        <f aca="false">TRUE()</f>
        <v>1</v>
      </c>
      <c r="D258" s="26" t="n">
        <v>44388</v>
      </c>
      <c r="E258" s="25" t="n">
        <v>2021</v>
      </c>
      <c r="F258" s="25" t="n">
        <v>3</v>
      </c>
      <c r="G258" s="25" t="n">
        <v>7</v>
      </c>
    </row>
    <row r="259" customFormat="false" ht="15" hidden="false" customHeight="false" outlineLevel="0" collapsed="false">
      <c r="A259" s="25" t="n">
        <v>20210712</v>
      </c>
      <c r="B259" s="25" t="s">
        <v>2249</v>
      </c>
      <c r="C259" s="27" t="b">
        <f aca="false">FALSE()</f>
        <v>0</v>
      </c>
      <c r="D259" s="26" t="n">
        <v>44389</v>
      </c>
      <c r="E259" s="25" t="n">
        <v>2021</v>
      </c>
      <c r="F259" s="25" t="n">
        <v>3</v>
      </c>
      <c r="G259" s="25" t="n">
        <v>7</v>
      </c>
    </row>
    <row r="260" customFormat="false" ht="15" hidden="false" customHeight="false" outlineLevel="0" collapsed="false">
      <c r="A260" s="25" t="n">
        <v>20210713</v>
      </c>
      <c r="B260" s="25" t="s">
        <v>2249</v>
      </c>
      <c r="C260" s="27" t="b">
        <f aca="false">FALSE()</f>
        <v>0</v>
      </c>
      <c r="D260" s="26" t="n">
        <v>44390</v>
      </c>
      <c r="E260" s="25" t="n">
        <v>2021</v>
      </c>
      <c r="F260" s="25" t="n">
        <v>3</v>
      </c>
      <c r="G260" s="25" t="n">
        <v>7</v>
      </c>
    </row>
    <row r="261" customFormat="false" ht="15" hidden="false" customHeight="false" outlineLevel="0" collapsed="false">
      <c r="A261" s="25" t="n">
        <v>20210714</v>
      </c>
      <c r="B261" s="25" t="s">
        <v>2249</v>
      </c>
      <c r="C261" s="27" t="b">
        <f aca="false">FALSE()</f>
        <v>0</v>
      </c>
      <c r="D261" s="26" t="n">
        <v>44391</v>
      </c>
      <c r="E261" s="25" t="n">
        <v>2021</v>
      </c>
      <c r="F261" s="25" t="n">
        <v>3</v>
      </c>
      <c r="G261" s="25" t="n">
        <v>7</v>
      </c>
    </row>
    <row r="262" customFormat="false" ht="15" hidden="false" customHeight="false" outlineLevel="0" collapsed="false">
      <c r="A262" s="25" t="n">
        <v>20210715</v>
      </c>
      <c r="B262" s="25" t="s">
        <v>2249</v>
      </c>
      <c r="C262" s="27" t="b">
        <f aca="false">FALSE()</f>
        <v>0</v>
      </c>
      <c r="D262" s="26" t="n">
        <v>44392</v>
      </c>
      <c r="E262" s="25" t="n">
        <v>2021</v>
      </c>
      <c r="F262" s="25" t="n">
        <v>3</v>
      </c>
      <c r="G262" s="25" t="n">
        <v>7</v>
      </c>
    </row>
    <row r="263" customFormat="false" ht="15" hidden="false" customHeight="false" outlineLevel="0" collapsed="false">
      <c r="A263" s="25" t="n">
        <v>20210716</v>
      </c>
      <c r="B263" s="25" t="s">
        <v>2249</v>
      </c>
      <c r="C263" s="27" t="b">
        <f aca="false">FALSE()</f>
        <v>0</v>
      </c>
      <c r="D263" s="26" t="n">
        <v>44393</v>
      </c>
      <c r="E263" s="25" t="n">
        <v>2021</v>
      </c>
      <c r="F263" s="25" t="n">
        <v>3</v>
      </c>
      <c r="G263" s="25" t="n">
        <v>7</v>
      </c>
    </row>
    <row r="264" customFormat="false" ht="15" hidden="false" customHeight="false" outlineLevel="0" collapsed="false">
      <c r="A264" s="25" t="n">
        <v>20210717</v>
      </c>
      <c r="B264" s="25" t="s">
        <v>2249</v>
      </c>
      <c r="C264" s="27" t="b">
        <f aca="false">TRUE()</f>
        <v>1</v>
      </c>
      <c r="D264" s="26" t="n">
        <v>44394</v>
      </c>
      <c r="E264" s="25" t="n">
        <v>2021</v>
      </c>
      <c r="F264" s="25" t="n">
        <v>3</v>
      </c>
      <c r="G264" s="25" t="n">
        <v>7</v>
      </c>
    </row>
    <row r="265" customFormat="false" ht="15" hidden="false" customHeight="false" outlineLevel="0" collapsed="false">
      <c r="A265" s="25" t="n">
        <v>20210718</v>
      </c>
      <c r="B265" s="25" t="s">
        <v>2249</v>
      </c>
      <c r="C265" s="27" t="b">
        <f aca="false">TRUE()</f>
        <v>1</v>
      </c>
      <c r="D265" s="26" t="n">
        <v>44395</v>
      </c>
      <c r="E265" s="25" t="n">
        <v>2021</v>
      </c>
      <c r="F265" s="25" t="n">
        <v>3</v>
      </c>
      <c r="G265" s="25" t="n">
        <v>7</v>
      </c>
    </row>
    <row r="266" customFormat="false" ht="15" hidden="false" customHeight="false" outlineLevel="0" collapsed="false">
      <c r="A266" s="25" t="n">
        <v>20210719</v>
      </c>
      <c r="B266" s="25" t="s">
        <v>2249</v>
      </c>
      <c r="C266" s="27" t="b">
        <f aca="false">FALSE()</f>
        <v>0</v>
      </c>
      <c r="D266" s="26" t="n">
        <v>44396</v>
      </c>
      <c r="E266" s="25" t="n">
        <v>2021</v>
      </c>
      <c r="F266" s="25" t="n">
        <v>3</v>
      </c>
      <c r="G266" s="25" t="n">
        <v>7</v>
      </c>
    </row>
    <row r="267" customFormat="false" ht="15" hidden="false" customHeight="false" outlineLevel="0" collapsed="false">
      <c r="A267" s="25" t="n">
        <v>20210720</v>
      </c>
      <c r="B267" s="25" t="s">
        <v>2249</v>
      </c>
      <c r="C267" s="27" t="b">
        <f aca="false">FALSE()</f>
        <v>0</v>
      </c>
      <c r="D267" s="26" t="n">
        <v>44397</v>
      </c>
      <c r="E267" s="25" t="n">
        <v>2021</v>
      </c>
      <c r="F267" s="25" t="n">
        <v>3</v>
      </c>
      <c r="G267" s="25" t="n">
        <v>7</v>
      </c>
    </row>
    <row r="268" customFormat="false" ht="15" hidden="false" customHeight="false" outlineLevel="0" collapsed="false">
      <c r="A268" s="25" t="n">
        <v>20210721</v>
      </c>
      <c r="B268" s="25" t="s">
        <v>2249</v>
      </c>
      <c r="C268" s="27" t="b">
        <f aca="false">FALSE()</f>
        <v>0</v>
      </c>
      <c r="D268" s="26" t="n">
        <v>44398</v>
      </c>
      <c r="E268" s="25" t="n">
        <v>2021</v>
      </c>
      <c r="F268" s="25" t="n">
        <v>3</v>
      </c>
      <c r="G268" s="25" t="n">
        <v>7</v>
      </c>
    </row>
    <row r="269" customFormat="false" ht="15" hidden="false" customHeight="false" outlineLevel="0" collapsed="false">
      <c r="A269" s="25" t="n">
        <v>20210722</v>
      </c>
      <c r="B269" s="25" t="s">
        <v>2249</v>
      </c>
      <c r="C269" s="27" t="b">
        <f aca="false">FALSE()</f>
        <v>0</v>
      </c>
      <c r="D269" s="26" t="n">
        <v>44399</v>
      </c>
      <c r="E269" s="25" t="n">
        <v>2021</v>
      </c>
      <c r="F269" s="25" t="n">
        <v>3</v>
      </c>
      <c r="G269" s="25" t="n">
        <v>7</v>
      </c>
    </row>
    <row r="270" customFormat="false" ht="15" hidden="false" customHeight="false" outlineLevel="0" collapsed="false">
      <c r="A270" s="25" t="n">
        <v>20210723</v>
      </c>
      <c r="B270" s="25" t="s">
        <v>2249</v>
      </c>
      <c r="C270" s="27" t="b">
        <f aca="false">FALSE()</f>
        <v>0</v>
      </c>
      <c r="D270" s="26" t="n">
        <v>44400</v>
      </c>
      <c r="E270" s="25" t="n">
        <v>2021</v>
      </c>
      <c r="F270" s="25" t="n">
        <v>3</v>
      </c>
      <c r="G270" s="25" t="n">
        <v>7</v>
      </c>
    </row>
    <row r="271" customFormat="false" ht="15" hidden="false" customHeight="false" outlineLevel="0" collapsed="false">
      <c r="A271" s="25" t="n">
        <v>20210724</v>
      </c>
      <c r="B271" s="25" t="s">
        <v>2249</v>
      </c>
      <c r="C271" s="27" t="b">
        <f aca="false">TRUE()</f>
        <v>1</v>
      </c>
      <c r="D271" s="26" t="n">
        <v>44401</v>
      </c>
      <c r="E271" s="25" t="n">
        <v>2021</v>
      </c>
      <c r="F271" s="25" t="n">
        <v>3</v>
      </c>
      <c r="G271" s="25" t="n">
        <v>7</v>
      </c>
    </row>
    <row r="272" customFormat="false" ht="15" hidden="false" customHeight="false" outlineLevel="0" collapsed="false">
      <c r="A272" s="25" t="n">
        <v>20210725</v>
      </c>
      <c r="B272" s="25" t="s">
        <v>2249</v>
      </c>
      <c r="C272" s="27" t="b">
        <f aca="false">TRUE()</f>
        <v>1</v>
      </c>
      <c r="D272" s="26" t="n">
        <v>44402</v>
      </c>
      <c r="E272" s="25" t="n">
        <v>2021</v>
      </c>
      <c r="F272" s="25" t="n">
        <v>3</v>
      </c>
      <c r="G272" s="25" t="n">
        <v>7</v>
      </c>
    </row>
    <row r="273" customFormat="false" ht="15" hidden="false" customHeight="false" outlineLevel="0" collapsed="false">
      <c r="A273" s="25" t="n">
        <v>20210726</v>
      </c>
      <c r="B273" s="25" t="s">
        <v>2249</v>
      </c>
      <c r="C273" s="27" t="b">
        <f aca="false">FALSE()</f>
        <v>0</v>
      </c>
      <c r="D273" s="26" t="n">
        <v>44403</v>
      </c>
      <c r="E273" s="25" t="n">
        <v>2021</v>
      </c>
      <c r="F273" s="25" t="n">
        <v>3</v>
      </c>
      <c r="G273" s="25" t="n">
        <v>7</v>
      </c>
    </row>
    <row r="274" customFormat="false" ht="15" hidden="false" customHeight="false" outlineLevel="0" collapsed="false">
      <c r="A274" s="25" t="n">
        <v>20210727</v>
      </c>
      <c r="B274" s="25" t="s">
        <v>2249</v>
      </c>
      <c r="C274" s="27" t="b">
        <f aca="false">FALSE()</f>
        <v>0</v>
      </c>
      <c r="D274" s="26" t="n">
        <v>44404</v>
      </c>
      <c r="E274" s="25" t="n">
        <v>2021</v>
      </c>
      <c r="F274" s="25" t="n">
        <v>3</v>
      </c>
      <c r="G274" s="25" t="n">
        <v>7</v>
      </c>
    </row>
    <row r="275" customFormat="false" ht="15" hidden="false" customHeight="false" outlineLevel="0" collapsed="false">
      <c r="A275" s="25" t="n">
        <v>20210728</v>
      </c>
      <c r="B275" s="25" t="s">
        <v>2249</v>
      </c>
      <c r="C275" s="27" t="b">
        <f aca="false">FALSE()</f>
        <v>0</v>
      </c>
      <c r="D275" s="26" t="n">
        <v>44405</v>
      </c>
      <c r="E275" s="25" t="n">
        <v>2021</v>
      </c>
      <c r="F275" s="25" t="n">
        <v>3</v>
      </c>
      <c r="G275" s="25" t="n">
        <v>7</v>
      </c>
    </row>
    <row r="276" customFormat="false" ht="15" hidden="false" customHeight="false" outlineLevel="0" collapsed="false">
      <c r="A276" s="25" t="n">
        <v>20210729</v>
      </c>
      <c r="B276" s="25" t="s">
        <v>2249</v>
      </c>
      <c r="C276" s="27" t="b">
        <f aca="false">FALSE()</f>
        <v>0</v>
      </c>
      <c r="D276" s="26" t="n">
        <v>44406</v>
      </c>
      <c r="E276" s="25" t="n">
        <v>2021</v>
      </c>
      <c r="F276" s="25" t="n">
        <v>3</v>
      </c>
      <c r="G276" s="25" t="n">
        <v>7</v>
      </c>
    </row>
    <row r="277" customFormat="false" ht="15" hidden="false" customHeight="false" outlineLevel="0" collapsed="false">
      <c r="A277" s="25" t="n">
        <v>20210730</v>
      </c>
      <c r="B277" s="25" t="s">
        <v>2249</v>
      </c>
      <c r="C277" s="27" t="b">
        <f aca="false">FALSE()</f>
        <v>0</v>
      </c>
      <c r="D277" s="26" t="n">
        <v>44407</v>
      </c>
      <c r="E277" s="25" t="n">
        <v>2021</v>
      </c>
      <c r="F277" s="25" t="n">
        <v>3</v>
      </c>
      <c r="G277" s="25" t="n">
        <v>7</v>
      </c>
    </row>
    <row r="278" customFormat="false" ht="15" hidden="false" customHeight="false" outlineLevel="0" collapsed="false">
      <c r="A278" s="25" t="n">
        <v>20210731</v>
      </c>
      <c r="B278" s="25" t="s">
        <v>2249</v>
      </c>
      <c r="C278" s="27" t="b">
        <f aca="false">TRUE()</f>
        <v>1</v>
      </c>
      <c r="D278" s="26" t="n">
        <v>44408</v>
      </c>
      <c r="E278" s="25" t="n">
        <v>2021</v>
      </c>
      <c r="F278" s="25" t="n">
        <v>3</v>
      </c>
      <c r="G278" s="25" t="n">
        <v>7</v>
      </c>
    </row>
    <row r="279" customFormat="false" ht="15" hidden="false" customHeight="false" outlineLevel="0" collapsed="false">
      <c r="A279" s="25" t="n">
        <v>20210801</v>
      </c>
      <c r="B279" s="25" t="s">
        <v>2250</v>
      </c>
      <c r="C279" s="27" t="b">
        <f aca="false">TRUE()</f>
        <v>1</v>
      </c>
      <c r="D279" s="26" t="n">
        <v>44409</v>
      </c>
      <c r="E279" s="25" t="n">
        <v>2021</v>
      </c>
      <c r="F279" s="25" t="n">
        <v>3</v>
      </c>
      <c r="G279" s="25" t="n">
        <v>8</v>
      </c>
    </row>
    <row r="280" customFormat="false" ht="15" hidden="false" customHeight="false" outlineLevel="0" collapsed="false">
      <c r="A280" s="25" t="n">
        <v>20210802</v>
      </c>
      <c r="B280" s="25" t="s">
        <v>2250</v>
      </c>
      <c r="C280" s="27" t="b">
        <f aca="false">FALSE()</f>
        <v>0</v>
      </c>
      <c r="D280" s="26" t="n">
        <v>44410</v>
      </c>
      <c r="E280" s="25" t="n">
        <v>2021</v>
      </c>
      <c r="F280" s="25" t="n">
        <v>3</v>
      </c>
      <c r="G280" s="25" t="n">
        <v>8</v>
      </c>
    </row>
    <row r="281" customFormat="false" ht="15" hidden="false" customHeight="false" outlineLevel="0" collapsed="false">
      <c r="A281" s="25" t="n">
        <v>20210803</v>
      </c>
      <c r="B281" s="25" t="s">
        <v>2250</v>
      </c>
      <c r="C281" s="27" t="b">
        <f aca="false">FALSE()</f>
        <v>0</v>
      </c>
      <c r="D281" s="26" t="n">
        <v>44411</v>
      </c>
      <c r="E281" s="25" t="n">
        <v>2021</v>
      </c>
      <c r="F281" s="25" t="n">
        <v>3</v>
      </c>
      <c r="G281" s="25" t="n">
        <v>8</v>
      </c>
    </row>
    <row r="282" customFormat="false" ht="15" hidden="false" customHeight="false" outlineLevel="0" collapsed="false">
      <c r="A282" s="25" t="n">
        <v>20210804</v>
      </c>
      <c r="B282" s="25" t="s">
        <v>2250</v>
      </c>
      <c r="C282" s="27" t="b">
        <f aca="false">FALSE()</f>
        <v>0</v>
      </c>
      <c r="D282" s="26" t="n">
        <v>44412</v>
      </c>
      <c r="E282" s="25" t="n">
        <v>2021</v>
      </c>
      <c r="F282" s="25" t="n">
        <v>3</v>
      </c>
      <c r="G282" s="25" t="n">
        <v>8</v>
      </c>
    </row>
    <row r="283" customFormat="false" ht="15" hidden="false" customHeight="false" outlineLevel="0" collapsed="false">
      <c r="A283" s="25" t="n">
        <v>20210805</v>
      </c>
      <c r="B283" s="25" t="s">
        <v>2250</v>
      </c>
      <c r="C283" s="27" t="b">
        <f aca="false">FALSE()</f>
        <v>0</v>
      </c>
      <c r="D283" s="26" t="n">
        <v>44413</v>
      </c>
      <c r="E283" s="25" t="n">
        <v>2021</v>
      </c>
      <c r="F283" s="25" t="n">
        <v>3</v>
      </c>
      <c r="G283" s="25" t="n">
        <v>8</v>
      </c>
    </row>
    <row r="284" customFormat="false" ht="15" hidden="false" customHeight="false" outlineLevel="0" collapsed="false">
      <c r="A284" s="25" t="n">
        <v>20210806</v>
      </c>
      <c r="B284" s="25" t="s">
        <v>2250</v>
      </c>
      <c r="C284" s="27" t="b">
        <f aca="false">FALSE()</f>
        <v>0</v>
      </c>
      <c r="D284" s="26" t="n">
        <v>44414</v>
      </c>
      <c r="E284" s="25" t="n">
        <v>2021</v>
      </c>
      <c r="F284" s="25" t="n">
        <v>3</v>
      </c>
      <c r="G284" s="25" t="n">
        <v>8</v>
      </c>
    </row>
    <row r="285" customFormat="false" ht="15" hidden="false" customHeight="false" outlineLevel="0" collapsed="false">
      <c r="A285" s="25" t="n">
        <v>20210807</v>
      </c>
      <c r="B285" s="25" t="s">
        <v>2250</v>
      </c>
      <c r="C285" s="27" t="b">
        <f aca="false">TRUE()</f>
        <v>1</v>
      </c>
      <c r="D285" s="26" t="n">
        <v>44415</v>
      </c>
      <c r="E285" s="25" t="n">
        <v>2021</v>
      </c>
      <c r="F285" s="25" t="n">
        <v>3</v>
      </c>
      <c r="G285" s="25" t="n">
        <v>8</v>
      </c>
    </row>
    <row r="286" customFormat="false" ht="15" hidden="false" customHeight="false" outlineLevel="0" collapsed="false">
      <c r="A286" s="25" t="n">
        <v>20210808</v>
      </c>
      <c r="B286" s="25" t="s">
        <v>2250</v>
      </c>
      <c r="C286" s="27" t="b">
        <f aca="false">TRUE()</f>
        <v>1</v>
      </c>
      <c r="D286" s="26" t="n">
        <v>44416</v>
      </c>
      <c r="E286" s="25" t="n">
        <v>2021</v>
      </c>
      <c r="F286" s="25" t="n">
        <v>3</v>
      </c>
      <c r="G286" s="25" t="n">
        <v>8</v>
      </c>
    </row>
    <row r="287" customFormat="false" ht="15" hidden="false" customHeight="false" outlineLevel="0" collapsed="false">
      <c r="A287" s="25" t="n">
        <v>20210809</v>
      </c>
      <c r="B287" s="25" t="s">
        <v>2250</v>
      </c>
      <c r="C287" s="27" t="b">
        <f aca="false">FALSE()</f>
        <v>0</v>
      </c>
      <c r="D287" s="26" t="n">
        <v>44417</v>
      </c>
      <c r="E287" s="25" t="n">
        <v>2021</v>
      </c>
      <c r="F287" s="25" t="n">
        <v>3</v>
      </c>
      <c r="G287" s="25" t="n">
        <v>8</v>
      </c>
    </row>
    <row r="288" customFormat="false" ht="15" hidden="false" customHeight="false" outlineLevel="0" collapsed="false">
      <c r="A288" s="25" t="n">
        <v>20210810</v>
      </c>
      <c r="B288" s="25" t="s">
        <v>2250</v>
      </c>
      <c r="C288" s="27" t="b">
        <f aca="false">FALSE()</f>
        <v>0</v>
      </c>
      <c r="D288" s="26" t="n">
        <v>44418</v>
      </c>
      <c r="E288" s="25" t="n">
        <v>2021</v>
      </c>
      <c r="F288" s="25" t="n">
        <v>3</v>
      </c>
      <c r="G288" s="25" t="n">
        <v>8</v>
      </c>
    </row>
    <row r="289" customFormat="false" ht="15" hidden="false" customHeight="false" outlineLevel="0" collapsed="false">
      <c r="A289" s="25" t="n">
        <v>20210811</v>
      </c>
      <c r="B289" s="25" t="s">
        <v>2250</v>
      </c>
      <c r="C289" s="27" t="b">
        <f aca="false">FALSE()</f>
        <v>0</v>
      </c>
      <c r="D289" s="26" t="n">
        <v>44419</v>
      </c>
      <c r="E289" s="25" t="n">
        <v>2021</v>
      </c>
      <c r="F289" s="25" t="n">
        <v>3</v>
      </c>
      <c r="G289" s="25" t="n">
        <v>8</v>
      </c>
    </row>
    <row r="290" customFormat="false" ht="15" hidden="false" customHeight="false" outlineLevel="0" collapsed="false">
      <c r="A290" s="25" t="n">
        <v>20210812</v>
      </c>
      <c r="B290" s="25" t="s">
        <v>2250</v>
      </c>
      <c r="C290" s="27" t="b">
        <f aca="false">FALSE()</f>
        <v>0</v>
      </c>
      <c r="D290" s="26" t="n">
        <v>44420</v>
      </c>
      <c r="E290" s="25" t="n">
        <v>2021</v>
      </c>
      <c r="F290" s="25" t="n">
        <v>3</v>
      </c>
      <c r="G290" s="25" t="n">
        <v>8</v>
      </c>
    </row>
    <row r="291" customFormat="false" ht="15" hidden="false" customHeight="false" outlineLevel="0" collapsed="false">
      <c r="A291" s="25" t="n">
        <v>20210813</v>
      </c>
      <c r="B291" s="25" t="s">
        <v>2250</v>
      </c>
      <c r="C291" s="27" t="b">
        <f aca="false">FALSE()</f>
        <v>0</v>
      </c>
      <c r="D291" s="26" t="n">
        <v>44421</v>
      </c>
      <c r="E291" s="25" t="n">
        <v>2021</v>
      </c>
      <c r="F291" s="25" t="n">
        <v>3</v>
      </c>
      <c r="G291" s="25" t="n">
        <v>8</v>
      </c>
    </row>
    <row r="292" customFormat="false" ht="15" hidden="false" customHeight="false" outlineLevel="0" collapsed="false">
      <c r="A292" s="25" t="n">
        <v>20210814</v>
      </c>
      <c r="B292" s="25" t="s">
        <v>2250</v>
      </c>
      <c r="C292" s="27" t="b">
        <f aca="false">TRUE()</f>
        <v>1</v>
      </c>
      <c r="D292" s="26" t="n">
        <v>44422</v>
      </c>
      <c r="E292" s="25" t="n">
        <v>2021</v>
      </c>
      <c r="F292" s="25" t="n">
        <v>3</v>
      </c>
      <c r="G292" s="25" t="n">
        <v>8</v>
      </c>
    </row>
    <row r="293" customFormat="false" ht="15" hidden="false" customHeight="false" outlineLevel="0" collapsed="false">
      <c r="A293" s="25" t="n">
        <v>20210815</v>
      </c>
      <c r="B293" s="25" t="s">
        <v>2250</v>
      </c>
      <c r="C293" s="27" t="b">
        <f aca="false">TRUE()</f>
        <v>1</v>
      </c>
      <c r="D293" s="26" t="n">
        <v>44423</v>
      </c>
      <c r="E293" s="25" t="n">
        <v>2021</v>
      </c>
      <c r="F293" s="25" t="n">
        <v>3</v>
      </c>
      <c r="G293" s="25" t="n">
        <v>8</v>
      </c>
    </row>
    <row r="294" customFormat="false" ht="15" hidden="false" customHeight="false" outlineLevel="0" collapsed="false">
      <c r="A294" s="25" t="n">
        <v>20210816</v>
      </c>
      <c r="B294" s="25" t="s">
        <v>2250</v>
      </c>
      <c r="C294" s="27" t="b">
        <f aca="false">FALSE()</f>
        <v>0</v>
      </c>
      <c r="D294" s="26" t="n">
        <v>44424</v>
      </c>
      <c r="E294" s="25" t="n">
        <v>2021</v>
      </c>
      <c r="F294" s="25" t="n">
        <v>3</v>
      </c>
      <c r="G294" s="25" t="n">
        <v>8</v>
      </c>
    </row>
    <row r="295" customFormat="false" ht="15" hidden="false" customHeight="false" outlineLevel="0" collapsed="false">
      <c r="A295" s="25" t="n">
        <v>20210817</v>
      </c>
      <c r="B295" s="25" t="s">
        <v>2250</v>
      </c>
      <c r="C295" s="27" t="b">
        <f aca="false">FALSE()</f>
        <v>0</v>
      </c>
      <c r="D295" s="26" t="n">
        <v>44425</v>
      </c>
      <c r="E295" s="25" t="n">
        <v>2021</v>
      </c>
      <c r="F295" s="25" t="n">
        <v>3</v>
      </c>
      <c r="G295" s="25" t="n">
        <v>8</v>
      </c>
    </row>
    <row r="296" customFormat="false" ht="15" hidden="false" customHeight="false" outlineLevel="0" collapsed="false">
      <c r="A296" s="25" t="n">
        <v>20210818</v>
      </c>
      <c r="B296" s="25" t="s">
        <v>2250</v>
      </c>
      <c r="C296" s="27" t="b">
        <f aca="false">FALSE()</f>
        <v>0</v>
      </c>
      <c r="D296" s="26" t="n">
        <v>44426</v>
      </c>
      <c r="E296" s="25" t="n">
        <v>2021</v>
      </c>
      <c r="F296" s="25" t="n">
        <v>3</v>
      </c>
      <c r="G296" s="25" t="n">
        <v>8</v>
      </c>
    </row>
    <row r="297" customFormat="false" ht="15" hidden="false" customHeight="false" outlineLevel="0" collapsed="false">
      <c r="A297" s="25" t="n">
        <v>20210819</v>
      </c>
      <c r="B297" s="25" t="s">
        <v>2250</v>
      </c>
      <c r="C297" s="27" t="b">
        <f aca="false">FALSE()</f>
        <v>0</v>
      </c>
      <c r="D297" s="26" t="n">
        <v>44427</v>
      </c>
      <c r="E297" s="25" t="n">
        <v>2021</v>
      </c>
      <c r="F297" s="25" t="n">
        <v>3</v>
      </c>
      <c r="G297" s="25" t="n">
        <v>8</v>
      </c>
    </row>
    <row r="298" customFormat="false" ht="15" hidden="false" customHeight="false" outlineLevel="0" collapsed="false">
      <c r="A298" s="25" t="n">
        <v>20210820</v>
      </c>
      <c r="B298" s="25" t="s">
        <v>2250</v>
      </c>
      <c r="C298" s="27" t="b">
        <f aca="false">FALSE()</f>
        <v>0</v>
      </c>
      <c r="D298" s="26" t="n">
        <v>44428</v>
      </c>
      <c r="E298" s="25" t="n">
        <v>2021</v>
      </c>
      <c r="F298" s="25" t="n">
        <v>3</v>
      </c>
      <c r="G298" s="25" t="n">
        <v>8</v>
      </c>
    </row>
    <row r="299" customFormat="false" ht="15" hidden="false" customHeight="false" outlineLevel="0" collapsed="false">
      <c r="A299" s="25" t="n">
        <v>20210821</v>
      </c>
      <c r="B299" s="25" t="s">
        <v>2250</v>
      </c>
      <c r="C299" s="27" t="b">
        <f aca="false">TRUE()</f>
        <v>1</v>
      </c>
      <c r="D299" s="26" t="n">
        <v>44429</v>
      </c>
      <c r="E299" s="25" t="n">
        <v>2021</v>
      </c>
      <c r="F299" s="25" t="n">
        <v>3</v>
      </c>
      <c r="G299" s="25" t="n">
        <v>8</v>
      </c>
    </row>
    <row r="300" customFormat="false" ht="15" hidden="false" customHeight="false" outlineLevel="0" collapsed="false">
      <c r="A300" s="25" t="n">
        <v>20210822</v>
      </c>
      <c r="B300" s="25" t="s">
        <v>2250</v>
      </c>
      <c r="C300" s="27" t="b">
        <f aca="false">TRUE()</f>
        <v>1</v>
      </c>
      <c r="D300" s="26" t="n">
        <v>44430</v>
      </c>
      <c r="E300" s="25" t="n">
        <v>2021</v>
      </c>
      <c r="F300" s="25" t="n">
        <v>3</v>
      </c>
      <c r="G300" s="25" t="n">
        <v>8</v>
      </c>
    </row>
    <row r="301" customFormat="false" ht="15" hidden="false" customHeight="false" outlineLevel="0" collapsed="false">
      <c r="A301" s="25" t="n">
        <v>20210823</v>
      </c>
      <c r="B301" s="25" t="s">
        <v>2250</v>
      </c>
      <c r="C301" s="27" t="b">
        <f aca="false">FALSE()</f>
        <v>0</v>
      </c>
      <c r="D301" s="26" t="n">
        <v>44431</v>
      </c>
      <c r="E301" s="25" t="n">
        <v>2021</v>
      </c>
      <c r="F301" s="25" t="n">
        <v>3</v>
      </c>
      <c r="G301" s="25" t="n">
        <v>8</v>
      </c>
    </row>
    <row r="302" customFormat="false" ht="15" hidden="false" customHeight="false" outlineLevel="0" collapsed="false">
      <c r="A302" s="25" t="n">
        <v>20210824</v>
      </c>
      <c r="B302" s="25" t="s">
        <v>2250</v>
      </c>
      <c r="C302" s="27" t="b">
        <f aca="false">FALSE()</f>
        <v>0</v>
      </c>
      <c r="D302" s="26" t="n">
        <v>44432</v>
      </c>
      <c r="E302" s="25" t="n">
        <v>2021</v>
      </c>
      <c r="F302" s="25" t="n">
        <v>3</v>
      </c>
      <c r="G302" s="25" t="n">
        <v>8</v>
      </c>
    </row>
    <row r="303" customFormat="false" ht="15" hidden="false" customHeight="false" outlineLevel="0" collapsed="false">
      <c r="A303" s="25" t="n">
        <v>20210825</v>
      </c>
      <c r="B303" s="25" t="s">
        <v>2250</v>
      </c>
      <c r="C303" s="27" t="b">
        <f aca="false">FALSE()</f>
        <v>0</v>
      </c>
      <c r="D303" s="26" t="n">
        <v>44433</v>
      </c>
      <c r="E303" s="25" t="n">
        <v>2021</v>
      </c>
      <c r="F303" s="25" t="n">
        <v>3</v>
      </c>
      <c r="G303" s="25" t="n">
        <v>8</v>
      </c>
    </row>
    <row r="304" customFormat="false" ht="15" hidden="false" customHeight="false" outlineLevel="0" collapsed="false">
      <c r="A304" s="25" t="n">
        <v>20210826</v>
      </c>
      <c r="B304" s="25" t="s">
        <v>2250</v>
      </c>
      <c r="C304" s="27" t="b">
        <f aca="false">FALSE()</f>
        <v>0</v>
      </c>
      <c r="D304" s="26" t="n">
        <v>44434</v>
      </c>
      <c r="E304" s="25" t="n">
        <v>2021</v>
      </c>
      <c r="F304" s="25" t="n">
        <v>3</v>
      </c>
      <c r="G304" s="25" t="n">
        <v>8</v>
      </c>
    </row>
    <row r="305" customFormat="false" ht="15" hidden="false" customHeight="false" outlineLevel="0" collapsed="false">
      <c r="A305" s="25" t="n">
        <v>20210827</v>
      </c>
      <c r="B305" s="25" t="s">
        <v>2250</v>
      </c>
      <c r="C305" s="27" t="b">
        <f aca="false">FALSE()</f>
        <v>0</v>
      </c>
      <c r="D305" s="26" t="n">
        <v>44435</v>
      </c>
      <c r="E305" s="25" t="n">
        <v>2021</v>
      </c>
      <c r="F305" s="25" t="n">
        <v>3</v>
      </c>
      <c r="G305" s="25" t="n">
        <v>8</v>
      </c>
    </row>
    <row r="306" customFormat="false" ht="15" hidden="false" customHeight="false" outlineLevel="0" collapsed="false">
      <c r="A306" s="25" t="n">
        <v>20210828</v>
      </c>
      <c r="B306" s="25" t="s">
        <v>2250</v>
      </c>
      <c r="C306" s="27" t="b">
        <f aca="false">TRUE()</f>
        <v>1</v>
      </c>
      <c r="D306" s="26" t="n">
        <v>44436</v>
      </c>
      <c r="E306" s="25" t="n">
        <v>2021</v>
      </c>
      <c r="F306" s="25" t="n">
        <v>3</v>
      </c>
      <c r="G306" s="25" t="n">
        <v>8</v>
      </c>
    </row>
    <row r="307" customFormat="false" ht="15" hidden="false" customHeight="false" outlineLevel="0" collapsed="false">
      <c r="A307" s="25" t="n">
        <v>20210829</v>
      </c>
      <c r="B307" s="25" t="s">
        <v>2250</v>
      </c>
      <c r="C307" s="27" t="b">
        <f aca="false">TRUE()</f>
        <v>1</v>
      </c>
      <c r="D307" s="26" t="n">
        <v>44437</v>
      </c>
      <c r="E307" s="25" t="n">
        <v>2021</v>
      </c>
      <c r="F307" s="25" t="n">
        <v>3</v>
      </c>
      <c r="G307" s="25" t="n">
        <v>8</v>
      </c>
    </row>
    <row r="308" customFormat="false" ht="15" hidden="false" customHeight="false" outlineLevel="0" collapsed="false">
      <c r="A308" s="25" t="n">
        <v>20210830</v>
      </c>
      <c r="B308" s="25" t="s">
        <v>2250</v>
      </c>
      <c r="C308" s="27" t="b">
        <f aca="false">FALSE()</f>
        <v>0</v>
      </c>
      <c r="D308" s="26" t="n">
        <v>44438</v>
      </c>
      <c r="E308" s="25" t="n">
        <v>2021</v>
      </c>
      <c r="F308" s="25" t="n">
        <v>3</v>
      </c>
      <c r="G308" s="25" t="n">
        <v>8</v>
      </c>
    </row>
    <row r="309" customFormat="false" ht="15" hidden="false" customHeight="false" outlineLevel="0" collapsed="false">
      <c r="A309" s="25" t="n">
        <v>20210831</v>
      </c>
      <c r="B309" s="25" t="s">
        <v>2250</v>
      </c>
      <c r="C309" s="27" t="b">
        <f aca="false">FALSE()</f>
        <v>0</v>
      </c>
      <c r="D309" s="26" t="n">
        <v>44439</v>
      </c>
      <c r="E309" s="25" t="n">
        <v>2021</v>
      </c>
      <c r="F309" s="25" t="n">
        <v>3</v>
      </c>
      <c r="G309" s="25" t="n">
        <v>8</v>
      </c>
    </row>
    <row r="310" customFormat="false" ht="15" hidden="false" customHeight="false" outlineLevel="0" collapsed="false">
      <c r="A310" s="25" t="n">
        <v>20210901</v>
      </c>
      <c r="B310" s="25" t="s">
        <v>2251</v>
      </c>
      <c r="C310" s="27" t="b">
        <f aca="false">FALSE()</f>
        <v>0</v>
      </c>
      <c r="D310" s="26" t="n">
        <v>44440</v>
      </c>
      <c r="E310" s="25" t="n">
        <v>2021</v>
      </c>
      <c r="F310" s="25" t="n">
        <v>3</v>
      </c>
      <c r="G310" s="25" t="n">
        <v>9</v>
      </c>
    </row>
    <row r="311" customFormat="false" ht="15" hidden="false" customHeight="false" outlineLevel="0" collapsed="false">
      <c r="A311" s="25" t="n">
        <v>20210902</v>
      </c>
      <c r="B311" s="25" t="s">
        <v>2251</v>
      </c>
      <c r="C311" s="27" t="b">
        <f aca="false">FALSE()</f>
        <v>0</v>
      </c>
      <c r="D311" s="26" t="n">
        <v>44441</v>
      </c>
      <c r="E311" s="25" t="n">
        <v>2021</v>
      </c>
      <c r="F311" s="25" t="n">
        <v>3</v>
      </c>
      <c r="G311" s="25" t="n">
        <v>9</v>
      </c>
    </row>
    <row r="312" customFormat="false" ht="15" hidden="false" customHeight="false" outlineLevel="0" collapsed="false">
      <c r="A312" s="25" t="n">
        <v>20210903</v>
      </c>
      <c r="B312" s="25" t="s">
        <v>2251</v>
      </c>
      <c r="C312" s="27" t="b">
        <f aca="false">FALSE()</f>
        <v>0</v>
      </c>
      <c r="D312" s="26" t="n">
        <v>44442</v>
      </c>
      <c r="E312" s="25" t="n">
        <v>2021</v>
      </c>
      <c r="F312" s="25" t="n">
        <v>3</v>
      </c>
      <c r="G312" s="25" t="n">
        <v>9</v>
      </c>
    </row>
    <row r="313" customFormat="false" ht="15" hidden="false" customHeight="false" outlineLevel="0" collapsed="false">
      <c r="A313" s="25" t="n">
        <v>20210904</v>
      </c>
      <c r="B313" s="25" t="s">
        <v>2251</v>
      </c>
      <c r="C313" s="27" t="b">
        <f aca="false">TRUE()</f>
        <v>1</v>
      </c>
      <c r="D313" s="26" t="n">
        <v>44443</v>
      </c>
      <c r="E313" s="25" t="n">
        <v>2021</v>
      </c>
      <c r="F313" s="25" t="n">
        <v>3</v>
      </c>
      <c r="G313" s="25" t="n">
        <v>9</v>
      </c>
    </row>
    <row r="314" customFormat="false" ht="15" hidden="false" customHeight="false" outlineLevel="0" collapsed="false">
      <c r="A314" s="25" t="n">
        <v>20210905</v>
      </c>
      <c r="B314" s="25" t="s">
        <v>2251</v>
      </c>
      <c r="C314" s="27" t="b">
        <f aca="false">TRUE()</f>
        <v>1</v>
      </c>
      <c r="D314" s="26" t="n">
        <v>44444</v>
      </c>
      <c r="E314" s="25" t="n">
        <v>2021</v>
      </c>
      <c r="F314" s="25" t="n">
        <v>3</v>
      </c>
      <c r="G314" s="25" t="n">
        <v>9</v>
      </c>
    </row>
    <row r="315" customFormat="false" ht="15" hidden="false" customHeight="false" outlineLevel="0" collapsed="false">
      <c r="A315" s="25" t="n">
        <v>20210906</v>
      </c>
      <c r="B315" s="25" t="s">
        <v>2251</v>
      </c>
      <c r="C315" s="27" t="b">
        <f aca="false">FALSE()</f>
        <v>0</v>
      </c>
      <c r="D315" s="26" t="n">
        <v>44445</v>
      </c>
      <c r="E315" s="25" t="n">
        <v>2021</v>
      </c>
      <c r="F315" s="25" t="n">
        <v>3</v>
      </c>
      <c r="G315" s="25" t="n">
        <v>9</v>
      </c>
    </row>
    <row r="316" customFormat="false" ht="15" hidden="false" customHeight="false" outlineLevel="0" collapsed="false">
      <c r="A316" s="25" t="n">
        <v>20210907</v>
      </c>
      <c r="B316" s="25" t="s">
        <v>2251</v>
      </c>
      <c r="C316" s="27" t="b">
        <f aca="false">FALSE()</f>
        <v>0</v>
      </c>
      <c r="D316" s="26" t="n">
        <v>44446</v>
      </c>
      <c r="E316" s="25" t="n">
        <v>2021</v>
      </c>
      <c r="F316" s="25" t="n">
        <v>3</v>
      </c>
      <c r="G316" s="25" t="n">
        <v>9</v>
      </c>
    </row>
    <row r="317" customFormat="false" ht="15" hidden="false" customHeight="false" outlineLevel="0" collapsed="false">
      <c r="A317" s="25" t="n">
        <v>20210908</v>
      </c>
      <c r="B317" s="25" t="s">
        <v>2251</v>
      </c>
      <c r="C317" s="27" t="b">
        <f aca="false">FALSE()</f>
        <v>0</v>
      </c>
      <c r="D317" s="26" t="n">
        <v>44447</v>
      </c>
      <c r="E317" s="25" t="n">
        <v>2021</v>
      </c>
      <c r="F317" s="25" t="n">
        <v>3</v>
      </c>
      <c r="G317" s="25" t="n">
        <v>9</v>
      </c>
    </row>
    <row r="318" customFormat="false" ht="15" hidden="false" customHeight="false" outlineLevel="0" collapsed="false">
      <c r="A318" s="25" t="n">
        <v>20210909</v>
      </c>
      <c r="B318" s="25" t="s">
        <v>2251</v>
      </c>
      <c r="C318" s="27" t="b">
        <f aca="false">FALSE()</f>
        <v>0</v>
      </c>
      <c r="D318" s="26" t="n">
        <v>44448</v>
      </c>
      <c r="E318" s="25" t="n">
        <v>2021</v>
      </c>
      <c r="F318" s="25" t="n">
        <v>3</v>
      </c>
      <c r="G318" s="25" t="n">
        <v>9</v>
      </c>
    </row>
    <row r="319" customFormat="false" ht="15" hidden="false" customHeight="false" outlineLevel="0" collapsed="false">
      <c r="A319" s="25" t="n">
        <v>20210910</v>
      </c>
      <c r="B319" s="25" t="s">
        <v>2251</v>
      </c>
      <c r="C319" s="27" t="b">
        <f aca="false">FALSE()</f>
        <v>0</v>
      </c>
      <c r="D319" s="26" t="n">
        <v>44449</v>
      </c>
      <c r="E319" s="25" t="n">
        <v>2021</v>
      </c>
      <c r="F319" s="25" t="n">
        <v>3</v>
      </c>
      <c r="G319" s="25" t="n">
        <v>9</v>
      </c>
    </row>
    <row r="320" customFormat="false" ht="15" hidden="false" customHeight="false" outlineLevel="0" collapsed="false">
      <c r="A320" s="25" t="n">
        <v>20210911</v>
      </c>
      <c r="B320" s="25" t="s">
        <v>2251</v>
      </c>
      <c r="C320" s="27" t="b">
        <f aca="false">TRUE()</f>
        <v>1</v>
      </c>
      <c r="D320" s="26" t="n">
        <v>44450</v>
      </c>
      <c r="E320" s="25" t="n">
        <v>2021</v>
      </c>
      <c r="F320" s="25" t="n">
        <v>3</v>
      </c>
      <c r="G320" s="25" t="n">
        <v>9</v>
      </c>
    </row>
    <row r="321" customFormat="false" ht="15" hidden="false" customHeight="false" outlineLevel="0" collapsed="false">
      <c r="A321" s="25" t="n">
        <v>20210912</v>
      </c>
      <c r="B321" s="25" t="s">
        <v>2251</v>
      </c>
      <c r="C321" s="27" t="b">
        <f aca="false">TRUE()</f>
        <v>1</v>
      </c>
      <c r="D321" s="26" t="n">
        <v>44451</v>
      </c>
      <c r="E321" s="25" t="n">
        <v>2021</v>
      </c>
      <c r="F321" s="25" t="n">
        <v>3</v>
      </c>
      <c r="G321" s="25" t="n">
        <v>9</v>
      </c>
    </row>
    <row r="322" customFormat="false" ht="15" hidden="false" customHeight="false" outlineLevel="0" collapsed="false">
      <c r="A322" s="25" t="n">
        <v>20210913</v>
      </c>
      <c r="B322" s="25" t="s">
        <v>2251</v>
      </c>
      <c r="C322" s="27" t="b">
        <f aca="false">FALSE()</f>
        <v>0</v>
      </c>
      <c r="D322" s="26" t="n">
        <v>44452</v>
      </c>
      <c r="E322" s="25" t="n">
        <v>2021</v>
      </c>
      <c r="F322" s="25" t="n">
        <v>3</v>
      </c>
      <c r="G322" s="25" t="n">
        <v>9</v>
      </c>
    </row>
    <row r="323" customFormat="false" ht="15" hidden="false" customHeight="false" outlineLevel="0" collapsed="false">
      <c r="A323" s="25" t="n">
        <v>20210914</v>
      </c>
      <c r="B323" s="25" t="s">
        <v>2251</v>
      </c>
      <c r="C323" s="27" t="b">
        <f aca="false">FALSE()</f>
        <v>0</v>
      </c>
      <c r="D323" s="26" t="n">
        <v>44453</v>
      </c>
      <c r="E323" s="25" t="n">
        <v>2021</v>
      </c>
      <c r="F323" s="25" t="n">
        <v>3</v>
      </c>
      <c r="G323" s="25" t="n">
        <v>9</v>
      </c>
    </row>
    <row r="324" customFormat="false" ht="15" hidden="false" customHeight="false" outlineLevel="0" collapsed="false">
      <c r="A324" s="25" t="n">
        <v>20210915</v>
      </c>
      <c r="B324" s="25" t="s">
        <v>2251</v>
      </c>
      <c r="C324" s="27" t="b">
        <f aca="false">FALSE()</f>
        <v>0</v>
      </c>
      <c r="D324" s="26" t="n">
        <v>44454</v>
      </c>
      <c r="E324" s="25" t="n">
        <v>2021</v>
      </c>
      <c r="F324" s="25" t="n">
        <v>3</v>
      </c>
      <c r="G324" s="25" t="n">
        <v>9</v>
      </c>
    </row>
    <row r="325" customFormat="false" ht="15" hidden="false" customHeight="false" outlineLevel="0" collapsed="false">
      <c r="A325" s="25" t="n">
        <v>20210916</v>
      </c>
      <c r="B325" s="25" t="s">
        <v>2251</v>
      </c>
      <c r="C325" s="27" t="b">
        <f aca="false">FALSE()</f>
        <v>0</v>
      </c>
      <c r="D325" s="26" t="n">
        <v>44455</v>
      </c>
      <c r="E325" s="25" t="n">
        <v>2021</v>
      </c>
      <c r="F325" s="25" t="n">
        <v>3</v>
      </c>
      <c r="G325" s="25" t="n">
        <v>9</v>
      </c>
    </row>
    <row r="326" customFormat="false" ht="15" hidden="false" customHeight="false" outlineLevel="0" collapsed="false">
      <c r="A326" s="25" t="n">
        <v>20210917</v>
      </c>
      <c r="B326" s="25" t="s">
        <v>2251</v>
      </c>
      <c r="C326" s="27" t="b">
        <f aca="false">FALSE()</f>
        <v>0</v>
      </c>
      <c r="D326" s="26" t="n">
        <v>44456</v>
      </c>
      <c r="E326" s="25" t="n">
        <v>2021</v>
      </c>
      <c r="F326" s="25" t="n">
        <v>3</v>
      </c>
      <c r="G326" s="25" t="n">
        <v>9</v>
      </c>
    </row>
    <row r="327" customFormat="false" ht="15" hidden="false" customHeight="false" outlineLevel="0" collapsed="false">
      <c r="A327" s="25" t="n">
        <v>20210918</v>
      </c>
      <c r="B327" s="25" t="s">
        <v>2251</v>
      </c>
      <c r="C327" s="27" t="b">
        <f aca="false">TRUE()</f>
        <v>1</v>
      </c>
      <c r="D327" s="26" t="n">
        <v>44457</v>
      </c>
      <c r="E327" s="25" t="n">
        <v>2021</v>
      </c>
      <c r="F327" s="25" t="n">
        <v>3</v>
      </c>
      <c r="G327" s="25" t="n">
        <v>9</v>
      </c>
    </row>
    <row r="328" customFormat="false" ht="15" hidden="false" customHeight="false" outlineLevel="0" collapsed="false">
      <c r="A328" s="25" t="n">
        <v>20210919</v>
      </c>
      <c r="B328" s="25" t="s">
        <v>2251</v>
      </c>
      <c r="C328" s="27" t="b">
        <f aca="false">TRUE()</f>
        <v>1</v>
      </c>
      <c r="D328" s="26" t="n">
        <v>44458</v>
      </c>
      <c r="E328" s="25" t="n">
        <v>2021</v>
      </c>
      <c r="F328" s="25" t="n">
        <v>3</v>
      </c>
      <c r="G328" s="25" t="n">
        <v>9</v>
      </c>
    </row>
    <row r="329" customFormat="false" ht="15" hidden="false" customHeight="false" outlineLevel="0" collapsed="false">
      <c r="A329" s="25" t="n">
        <v>20210920</v>
      </c>
      <c r="B329" s="25" t="s">
        <v>2251</v>
      </c>
      <c r="C329" s="27" t="b">
        <f aca="false">FALSE()</f>
        <v>0</v>
      </c>
      <c r="D329" s="26" t="n">
        <v>44459</v>
      </c>
      <c r="E329" s="25" t="n">
        <v>2021</v>
      </c>
      <c r="F329" s="25" t="n">
        <v>3</v>
      </c>
      <c r="G329" s="25" t="n">
        <v>9</v>
      </c>
    </row>
    <row r="330" customFormat="false" ht="15" hidden="false" customHeight="false" outlineLevel="0" collapsed="false">
      <c r="A330" s="25" t="n">
        <v>20210921</v>
      </c>
      <c r="B330" s="25" t="s">
        <v>2251</v>
      </c>
      <c r="C330" s="27" t="b">
        <f aca="false">FALSE()</f>
        <v>0</v>
      </c>
      <c r="D330" s="26" t="n">
        <v>44460</v>
      </c>
      <c r="E330" s="25" t="n">
        <v>2021</v>
      </c>
      <c r="F330" s="25" t="n">
        <v>3</v>
      </c>
      <c r="G330" s="25" t="n">
        <v>9</v>
      </c>
    </row>
    <row r="331" customFormat="false" ht="15" hidden="false" customHeight="false" outlineLevel="0" collapsed="false">
      <c r="A331" s="25" t="n">
        <v>20210922</v>
      </c>
      <c r="B331" s="25" t="s">
        <v>2251</v>
      </c>
      <c r="C331" s="27" t="b">
        <f aca="false">FALSE()</f>
        <v>0</v>
      </c>
      <c r="D331" s="26" t="n">
        <v>44461</v>
      </c>
      <c r="E331" s="25" t="n">
        <v>2021</v>
      </c>
      <c r="F331" s="25" t="n">
        <v>3</v>
      </c>
      <c r="G331" s="25" t="n">
        <v>9</v>
      </c>
    </row>
    <row r="332" customFormat="false" ht="15" hidden="false" customHeight="false" outlineLevel="0" collapsed="false">
      <c r="A332" s="25" t="n">
        <v>20210923</v>
      </c>
      <c r="B332" s="25" t="s">
        <v>2251</v>
      </c>
      <c r="C332" s="27" t="b">
        <f aca="false">FALSE()</f>
        <v>0</v>
      </c>
      <c r="D332" s="26" t="n">
        <v>44462</v>
      </c>
      <c r="E332" s="25" t="n">
        <v>2021</v>
      </c>
      <c r="F332" s="25" t="n">
        <v>3</v>
      </c>
      <c r="G332" s="25" t="n">
        <v>9</v>
      </c>
    </row>
    <row r="333" customFormat="false" ht="15" hidden="false" customHeight="false" outlineLevel="0" collapsed="false">
      <c r="A333" s="25" t="n">
        <v>20210924</v>
      </c>
      <c r="B333" s="25" t="s">
        <v>2251</v>
      </c>
      <c r="C333" s="27" t="b">
        <f aca="false">FALSE()</f>
        <v>0</v>
      </c>
      <c r="D333" s="26" t="n">
        <v>44463</v>
      </c>
      <c r="E333" s="25" t="n">
        <v>2021</v>
      </c>
      <c r="F333" s="25" t="n">
        <v>3</v>
      </c>
      <c r="G333" s="25" t="n">
        <v>9</v>
      </c>
    </row>
    <row r="334" customFormat="false" ht="15" hidden="false" customHeight="false" outlineLevel="0" collapsed="false">
      <c r="A334" s="25" t="n">
        <v>20210925</v>
      </c>
      <c r="B334" s="25" t="s">
        <v>2251</v>
      </c>
      <c r="C334" s="27" t="b">
        <f aca="false">TRUE()</f>
        <v>1</v>
      </c>
      <c r="D334" s="26" t="n">
        <v>44464</v>
      </c>
      <c r="E334" s="25" t="n">
        <v>2021</v>
      </c>
      <c r="F334" s="25" t="n">
        <v>3</v>
      </c>
      <c r="G334" s="25" t="n">
        <v>9</v>
      </c>
    </row>
    <row r="335" customFormat="false" ht="15" hidden="false" customHeight="false" outlineLevel="0" collapsed="false">
      <c r="A335" s="25" t="n">
        <v>20210926</v>
      </c>
      <c r="B335" s="25" t="s">
        <v>2251</v>
      </c>
      <c r="C335" s="27" t="b">
        <f aca="false">TRUE()</f>
        <v>1</v>
      </c>
      <c r="D335" s="26" t="n">
        <v>44465</v>
      </c>
      <c r="E335" s="25" t="n">
        <v>2021</v>
      </c>
      <c r="F335" s="25" t="n">
        <v>3</v>
      </c>
      <c r="G335" s="25" t="n">
        <v>9</v>
      </c>
    </row>
    <row r="336" customFormat="false" ht="15" hidden="false" customHeight="false" outlineLevel="0" collapsed="false">
      <c r="A336" s="25" t="n">
        <v>20210927</v>
      </c>
      <c r="B336" s="25" t="s">
        <v>2251</v>
      </c>
      <c r="C336" s="27" t="b">
        <f aca="false">FALSE()</f>
        <v>0</v>
      </c>
      <c r="D336" s="26" t="n">
        <v>44466</v>
      </c>
      <c r="E336" s="25" t="n">
        <v>2021</v>
      </c>
      <c r="F336" s="25" t="n">
        <v>3</v>
      </c>
      <c r="G336" s="25" t="n">
        <v>9</v>
      </c>
    </row>
    <row r="337" customFormat="false" ht="15" hidden="false" customHeight="false" outlineLevel="0" collapsed="false">
      <c r="A337" s="25" t="n">
        <v>20210928</v>
      </c>
      <c r="B337" s="25" t="s">
        <v>2251</v>
      </c>
      <c r="C337" s="27" t="b">
        <f aca="false">FALSE()</f>
        <v>0</v>
      </c>
      <c r="D337" s="26" t="n">
        <v>44467</v>
      </c>
      <c r="E337" s="25" t="n">
        <v>2021</v>
      </c>
      <c r="F337" s="25" t="n">
        <v>3</v>
      </c>
      <c r="G337" s="25" t="n">
        <v>9</v>
      </c>
    </row>
    <row r="338" customFormat="false" ht="15" hidden="false" customHeight="false" outlineLevel="0" collapsed="false">
      <c r="A338" s="25" t="n">
        <v>20210929</v>
      </c>
      <c r="B338" s="25" t="s">
        <v>2251</v>
      </c>
      <c r="C338" s="27" t="b">
        <f aca="false">FALSE()</f>
        <v>0</v>
      </c>
      <c r="D338" s="26" t="n">
        <v>44468</v>
      </c>
      <c r="E338" s="25" t="n">
        <v>2021</v>
      </c>
      <c r="F338" s="25" t="n">
        <v>3</v>
      </c>
      <c r="G338" s="25" t="n">
        <v>9</v>
      </c>
    </row>
    <row r="339" customFormat="false" ht="15" hidden="false" customHeight="false" outlineLevel="0" collapsed="false">
      <c r="A339" s="25" t="n">
        <v>20210930</v>
      </c>
      <c r="B339" s="25" t="s">
        <v>2251</v>
      </c>
      <c r="C339" s="27" t="b">
        <f aca="false">FALSE()</f>
        <v>0</v>
      </c>
      <c r="D339" s="26" t="n">
        <v>44469</v>
      </c>
      <c r="E339" s="25" t="n">
        <v>2021</v>
      </c>
      <c r="F339" s="25" t="n">
        <v>3</v>
      </c>
      <c r="G339" s="25" t="n">
        <v>9</v>
      </c>
    </row>
    <row r="340" customFormat="false" ht="15" hidden="false" customHeight="false" outlineLevel="0" collapsed="false">
      <c r="A340" s="25" t="n">
        <v>20211001</v>
      </c>
      <c r="B340" s="25" t="s">
        <v>2240</v>
      </c>
      <c r="C340" s="27" t="b">
        <f aca="false">FALSE()</f>
        <v>0</v>
      </c>
      <c r="D340" s="26" t="n">
        <v>44470</v>
      </c>
      <c r="E340" s="25" t="n">
        <v>2021</v>
      </c>
      <c r="F340" s="25" t="n">
        <v>4</v>
      </c>
      <c r="G340" s="25" t="n">
        <v>10</v>
      </c>
    </row>
    <row r="341" customFormat="false" ht="15" hidden="false" customHeight="false" outlineLevel="0" collapsed="false">
      <c r="A341" s="25" t="n">
        <v>20211002</v>
      </c>
      <c r="B341" s="25" t="s">
        <v>2240</v>
      </c>
      <c r="C341" s="27" t="b">
        <f aca="false">TRUE()</f>
        <v>1</v>
      </c>
      <c r="D341" s="26" t="n">
        <v>44471</v>
      </c>
      <c r="E341" s="25" t="n">
        <v>2021</v>
      </c>
      <c r="F341" s="25" t="n">
        <v>4</v>
      </c>
      <c r="G341" s="25" t="n">
        <v>10</v>
      </c>
    </row>
    <row r="342" customFormat="false" ht="15" hidden="false" customHeight="false" outlineLevel="0" collapsed="false">
      <c r="A342" s="25" t="n">
        <v>20211003</v>
      </c>
      <c r="B342" s="25" t="s">
        <v>2240</v>
      </c>
      <c r="C342" s="27" t="b">
        <f aca="false">TRUE()</f>
        <v>1</v>
      </c>
      <c r="D342" s="26" t="n">
        <v>44472</v>
      </c>
      <c r="E342" s="25" t="n">
        <v>2021</v>
      </c>
      <c r="F342" s="25" t="n">
        <v>4</v>
      </c>
      <c r="G342" s="25" t="n">
        <v>10</v>
      </c>
    </row>
    <row r="343" customFormat="false" ht="15" hidden="false" customHeight="false" outlineLevel="0" collapsed="false">
      <c r="A343" s="25" t="n">
        <v>20211004</v>
      </c>
      <c r="B343" s="25" t="s">
        <v>2240</v>
      </c>
      <c r="C343" s="27" t="b">
        <f aca="false">FALSE()</f>
        <v>0</v>
      </c>
      <c r="D343" s="26" t="n">
        <v>44473</v>
      </c>
      <c r="E343" s="25" t="n">
        <v>2021</v>
      </c>
      <c r="F343" s="25" t="n">
        <v>4</v>
      </c>
      <c r="G343" s="25" t="n">
        <v>10</v>
      </c>
    </row>
    <row r="344" customFormat="false" ht="15" hidden="false" customHeight="false" outlineLevel="0" collapsed="false">
      <c r="A344" s="25" t="n">
        <v>20211005</v>
      </c>
      <c r="B344" s="25" t="s">
        <v>2240</v>
      </c>
      <c r="C344" s="27" t="b">
        <f aca="false">FALSE()</f>
        <v>0</v>
      </c>
      <c r="D344" s="26" t="n">
        <v>44474</v>
      </c>
      <c r="E344" s="25" t="n">
        <v>2021</v>
      </c>
      <c r="F344" s="25" t="n">
        <v>4</v>
      </c>
      <c r="G344" s="25" t="n">
        <v>10</v>
      </c>
    </row>
    <row r="345" customFormat="false" ht="15" hidden="false" customHeight="false" outlineLevel="0" collapsed="false">
      <c r="A345" s="25" t="n">
        <v>20211006</v>
      </c>
      <c r="B345" s="25" t="s">
        <v>2240</v>
      </c>
      <c r="C345" s="27" t="b">
        <f aca="false">FALSE()</f>
        <v>0</v>
      </c>
      <c r="D345" s="26" t="n">
        <v>44475</v>
      </c>
      <c r="E345" s="25" t="n">
        <v>2021</v>
      </c>
      <c r="F345" s="25" t="n">
        <v>4</v>
      </c>
      <c r="G345" s="25" t="n">
        <v>10</v>
      </c>
    </row>
    <row r="346" customFormat="false" ht="15" hidden="false" customHeight="false" outlineLevel="0" collapsed="false">
      <c r="A346" s="25" t="n">
        <v>20211007</v>
      </c>
      <c r="B346" s="25" t="s">
        <v>2240</v>
      </c>
      <c r="C346" s="27" t="b">
        <f aca="false">FALSE()</f>
        <v>0</v>
      </c>
      <c r="D346" s="26" t="n">
        <v>44476</v>
      </c>
      <c r="E346" s="25" t="n">
        <v>2021</v>
      </c>
      <c r="F346" s="25" t="n">
        <v>4</v>
      </c>
      <c r="G346" s="25" t="n">
        <v>10</v>
      </c>
    </row>
    <row r="347" customFormat="false" ht="15" hidden="false" customHeight="false" outlineLevel="0" collapsed="false">
      <c r="A347" s="25" t="n">
        <v>20211008</v>
      </c>
      <c r="B347" s="25" t="s">
        <v>2240</v>
      </c>
      <c r="C347" s="27" t="b">
        <f aca="false">FALSE()</f>
        <v>0</v>
      </c>
      <c r="D347" s="26" t="n">
        <v>44477</v>
      </c>
      <c r="E347" s="25" t="n">
        <v>2021</v>
      </c>
      <c r="F347" s="25" t="n">
        <v>4</v>
      </c>
      <c r="G347" s="25" t="n">
        <v>10</v>
      </c>
    </row>
    <row r="348" customFormat="false" ht="15" hidden="false" customHeight="false" outlineLevel="0" collapsed="false">
      <c r="A348" s="25" t="n">
        <v>20211009</v>
      </c>
      <c r="B348" s="25" t="s">
        <v>2240</v>
      </c>
      <c r="C348" s="27" t="b">
        <f aca="false">TRUE()</f>
        <v>1</v>
      </c>
      <c r="D348" s="26" t="n">
        <v>44478</v>
      </c>
      <c r="E348" s="25" t="n">
        <v>2021</v>
      </c>
      <c r="F348" s="25" t="n">
        <v>4</v>
      </c>
      <c r="G348" s="25" t="n">
        <v>10</v>
      </c>
    </row>
    <row r="349" customFormat="false" ht="15" hidden="false" customHeight="false" outlineLevel="0" collapsed="false">
      <c r="A349" s="25" t="n">
        <v>20211010</v>
      </c>
      <c r="B349" s="25" t="s">
        <v>2240</v>
      </c>
      <c r="C349" s="27" t="b">
        <f aca="false">TRUE()</f>
        <v>1</v>
      </c>
      <c r="D349" s="26" t="n">
        <v>44479</v>
      </c>
      <c r="E349" s="25" t="n">
        <v>2021</v>
      </c>
      <c r="F349" s="25" t="n">
        <v>4</v>
      </c>
      <c r="G349" s="25" t="n">
        <v>10</v>
      </c>
    </row>
    <row r="350" customFormat="false" ht="15" hidden="false" customHeight="false" outlineLevel="0" collapsed="false">
      <c r="A350" s="25" t="n">
        <v>20211011</v>
      </c>
      <c r="B350" s="25" t="s">
        <v>2240</v>
      </c>
      <c r="C350" s="27" t="b">
        <f aca="false">FALSE()</f>
        <v>0</v>
      </c>
      <c r="D350" s="26" t="n">
        <v>44480</v>
      </c>
      <c r="E350" s="25" t="n">
        <v>2021</v>
      </c>
      <c r="F350" s="25" t="n">
        <v>4</v>
      </c>
      <c r="G350" s="25" t="n">
        <v>10</v>
      </c>
    </row>
    <row r="351" customFormat="false" ht="15" hidden="false" customHeight="false" outlineLevel="0" collapsed="false">
      <c r="A351" s="25" t="n">
        <v>20211012</v>
      </c>
      <c r="B351" s="25" t="s">
        <v>2240</v>
      </c>
      <c r="C351" s="27" t="b">
        <f aca="false">FALSE()</f>
        <v>0</v>
      </c>
      <c r="D351" s="26" t="n">
        <v>44481</v>
      </c>
      <c r="E351" s="25" t="n">
        <v>2021</v>
      </c>
      <c r="F351" s="25" t="n">
        <v>4</v>
      </c>
      <c r="G351" s="25" t="n">
        <v>10</v>
      </c>
    </row>
    <row r="352" customFormat="false" ht="15" hidden="false" customHeight="false" outlineLevel="0" collapsed="false">
      <c r="A352" s="25" t="n">
        <v>20211013</v>
      </c>
      <c r="B352" s="25" t="s">
        <v>2240</v>
      </c>
      <c r="C352" s="27" t="b">
        <f aca="false">FALSE()</f>
        <v>0</v>
      </c>
      <c r="D352" s="26" t="n">
        <v>44482</v>
      </c>
      <c r="E352" s="25" t="n">
        <v>2021</v>
      </c>
      <c r="F352" s="25" t="n">
        <v>4</v>
      </c>
      <c r="G352" s="25" t="n">
        <v>10</v>
      </c>
    </row>
    <row r="353" customFormat="false" ht="15" hidden="false" customHeight="false" outlineLevel="0" collapsed="false">
      <c r="A353" s="25" t="n">
        <v>20211014</v>
      </c>
      <c r="B353" s="25" t="s">
        <v>2240</v>
      </c>
      <c r="C353" s="27" t="b">
        <f aca="false">FALSE()</f>
        <v>0</v>
      </c>
      <c r="D353" s="26" t="n">
        <v>44483</v>
      </c>
      <c r="E353" s="25" t="n">
        <v>2021</v>
      </c>
      <c r="F353" s="25" t="n">
        <v>4</v>
      </c>
      <c r="G353" s="25" t="n">
        <v>10</v>
      </c>
    </row>
    <row r="354" customFormat="false" ht="15" hidden="false" customHeight="false" outlineLevel="0" collapsed="false">
      <c r="A354" s="25" t="n">
        <v>20211015</v>
      </c>
      <c r="B354" s="25" t="s">
        <v>2240</v>
      </c>
      <c r="C354" s="27" t="b">
        <f aca="false">FALSE()</f>
        <v>0</v>
      </c>
      <c r="D354" s="26" t="n">
        <v>44484</v>
      </c>
      <c r="E354" s="25" t="n">
        <v>2021</v>
      </c>
      <c r="F354" s="25" t="n">
        <v>4</v>
      </c>
      <c r="G354" s="25" t="n">
        <v>10</v>
      </c>
    </row>
    <row r="355" customFormat="false" ht="15" hidden="false" customHeight="false" outlineLevel="0" collapsed="false">
      <c r="A355" s="25" t="n">
        <v>20211016</v>
      </c>
      <c r="B355" s="25" t="s">
        <v>2240</v>
      </c>
      <c r="C355" s="27" t="b">
        <f aca="false">TRUE()</f>
        <v>1</v>
      </c>
      <c r="D355" s="26" t="n">
        <v>44485</v>
      </c>
      <c r="E355" s="25" t="n">
        <v>2021</v>
      </c>
      <c r="F355" s="25" t="n">
        <v>4</v>
      </c>
      <c r="G355" s="25" t="n">
        <v>10</v>
      </c>
    </row>
    <row r="356" customFormat="false" ht="15" hidden="false" customHeight="false" outlineLevel="0" collapsed="false">
      <c r="A356" s="25" t="n">
        <v>20211017</v>
      </c>
      <c r="B356" s="25" t="s">
        <v>2240</v>
      </c>
      <c r="C356" s="27" t="b">
        <f aca="false">TRUE()</f>
        <v>1</v>
      </c>
      <c r="D356" s="26" t="n">
        <v>44486</v>
      </c>
      <c r="E356" s="25" t="n">
        <v>2021</v>
      </c>
      <c r="F356" s="25" t="n">
        <v>4</v>
      </c>
      <c r="G356" s="25" t="n">
        <v>10</v>
      </c>
    </row>
    <row r="357" customFormat="false" ht="15" hidden="false" customHeight="false" outlineLevel="0" collapsed="false">
      <c r="A357" s="25" t="n">
        <v>20211018</v>
      </c>
      <c r="B357" s="25" t="s">
        <v>2240</v>
      </c>
      <c r="C357" s="27" t="b">
        <f aca="false">FALSE()</f>
        <v>0</v>
      </c>
      <c r="D357" s="26" t="n">
        <v>44487</v>
      </c>
      <c r="E357" s="25" t="n">
        <v>2021</v>
      </c>
      <c r="F357" s="25" t="n">
        <v>4</v>
      </c>
      <c r="G357" s="25" t="n">
        <v>10</v>
      </c>
    </row>
    <row r="358" customFormat="false" ht="15" hidden="false" customHeight="false" outlineLevel="0" collapsed="false">
      <c r="A358" s="25" t="n">
        <v>20211019</v>
      </c>
      <c r="B358" s="25" t="s">
        <v>2240</v>
      </c>
      <c r="C358" s="27" t="b">
        <f aca="false">FALSE()</f>
        <v>0</v>
      </c>
      <c r="D358" s="26" t="n">
        <v>44488</v>
      </c>
      <c r="E358" s="25" t="n">
        <v>2021</v>
      </c>
      <c r="F358" s="25" t="n">
        <v>4</v>
      </c>
      <c r="G358" s="25" t="n">
        <v>10</v>
      </c>
    </row>
    <row r="359" customFormat="false" ht="15" hidden="false" customHeight="false" outlineLevel="0" collapsed="false">
      <c r="A359" s="25" t="n">
        <v>20211020</v>
      </c>
      <c r="B359" s="25" t="s">
        <v>2240</v>
      </c>
      <c r="C359" s="27" t="b">
        <f aca="false">FALSE()</f>
        <v>0</v>
      </c>
      <c r="D359" s="26" t="n">
        <v>44489</v>
      </c>
      <c r="E359" s="25" t="n">
        <v>2021</v>
      </c>
      <c r="F359" s="25" t="n">
        <v>4</v>
      </c>
      <c r="G359" s="25" t="n">
        <v>10</v>
      </c>
    </row>
    <row r="360" customFormat="false" ht="15" hidden="false" customHeight="false" outlineLevel="0" collapsed="false">
      <c r="A360" s="25" t="n">
        <v>20211021</v>
      </c>
      <c r="B360" s="25" t="s">
        <v>2240</v>
      </c>
      <c r="C360" s="27" t="b">
        <f aca="false">FALSE()</f>
        <v>0</v>
      </c>
      <c r="D360" s="26" t="n">
        <v>44490</v>
      </c>
      <c r="E360" s="25" t="n">
        <v>2021</v>
      </c>
      <c r="F360" s="25" t="n">
        <v>4</v>
      </c>
      <c r="G360" s="25" t="n">
        <v>10</v>
      </c>
    </row>
    <row r="361" customFormat="false" ht="15" hidden="false" customHeight="false" outlineLevel="0" collapsed="false">
      <c r="A361" s="25" t="n">
        <v>20211022</v>
      </c>
      <c r="B361" s="25" t="s">
        <v>2240</v>
      </c>
      <c r="C361" s="27" t="b">
        <f aca="false">FALSE()</f>
        <v>0</v>
      </c>
      <c r="D361" s="26" t="n">
        <v>44491</v>
      </c>
      <c r="E361" s="25" t="n">
        <v>2021</v>
      </c>
      <c r="F361" s="25" t="n">
        <v>4</v>
      </c>
      <c r="G361" s="25" t="n">
        <v>10</v>
      </c>
    </row>
    <row r="362" customFormat="false" ht="15" hidden="false" customHeight="false" outlineLevel="0" collapsed="false">
      <c r="A362" s="25" t="n">
        <v>20211023</v>
      </c>
      <c r="B362" s="25" t="s">
        <v>2240</v>
      </c>
      <c r="C362" s="27" t="b">
        <f aca="false">TRUE()</f>
        <v>1</v>
      </c>
      <c r="D362" s="26" t="n">
        <v>44492</v>
      </c>
      <c r="E362" s="25" t="n">
        <v>2021</v>
      </c>
      <c r="F362" s="25" t="n">
        <v>4</v>
      </c>
      <c r="G362" s="25" t="n">
        <v>10</v>
      </c>
    </row>
    <row r="363" customFormat="false" ht="15" hidden="false" customHeight="false" outlineLevel="0" collapsed="false">
      <c r="A363" s="25" t="n">
        <v>20211024</v>
      </c>
      <c r="B363" s="25" t="s">
        <v>2240</v>
      </c>
      <c r="C363" s="27" t="b">
        <f aca="false">TRUE()</f>
        <v>1</v>
      </c>
      <c r="D363" s="26" t="n">
        <v>44493</v>
      </c>
      <c r="E363" s="25" t="n">
        <v>2021</v>
      </c>
      <c r="F363" s="25" t="n">
        <v>4</v>
      </c>
      <c r="G363" s="25" t="n">
        <v>10</v>
      </c>
    </row>
    <row r="364" customFormat="false" ht="15" hidden="false" customHeight="false" outlineLevel="0" collapsed="false">
      <c r="A364" s="25" t="n">
        <v>20211025</v>
      </c>
      <c r="B364" s="25" t="s">
        <v>2240</v>
      </c>
      <c r="C364" s="27" t="b">
        <f aca="false">FALSE()</f>
        <v>0</v>
      </c>
      <c r="D364" s="26" t="n">
        <v>44494</v>
      </c>
      <c r="E364" s="25" t="n">
        <v>2021</v>
      </c>
      <c r="F364" s="25" t="n">
        <v>4</v>
      </c>
      <c r="G364" s="25" t="n">
        <v>10</v>
      </c>
    </row>
    <row r="365" customFormat="false" ht="15" hidden="false" customHeight="false" outlineLevel="0" collapsed="false">
      <c r="A365" s="25" t="n">
        <v>20211026</v>
      </c>
      <c r="B365" s="25" t="s">
        <v>2240</v>
      </c>
      <c r="C365" s="27" t="b">
        <f aca="false">FALSE()</f>
        <v>0</v>
      </c>
      <c r="D365" s="26" t="n">
        <v>44495</v>
      </c>
      <c r="E365" s="25" t="n">
        <v>2021</v>
      </c>
      <c r="F365" s="25" t="n">
        <v>4</v>
      </c>
      <c r="G365" s="25" t="n">
        <v>10</v>
      </c>
    </row>
    <row r="366" customFormat="false" ht="15" hidden="false" customHeight="false" outlineLevel="0" collapsed="false">
      <c r="A366" s="25" t="n">
        <v>20211027</v>
      </c>
      <c r="B366" s="25" t="s">
        <v>2240</v>
      </c>
      <c r="C366" s="27" t="b">
        <f aca="false">FALSE()</f>
        <v>0</v>
      </c>
      <c r="D366" s="26" t="n">
        <v>44496</v>
      </c>
      <c r="E366" s="25" t="n">
        <v>2021</v>
      </c>
      <c r="F366" s="25" t="n">
        <v>4</v>
      </c>
      <c r="G366" s="25" t="n">
        <v>10</v>
      </c>
    </row>
    <row r="367" customFormat="false" ht="15" hidden="false" customHeight="false" outlineLevel="0" collapsed="false">
      <c r="A367" s="25" t="n">
        <v>20211028</v>
      </c>
      <c r="B367" s="25" t="s">
        <v>2240</v>
      </c>
      <c r="C367" s="27" t="b">
        <f aca="false">FALSE()</f>
        <v>0</v>
      </c>
      <c r="D367" s="26" t="n">
        <v>44497</v>
      </c>
      <c r="E367" s="25" t="n">
        <v>2021</v>
      </c>
      <c r="F367" s="25" t="n">
        <v>4</v>
      </c>
      <c r="G367" s="25" t="n">
        <v>10</v>
      </c>
    </row>
    <row r="368" customFormat="false" ht="15" hidden="false" customHeight="false" outlineLevel="0" collapsed="false">
      <c r="A368" s="25" t="n">
        <v>20211029</v>
      </c>
      <c r="B368" s="25" t="s">
        <v>2240</v>
      </c>
      <c r="C368" s="27" t="b">
        <f aca="false">FALSE()</f>
        <v>0</v>
      </c>
      <c r="D368" s="26" t="n">
        <v>44498</v>
      </c>
      <c r="E368" s="25" t="n">
        <v>2021</v>
      </c>
      <c r="F368" s="25" t="n">
        <v>4</v>
      </c>
      <c r="G368" s="25" t="n">
        <v>10</v>
      </c>
    </row>
    <row r="369" customFormat="false" ht="15" hidden="false" customHeight="false" outlineLevel="0" collapsed="false">
      <c r="A369" s="25" t="n">
        <v>20211030</v>
      </c>
      <c r="B369" s="25" t="s">
        <v>2240</v>
      </c>
      <c r="C369" s="27" t="b">
        <f aca="false">TRUE()</f>
        <v>1</v>
      </c>
      <c r="D369" s="26" t="n">
        <v>44499</v>
      </c>
      <c r="E369" s="25" t="n">
        <v>2021</v>
      </c>
      <c r="F369" s="25" t="n">
        <v>4</v>
      </c>
      <c r="G369" s="25" t="n">
        <v>10</v>
      </c>
    </row>
    <row r="370" customFormat="false" ht="15" hidden="false" customHeight="false" outlineLevel="0" collapsed="false">
      <c r="A370" s="25" t="n">
        <v>20211031</v>
      </c>
      <c r="B370" s="25" t="s">
        <v>2240</v>
      </c>
      <c r="C370" s="27" t="b">
        <f aca="false">TRUE()</f>
        <v>1</v>
      </c>
      <c r="D370" s="26" t="n">
        <v>44500</v>
      </c>
      <c r="E370" s="25" t="n">
        <v>2021</v>
      </c>
      <c r="F370" s="25" t="n">
        <v>4</v>
      </c>
      <c r="G370" s="25" t="n">
        <v>10</v>
      </c>
    </row>
    <row r="371" customFormat="false" ht="15" hidden="false" customHeight="false" outlineLevel="0" collapsed="false">
      <c r="A371" s="25" t="n">
        <v>20211101</v>
      </c>
      <c r="B371" s="25" t="s">
        <v>2241</v>
      </c>
      <c r="C371" s="27" t="b">
        <f aca="false">FALSE()</f>
        <v>0</v>
      </c>
      <c r="D371" s="26" t="n">
        <v>44501</v>
      </c>
      <c r="E371" s="25" t="n">
        <v>2021</v>
      </c>
      <c r="F371" s="25" t="n">
        <v>4</v>
      </c>
      <c r="G371" s="25" t="n">
        <v>11</v>
      </c>
    </row>
    <row r="372" customFormat="false" ht="15" hidden="false" customHeight="false" outlineLevel="0" collapsed="false">
      <c r="A372" s="25" t="n">
        <v>20211102</v>
      </c>
      <c r="B372" s="25" t="s">
        <v>2241</v>
      </c>
      <c r="C372" s="27" t="b">
        <f aca="false">FALSE()</f>
        <v>0</v>
      </c>
      <c r="D372" s="26" t="n">
        <v>44502</v>
      </c>
      <c r="E372" s="25" t="n">
        <v>2021</v>
      </c>
      <c r="F372" s="25" t="n">
        <v>4</v>
      </c>
      <c r="G372" s="25" t="n">
        <v>11</v>
      </c>
    </row>
    <row r="373" customFormat="false" ht="15" hidden="false" customHeight="false" outlineLevel="0" collapsed="false">
      <c r="A373" s="25" t="n">
        <v>20211103</v>
      </c>
      <c r="B373" s="25" t="s">
        <v>2241</v>
      </c>
      <c r="C373" s="27" t="b">
        <f aca="false">FALSE()</f>
        <v>0</v>
      </c>
      <c r="D373" s="26" t="n">
        <v>44503</v>
      </c>
      <c r="E373" s="25" t="n">
        <v>2021</v>
      </c>
      <c r="F373" s="25" t="n">
        <v>4</v>
      </c>
      <c r="G373" s="25" t="n">
        <v>11</v>
      </c>
    </row>
    <row r="374" customFormat="false" ht="15" hidden="false" customHeight="false" outlineLevel="0" collapsed="false">
      <c r="A374" s="25" t="n">
        <v>20211104</v>
      </c>
      <c r="B374" s="25" t="s">
        <v>2241</v>
      </c>
      <c r="C374" s="27" t="b">
        <f aca="false">FALSE()</f>
        <v>0</v>
      </c>
      <c r="D374" s="26" t="n">
        <v>44504</v>
      </c>
      <c r="E374" s="25" t="n">
        <v>2021</v>
      </c>
      <c r="F374" s="25" t="n">
        <v>4</v>
      </c>
      <c r="G374" s="25" t="n">
        <v>11</v>
      </c>
    </row>
    <row r="375" customFormat="false" ht="15" hidden="false" customHeight="false" outlineLevel="0" collapsed="false">
      <c r="A375" s="25" t="n">
        <v>20211105</v>
      </c>
      <c r="B375" s="25" t="s">
        <v>2241</v>
      </c>
      <c r="C375" s="27" t="b">
        <f aca="false">FALSE()</f>
        <v>0</v>
      </c>
      <c r="D375" s="26" t="n">
        <v>44505</v>
      </c>
      <c r="E375" s="25" t="n">
        <v>2021</v>
      </c>
      <c r="F375" s="25" t="n">
        <v>4</v>
      </c>
      <c r="G375" s="25" t="n">
        <v>11</v>
      </c>
    </row>
    <row r="376" customFormat="false" ht="15" hidden="false" customHeight="false" outlineLevel="0" collapsed="false">
      <c r="A376" s="25" t="n">
        <v>20211106</v>
      </c>
      <c r="B376" s="25" t="s">
        <v>2241</v>
      </c>
      <c r="C376" s="27" t="b">
        <f aca="false">TRUE()</f>
        <v>1</v>
      </c>
      <c r="D376" s="26" t="n">
        <v>44506</v>
      </c>
      <c r="E376" s="25" t="n">
        <v>2021</v>
      </c>
      <c r="F376" s="25" t="n">
        <v>4</v>
      </c>
      <c r="G376" s="25" t="n">
        <v>11</v>
      </c>
    </row>
    <row r="377" customFormat="false" ht="15" hidden="false" customHeight="false" outlineLevel="0" collapsed="false">
      <c r="A377" s="25" t="n">
        <v>20211107</v>
      </c>
      <c r="B377" s="25" t="s">
        <v>2241</v>
      </c>
      <c r="C377" s="27" t="b">
        <f aca="false">TRUE()</f>
        <v>1</v>
      </c>
      <c r="D377" s="26" t="n">
        <v>44507</v>
      </c>
      <c r="E377" s="25" t="n">
        <v>2021</v>
      </c>
      <c r="F377" s="25" t="n">
        <v>4</v>
      </c>
      <c r="G377" s="25" t="n">
        <v>11</v>
      </c>
    </row>
    <row r="378" customFormat="false" ht="15" hidden="false" customHeight="false" outlineLevel="0" collapsed="false">
      <c r="A378" s="25" t="n">
        <v>20211108</v>
      </c>
      <c r="B378" s="25" t="s">
        <v>2241</v>
      </c>
      <c r="C378" s="27" t="b">
        <f aca="false">FALSE()</f>
        <v>0</v>
      </c>
      <c r="D378" s="26" t="n">
        <v>44508</v>
      </c>
      <c r="E378" s="25" t="n">
        <v>2021</v>
      </c>
      <c r="F378" s="25" t="n">
        <v>4</v>
      </c>
      <c r="G378" s="25" t="n">
        <v>11</v>
      </c>
    </row>
    <row r="379" customFormat="false" ht="15" hidden="false" customHeight="false" outlineLevel="0" collapsed="false">
      <c r="A379" s="25" t="n">
        <v>20211109</v>
      </c>
      <c r="B379" s="25" t="s">
        <v>2241</v>
      </c>
      <c r="C379" s="27" t="b">
        <f aca="false">FALSE()</f>
        <v>0</v>
      </c>
      <c r="D379" s="26" t="n">
        <v>44509</v>
      </c>
      <c r="E379" s="25" t="n">
        <v>2021</v>
      </c>
      <c r="F379" s="25" t="n">
        <v>4</v>
      </c>
      <c r="G379" s="25" t="n">
        <v>11</v>
      </c>
    </row>
    <row r="380" customFormat="false" ht="15" hidden="false" customHeight="false" outlineLevel="0" collapsed="false">
      <c r="A380" s="25" t="n">
        <v>20211110</v>
      </c>
      <c r="B380" s="25" t="s">
        <v>2241</v>
      </c>
      <c r="C380" s="27" t="b">
        <f aca="false">FALSE()</f>
        <v>0</v>
      </c>
      <c r="D380" s="26" t="n">
        <v>44510</v>
      </c>
      <c r="E380" s="25" t="n">
        <v>2021</v>
      </c>
      <c r="F380" s="25" t="n">
        <v>4</v>
      </c>
      <c r="G380" s="25" t="n">
        <v>11</v>
      </c>
    </row>
    <row r="381" customFormat="false" ht="15" hidden="false" customHeight="false" outlineLevel="0" collapsed="false">
      <c r="A381" s="25" t="n">
        <v>20211111</v>
      </c>
      <c r="B381" s="25" t="s">
        <v>2241</v>
      </c>
      <c r="C381" s="27" t="b">
        <f aca="false">FALSE()</f>
        <v>0</v>
      </c>
      <c r="D381" s="26" t="n">
        <v>44511</v>
      </c>
      <c r="E381" s="25" t="n">
        <v>2021</v>
      </c>
      <c r="F381" s="25" t="n">
        <v>4</v>
      </c>
      <c r="G381" s="25" t="n">
        <v>11</v>
      </c>
    </row>
    <row r="382" customFormat="false" ht="15" hidden="false" customHeight="false" outlineLevel="0" collapsed="false">
      <c r="A382" s="25" t="n">
        <v>20211112</v>
      </c>
      <c r="B382" s="25" t="s">
        <v>2241</v>
      </c>
      <c r="C382" s="27" t="b">
        <f aca="false">FALSE()</f>
        <v>0</v>
      </c>
      <c r="D382" s="26" t="n">
        <v>44512</v>
      </c>
      <c r="E382" s="25" t="n">
        <v>2021</v>
      </c>
      <c r="F382" s="25" t="n">
        <v>4</v>
      </c>
      <c r="G382" s="25" t="n">
        <v>11</v>
      </c>
    </row>
    <row r="383" customFormat="false" ht="15" hidden="false" customHeight="false" outlineLevel="0" collapsed="false">
      <c r="A383" s="25" t="n">
        <v>20211113</v>
      </c>
      <c r="B383" s="25" t="s">
        <v>2241</v>
      </c>
      <c r="C383" s="27" t="b">
        <f aca="false">TRUE()</f>
        <v>1</v>
      </c>
      <c r="D383" s="26" t="n">
        <v>44513</v>
      </c>
      <c r="E383" s="25" t="n">
        <v>2021</v>
      </c>
      <c r="F383" s="25" t="n">
        <v>4</v>
      </c>
      <c r="G383" s="25" t="n">
        <v>11</v>
      </c>
    </row>
    <row r="384" customFormat="false" ht="15" hidden="false" customHeight="false" outlineLevel="0" collapsed="false">
      <c r="A384" s="25" t="n">
        <v>20211114</v>
      </c>
      <c r="B384" s="25" t="s">
        <v>2241</v>
      </c>
      <c r="C384" s="27" t="b">
        <f aca="false">TRUE()</f>
        <v>1</v>
      </c>
      <c r="D384" s="26" t="n">
        <v>44514</v>
      </c>
      <c r="E384" s="25" t="n">
        <v>2021</v>
      </c>
      <c r="F384" s="25" t="n">
        <v>4</v>
      </c>
      <c r="G384" s="25" t="n">
        <v>11</v>
      </c>
    </row>
    <row r="385" customFormat="false" ht="15" hidden="false" customHeight="false" outlineLevel="0" collapsed="false">
      <c r="A385" s="25" t="n">
        <v>20211115</v>
      </c>
      <c r="B385" s="25" t="s">
        <v>2241</v>
      </c>
      <c r="C385" s="27" t="b">
        <f aca="false">FALSE()</f>
        <v>0</v>
      </c>
      <c r="D385" s="26" t="n">
        <v>44515</v>
      </c>
      <c r="E385" s="25" t="n">
        <v>2021</v>
      </c>
      <c r="F385" s="25" t="n">
        <v>4</v>
      </c>
      <c r="G385" s="25" t="n">
        <v>11</v>
      </c>
    </row>
    <row r="386" customFormat="false" ht="15" hidden="false" customHeight="false" outlineLevel="0" collapsed="false">
      <c r="A386" s="25" t="n">
        <v>20211116</v>
      </c>
      <c r="B386" s="25" t="s">
        <v>2241</v>
      </c>
      <c r="C386" s="27" t="b">
        <f aca="false">FALSE()</f>
        <v>0</v>
      </c>
      <c r="D386" s="26" t="n">
        <v>44516</v>
      </c>
      <c r="E386" s="25" t="n">
        <v>2021</v>
      </c>
      <c r="F386" s="25" t="n">
        <v>4</v>
      </c>
      <c r="G386" s="25" t="n">
        <v>11</v>
      </c>
    </row>
    <row r="387" customFormat="false" ht="15" hidden="false" customHeight="false" outlineLevel="0" collapsed="false">
      <c r="A387" s="25" t="n">
        <v>20211117</v>
      </c>
      <c r="B387" s="25" t="s">
        <v>2241</v>
      </c>
      <c r="C387" s="27" t="b">
        <f aca="false">FALSE()</f>
        <v>0</v>
      </c>
      <c r="D387" s="26" t="n">
        <v>44517</v>
      </c>
      <c r="E387" s="25" t="n">
        <v>2021</v>
      </c>
      <c r="F387" s="25" t="n">
        <v>4</v>
      </c>
      <c r="G387" s="25" t="n">
        <v>11</v>
      </c>
    </row>
    <row r="388" customFormat="false" ht="15" hidden="false" customHeight="false" outlineLevel="0" collapsed="false">
      <c r="A388" s="25" t="n">
        <v>20211118</v>
      </c>
      <c r="B388" s="25" t="s">
        <v>2241</v>
      </c>
      <c r="C388" s="27" t="b">
        <f aca="false">FALSE()</f>
        <v>0</v>
      </c>
      <c r="D388" s="26" t="n">
        <v>44518</v>
      </c>
      <c r="E388" s="25" t="n">
        <v>2021</v>
      </c>
      <c r="F388" s="25" t="n">
        <v>4</v>
      </c>
      <c r="G388" s="25" t="n">
        <v>11</v>
      </c>
    </row>
    <row r="389" customFormat="false" ht="15" hidden="false" customHeight="false" outlineLevel="0" collapsed="false">
      <c r="A389" s="25" t="n">
        <v>20211119</v>
      </c>
      <c r="B389" s="25" t="s">
        <v>2241</v>
      </c>
      <c r="C389" s="27" t="b">
        <f aca="false">FALSE()</f>
        <v>0</v>
      </c>
      <c r="D389" s="26" t="n">
        <v>44519</v>
      </c>
      <c r="E389" s="25" t="n">
        <v>2021</v>
      </c>
      <c r="F389" s="25" t="n">
        <v>4</v>
      </c>
      <c r="G389" s="25" t="n">
        <v>11</v>
      </c>
    </row>
    <row r="390" customFormat="false" ht="15" hidden="false" customHeight="false" outlineLevel="0" collapsed="false">
      <c r="A390" s="25" t="n">
        <v>20211120</v>
      </c>
      <c r="B390" s="25" t="s">
        <v>2241</v>
      </c>
      <c r="C390" s="27" t="b">
        <f aca="false">TRUE()</f>
        <v>1</v>
      </c>
      <c r="D390" s="26" t="n">
        <v>44520</v>
      </c>
      <c r="E390" s="25" t="n">
        <v>2021</v>
      </c>
      <c r="F390" s="25" t="n">
        <v>4</v>
      </c>
      <c r="G390" s="25" t="n">
        <v>11</v>
      </c>
    </row>
    <row r="391" customFormat="false" ht="15" hidden="false" customHeight="false" outlineLevel="0" collapsed="false">
      <c r="A391" s="25" t="n">
        <v>20211121</v>
      </c>
      <c r="B391" s="25" t="s">
        <v>2241</v>
      </c>
      <c r="C391" s="27" t="b">
        <f aca="false">TRUE()</f>
        <v>1</v>
      </c>
      <c r="D391" s="26" t="n">
        <v>44521</v>
      </c>
      <c r="E391" s="25" t="n">
        <v>2021</v>
      </c>
      <c r="F391" s="25" t="n">
        <v>4</v>
      </c>
      <c r="G391" s="25" t="n">
        <v>11</v>
      </c>
    </row>
    <row r="392" customFormat="false" ht="15" hidden="false" customHeight="false" outlineLevel="0" collapsed="false">
      <c r="A392" s="25" t="n">
        <v>20211122</v>
      </c>
      <c r="B392" s="25" t="s">
        <v>2241</v>
      </c>
      <c r="C392" s="27" t="b">
        <f aca="false">FALSE()</f>
        <v>0</v>
      </c>
      <c r="D392" s="26" t="n">
        <v>44522</v>
      </c>
      <c r="E392" s="25" t="n">
        <v>2021</v>
      </c>
      <c r="F392" s="25" t="n">
        <v>4</v>
      </c>
      <c r="G392" s="25" t="n">
        <v>11</v>
      </c>
    </row>
    <row r="393" customFormat="false" ht="15" hidden="false" customHeight="false" outlineLevel="0" collapsed="false">
      <c r="A393" s="25" t="n">
        <v>20211123</v>
      </c>
      <c r="B393" s="25" t="s">
        <v>2241</v>
      </c>
      <c r="C393" s="27" t="b">
        <f aca="false">FALSE()</f>
        <v>0</v>
      </c>
      <c r="D393" s="26" t="n">
        <v>44523</v>
      </c>
      <c r="E393" s="25" t="n">
        <v>2021</v>
      </c>
      <c r="F393" s="25" t="n">
        <v>4</v>
      </c>
      <c r="G393" s="25" t="n">
        <v>11</v>
      </c>
    </row>
    <row r="394" customFormat="false" ht="15" hidden="false" customHeight="false" outlineLevel="0" collapsed="false">
      <c r="A394" s="25" t="n">
        <v>20211124</v>
      </c>
      <c r="B394" s="25" t="s">
        <v>2241</v>
      </c>
      <c r="C394" s="27" t="b">
        <f aca="false">FALSE()</f>
        <v>0</v>
      </c>
      <c r="D394" s="26" t="n">
        <v>44524</v>
      </c>
      <c r="E394" s="25" t="n">
        <v>2021</v>
      </c>
      <c r="F394" s="25" t="n">
        <v>4</v>
      </c>
      <c r="G394" s="25" t="n">
        <v>11</v>
      </c>
    </row>
    <row r="395" customFormat="false" ht="15" hidden="false" customHeight="false" outlineLevel="0" collapsed="false">
      <c r="A395" s="25" t="n">
        <v>20211125</v>
      </c>
      <c r="B395" s="25" t="s">
        <v>2241</v>
      </c>
      <c r="C395" s="27" t="b">
        <f aca="false">FALSE()</f>
        <v>0</v>
      </c>
      <c r="D395" s="26" t="n">
        <v>44525</v>
      </c>
      <c r="E395" s="25" t="n">
        <v>2021</v>
      </c>
      <c r="F395" s="25" t="n">
        <v>4</v>
      </c>
      <c r="G395" s="25" t="n">
        <v>11</v>
      </c>
    </row>
    <row r="396" customFormat="false" ht="15" hidden="false" customHeight="false" outlineLevel="0" collapsed="false">
      <c r="A396" s="25" t="n">
        <v>20211126</v>
      </c>
      <c r="B396" s="25" t="s">
        <v>2241</v>
      </c>
      <c r="C396" s="27" t="b">
        <f aca="false">FALSE()</f>
        <v>0</v>
      </c>
      <c r="D396" s="26" t="n">
        <v>44526</v>
      </c>
      <c r="E396" s="25" t="n">
        <v>2021</v>
      </c>
      <c r="F396" s="25" t="n">
        <v>4</v>
      </c>
      <c r="G396" s="25" t="n">
        <v>11</v>
      </c>
    </row>
    <row r="397" customFormat="false" ht="15" hidden="false" customHeight="false" outlineLevel="0" collapsed="false">
      <c r="A397" s="25" t="n">
        <v>20211127</v>
      </c>
      <c r="B397" s="25" t="s">
        <v>2241</v>
      </c>
      <c r="C397" s="27" t="b">
        <f aca="false">TRUE()</f>
        <v>1</v>
      </c>
      <c r="D397" s="26" t="n">
        <v>44527</v>
      </c>
      <c r="E397" s="25" t="n">
        <v>2021</v>
      </c>
      <c r="F397" s="25" t="n">
        <v>4</v>
      </c>
      <c r="G397" s="25" t="n">
        <v>11</v>
      </c>
    </row>
    <row r="398" customFormat="false" ht="15" hidden="false" customHeight="false" outlineLevel="0" collapsed="false">
      <c r="A398" s="25" t="n">
        <v>20211128</v>
      </c>
      <c r="B398" s="25" t="s">
        <v>2241</v>
      </c>
      <c r="C398" s="27" t="b">
        <f aca="false">TRUE()</f>
        <v>1</v>
      </c>
      <c r="D398" s="26" t="n">
        <v>44528</v>
      </c>
      <c r="E398" s="25" t="n">
        <v>2021</v>
      </c>
      <c r="F398" s="25" t="n">
        <v>4</v>
      </c>
      <c r="G398" s="25" t="n">
        <v>11</v>
      </c>
    </row>
    <row r="399" customFormat="false" ht="15" hidden="false" customHeight="false" outlineLevel="0" collapsed="false">
      <c r="A399" s="25" t="n">
        <v>20211129</v>
      </c>
      <c r="B399" s="25" t="s">
        <v>2241</v>
      </c>
      <c r="C399" s="27" t="b">
        <f aca="false">FALSE()</f>
        <v>0</v>
      </c>
      <c r="D399" s="26" t="n">
        <v>44529</v>
      </c>
      <c r="E399" s="25" t="n">
        <v>2021</v>
      </c>
      <c r="F399" s="25" t="n">
        <v>4</v>
      </c>
      <c r="G399" s="25" t="n">
        <v>11</v>
      </c>
    </row>
    <row r="400" customFormat="false" ht="15" hidden="false" customHeight="false" outlineLevel="0" collapsed="false">
      <c r="A400" s="25" t="n">
        <v>20211130</v>
      </c>
      <c r="B400" s="25" t="s">
        <v>2241</v>
      </c>
      <c r="C400" s="27" t="b">
        <f aca="false">FALSE()</f>
        <v>0</v>
      </c>
      <c r="D400" s="26" t="n">
        <v>44530</v>
      </c>
      <c r="E400" s="25" t="n">
        <v>2021</v>
      </c>
      <c r="F400" s="25" t="n">
        <v>4</v>
      </c>
      <c r="G400" s="25" t="n">
        <v>11</v>
      </c>
    </row>
    <row r="401" customFormat="false" ht="15" hidden="false" customHeight="false" outlineLevel="0" collapsed="false">
      <c r="A401" s="25" t="n">
        <v>20211201</v>
      </c>
      <c r="B401" s="25" t="s">
        <v>2242</v>
      </c>
      <c r="C401" s="27" t="b">
        <f aca="false">FALSE()</f>
        <v>0</v>
      </c>
      <c r="D401" s="26" t="n">
        <v>44531</v>
      </c>
      <c r="E401" s="25" t="n">
        <v>2021</v>
      </c>
      <c r="F401" s="25" t="n">
        <v>4</v>
      </c>
      <c r="G401" s="25" t="n">
        <v>12</v>
      </c>
    </row>
    <row r="402" customFormat="false" ht="15" hidden="false" customHeight="false" outlineLevel="0" collapsed="false">
      <c r="A402" s="25" t="n">
        <v>20211202</v>
      </c>
      <c r="B402" s="25" t="s">
        <v>2242</v>
      </c>
      <c r="C402" s="27" t="b">
        <f aca="false">FALSE()</f>
        <v>0</v>
      </c>
      <c r="D402" s="26" t="n">
        <v>44532</v>
      </c>
      <c r="E402" s="25" t="n">
        <v>2021</v>
      </c>
      <c r="F402" s="25" t="n">
        <v>4</v>
      </c>
      <c r="G402" s="25" t="n">
        <v>12</v>
      </c>
    </row>
    <row r="403" customFormat="false" ht="15" hidden="false" customHeight="false" outlineLevel="0" collapsed="false">
      <c r="A403" s="25" t="n">
        <v>20211203</v>
      </c>
      <c r="B403" s="25" t="s">
        <v>2242</v>
      </c>
      <c r="C403" s="27" t="b">
        <f aca="false">FALSE()</f>
        <v>0</v>
      </c>
      <c r="D403" s="26" t="n">
        <v>44533</v>
      </c>
      <c r="E403" s="25" t="n">
        <v>2021</v>
      </c>
      <c r="F403" s="25" t="n">
        <v>4</v>
      </c>
      <c r="G403" s="25" t="n">
        <v>12</v>
      </c>
    </row>
    <row r="404" customFormat="false" ht="15" hidden="false" customHeight="false" outlineLevel="0" collapsed="false">
      <c r="A404" s="25" t="n">
        <v>20211204</v>
      </c>
      <c r="B404" s="25" t="s">
        <v>2242</v>
      </c>
      <c r="C404" s="27" t="b">
        <f aca="false">TRUE()</f>
        <v>1</v>
      </c>
      <c r="D404" s="26" t="n">
        <v>44534</v>
      </c>
      <c r="E404" s="25" t="n">
        <v>2021</v>
      </c>
      <c r="F404" s="25" t="n">
        <v>4</v>
      </c>
      <c r="G404" s="25" t="n">
        <v>12</v>
      </c>
    </row>
    <row r="405" customFormat="false" ht="15" hidden="false" customHeight="false" outlineLevel="0" collapsed="false">
      <c r="A405" s="25" t="n">
        <v>20211205</v>
      </c>
      <c r="B405" s="25" t="s">
        <v>2242</v>
      </c>
      <c r="C405" s="27" t="b">
        <f aca="false">TRUE()</f>
        <v>1</v>
      </c>
      <c r="D405" s="26" t="n">
        <v>44535</v>
      </c>
      <c r="E405" s="25" t="n">
        <v>2021</v>
      </c>
      <c r="F405" s="25" t="n">
        <v>4</v>
      </c>
      <c r="G405" s="25" t="n">
        <v>12</v>
      </c>
    </row>
    <row r="406" customFormat="false" ht="15" hidden="false" customHeight="false" outlineLevel="0" collapsed="false">
      <c r="A406" s="25" t="n">
        <v>20211206</v>
      </c>
      <c r="B406" s="25" t="s">
        <v>2242</v>
      </c>
      <c r="C406" s="27" t="b">
        <f aca="false">FALSE()</f>
        <v>0</v>
      </c>
      <c r="D406" s="26" t="n">
        <v>44536</v>
      </c>
      <c r="E406" s="25" t="n">
        <v>2021</v>
      </c>
      <c r="F406" s="25" t="n">
        <v>4</v>
      </c>
      <c r="G406" s="25" t="n">
        <v>12</v>
      </c>
    </row>
    <row r="407" customFormat="false" ht="15" hidden="false" customHeight="false" outlineLevel="0" collapsed="false">
      <c r="A407" s="25" t="n">
        <v>20211207</v>
      </c>
      <c r="B407" s="25" t="s">
        <v>2242</v>
      </c>
      <c r="C407" s="27" t="b">
        <f aca="false">FALSE()</f>
        <v>0</v>
      </c>
      <c r="D407" s="26" t="n">
        <v>44537</v>
      </c>
      <c r="E407" s="25" t="n">
        <v>2021</v>
      </c>
      <c r="F407" s="25" t="n">
        <v>4</v>
      </c>
      <c r="G407" s="25" t="n">
        <v>12</v>
      </c>
    </row>
    <row r="408" customFormat="false" ht="15" hidden="false" customHeight="false" outlineLevel="0" collapsed="false">
      <c r="A408" s="25" t="n">
        <v>20211208</v>
      </c>
      <c r="B408" s="25" t="s">
        <v>2242</v>
      </c>
      <c r="C408" s="27" t="b">
        <f aca="false">FALSE()</f>
        <v>0</v>
      </c>
      <c r="D408" s="26" t="n">
        <v>44538</v>
      </c>
      <c r="E408" s="25" t="n">
        <v>2021</v>
      </c>
      <c r="F408" s="25" t="n">
        <v>4</v>
      </c>
      <c r="G408" s="25" t="n">
        <v>12</v>
      </c>
    </row>
    <row r="409" customFormat="false" ht="15" hidden="false" customHeight="false" outlineLevel="0" collapsed="false">
      <c r="A409" s="25" t="n">
        <v>20211209</v>
      </c>
      <c r="B409" s="25" t="s">
        <v>2242</v>
      </c>
      <c r="C409" s="27" t="b">
        <f aca="false">FALSE()</f>
        <v>0</v>
      </c>
      <c r="D409" s="26" t="n">
        <v>44539</v>
      </c>
      <c r="E409" s="25" t="n">
        <v>2021</v>
      </c>
      <c r="F409" s="25" t="n">
        <v>4</v>
      </c>
      <c r="G409" s="25" t="n">
        <v>12</v>
      </c>
    </row>
    <row r="410" customFormat="false" ht="15" hidden="false" customHeight="false" outlineLevel="0" collapsed="false">
      <c r="A410" s="25" t="n">
        <v>20211210</v>
      </c>
      <c r="B410" s="25" t="s">
        <v>2242</v>
      </c>
      <c r="C410" s="27" t="b">
        <f aca="false">FALSE()</f>
        <v>0</v>
      </c>
      <c r="D410" s="26" t="n">
        <v>44540</v>
      </c>
      <c r="E410" s="25" t="n">
        <v>2021</v>
      </c>
      <c r="F410" s="25" t="n">
        <v>4</v>
      </c>
      <c r="G410" s="25" t="n">
        <v>12</v>
      </c>
    </row>
    <row r="411" customFormat="false" ht="15" hidden="false" customHeight="false" outlineLevel="0" collapsed="false">
      <c r="A411" s="25" t="n">
        <v>20211211</v>
      </c>
      <c r="B411" s="25" t="s">
        <v>2242</v>
      </c>
      <c r="C411" s="27" t="b">
        <f aca="false">TRUE()</f>
        <v>1</v>
      </c>
      <c r="D411" s="26" t="n">
        <v>44541</v>
      </c>
      <c r="E411" s="25" t="n">
        <v>2021</v>
      </c>
      <c r="F411" s="25" t="n">
        <v>4</v>
      </c>
      <c r="G411" s="25" t="n">
        <v>12</v>
      </c>
    </row>
    <row r="412" customFormat="false" ht="15" hidden="false" customHeight="false" outlineLevel="0" collapsed="false">
      <c r="A412" s="25" t="n">
        <v>20211212</v>
      </c>
      <c r="B412" s="25" t="s">
        <v>2242</v>
      </c>
      <c r="C412" s="27" t="b">
        <f aca="false">TRUE()</f>
        <v>1</v>
      </c>
      <c r="D412" s="26" t="n">
        <v>44542</v>
      </c>
      <c r="E412" s="25" t="n">
        <v>2021</v>
      </c>
      <c r="F412" s="25" t="n">
        <v>4</v>
      </c>
      <c r="G412" s="25" t="n">
        <v>12</v>
      </c>
    </row>
    <row r="413" customFormat="false" ht="15" hidden="false" customHeight="false" outlineLevel="0" collapsed="false">
      <c r="A413" s="25" t="n">
        <v>20211213</v>
      </c>
      <c r="B413" s="25" t="s">
        <v>2242</v>
      </c>
      <c r="C413" s="27" t="b">
        <f aca="false">FALSE()</f>
        <v>0</v>
      </c>
      <c r="D413" s="26" t="n">
        <v>44543</v>
      </c>
      <c r="E413" s="25" t="n">
        <v>2021</v>
      </c>
      <c r="F413" s="25" t="n">
        <v>4</v>
      </c>
      <c r="G413" s="25" t="n">
        <v>12</v>
      </c>
    </row>
    <row r="414" customFormat="false" ht="15" hidden="false" customHeight="false" outlineLevel="0" collapsed="false">
      <c r="A414" s="25" t="n">
        <v>20211214</v>
      </c>
      <c r="B414" s="25" t="s">
        <v>2242</v>
      </c>
      <c r="C414" s="27" t="b">
        <f aca="false">FALSE()</f>
        <v>0</v>
      </c>
      <c r="D414" s="26" t="n">
        <v>44544</v>
      </c>
      <c r="E414" s="25" t="n">
        <v>2021</v>
      </c>
      <c r="F414" s="25" t="n">
        <v>4</v>
      </c>
      <c r="G414" s="25" t="n">
        <v>12</v>
      </c>
    </row>
    <row r="415" customFormat="false" ht="15" hidden="false" customHeight="false" outlineLevel="0" collapsed="false">
      <c r="A415" s="25" t="n">
        <v>20211215</v>
      </c>
      <c r="B415" s="25" t="s">
        <v>2242</v>
      </c>
      <c r="C415" s="27" t="b">
        <f aca="false">FALSE()</f>
        <v>0</v>
      </c>
      <c r="D415" s="26" t="n">
        <v>44545</v>
      </c>
      <c r="E415" s="25" t="n">
        <v>2021</v>
      </c>
      <c r="F415" s="25" t="n">
        <v>4</v>
      </c>
      <c r="G415" s="25" t="n">
        <v>12</v>
      </c>
    </row>
    <row r="416" customFormat="false" ht="15" hidden="false" customHeight="false" outlineLevel="0" collapsed="false">
      <c r="A416" s="25" t="n">
        <v>20211216</v>
      </c>
      <c r="B416" s="25" t="s">
        <v>2242</v>
      </c>
      <c r="C416" s="27" t="b">
        <f aca="false">FALSE()</f>
        <v>0</v>
      </c>
      <c r="D416" s="26" t="n">
        <v>44546</v>
      </c>
      <c r="E416" s="25" t="n">
        <v>2021</v>
      </c>
      <c r="F416" s="25" t="n">
        <v>4</v>
      </c>
      <c r="G416" s="25" t="n">
        <v>12</v>
      </c>
    </row>
    <row r="417" customFormat="false" ht="15" hidden="false" customHeight="false" outlineLevel="0" collapsed="false">
      <c r="A417" s="25" t="n">
        <v>20211217</v>
      </c>
      <c r="B417" s="25" t="s">
        <v>2242</v>
      </c>
      <c r="C417" s="27" t="b">
        <f aca="false">FALSE()</f>
        <v>0</v>
      </c>
      <c r="D417" s="26" t="n">
        <v>44547</v>
      </c>
      <c r="E417" s="25" t="n">
        <v>2021</v>
      </c>
      <c r="F417" s="25" t="n">
        <v>4</v>
      </c>
      <c r="G417" s="25" t="n">
        <v>12</v>
      </c>
    </row>
    <row r="418" customFormat="false" ht="15" hidden="false" customHeight="false" outlineLevel="0" collapsed="false">
      <c r="A418" s="25" t="n">
        <v>20211218</v>
      </c>
      <c r="B418" s="25" t="s">
        <v>2242</v>
      </c>
      <c r="C418" s="27" t="b">
        <f aca="false">TRUE()</f>
        <v>1</v>
      </c>
      <c r="D418" s="26" t="n">
        <v>44548</v>
      </c>
      <c r="E418" s="25" t="n">
        <v>2021</v>
      </c>
      <c r="F418" s="25" t="n">
        <v>4</v>
      </c>
      <c r="G418" s="25" t="n">
        <v>12</v>
      </c>
    </row>
    <row r="419" customFormat="false" ht="15" hidden="false" customHeight="false" outlineLevel="0" collapsed="false">
      <c r="A419" s="25" t="n">
        <v>20211219</v>
      </c>
      <c r="B419" s="25" t="s">
        <v>2242</v>
      </c>
      <c r="C419" s="27" t="b">
        <f aca="false">TRUE()</f>
        <v>1</v>
      </c>
      <c r="D419" s="26" t="n">
        <v>44549</v>
      </c>
      <c r="E419" s="25" t="n">
        <v>2021</v>
      </c>
      <c r="F419" s="25" t="n">
        <v>4</v>
      </c>
      <c r="G419" s="25" t="n">
        <v>12</v>
      </c>
    </row>
    <row r="420" customFormat="false" ht="15" hidden="false" customHeight="false" outlineLevel="0" collapsed="false">
      <c r="A420" s="25" t="n">
        <v>20211220</v>
      </c>
      <c r="B420" s="25" t="s">
        <v>2242</v>
      </c>
      <c r="C420" s="27" t="b">
        <f aca="false">FALSE()</f>
        <v>0</v>
      </c>
      <c r="D420" s="26" t="n">
        <v>44550</v>
      </c>
      <c r="E420" s="25" t="n">
        <v>2021</v>
      </c>
      <c r="F420" s="25" t="n">
        <v>4</v>
      </c>
      <c r="G420" s="25" t="n">
        <v>12</v>
      </c>
    </row>
    <row r="421" customFormat="false" ht="15" hidden="false" customHeight="false" outlineLevel="0" collapsed="false">
      <c r="A421" s="25" t="n">
        <v>20211221</v>
      </c>
      <c r="B421" s="25" t="s">
        <v>2242</v>
      </c>
      <c r="C421" s="27" t="b">
        <f aca="false">FALSE()</f>
        <v>0</v>
      </c>
      <c r="D421" s="26" t="n">
        <v>44551</v>
      </c>
      <c r="E421" s="25" t="n">
        <v>2021</v>
      </c>
      <c r="F421" s="25" t="n">
        <v>4</v>
      </c>
      <c r="G421" s="25" t="n">
        <v>12</v>
      </c>
    </row>
    <row r="422" customFormat="false" ht="15" hidden="false" customHeight="false" outlineLevel="0" collapsed="false">
      <c r="A422" s="25" t="n">
        <v>20211222</v>
      </c>
      <c r="B422" s="25" t="s">
        <v>2242</v>
      </c>
      <c r="C422" s="27" t="b">
        <f aca="false">FALSE()</f>
        <v>0</v>
      </c>
      <c r="D422" s="26" t="n">
        <v>44552</v>
      </c>
      <c r="E422" s="25" t="n">
        <v>2021</v>
      </c>
      <c r="F422" s="25" t="n">
        <v>4</v>
      </c>
      <c r="G422" s="25" t="n">
        <v>12</v>
      </c>
    </row>
    <row r="423" customFormat="false" ht="15" hidden="false" customHeight="false" outlineLevel="0" collapsed="false">
      <c r="A423" s="25" t="n">
        <v>20211223</v>
      </c>
      <c r="B423" s="25" t="s">
        <v>2242</v>
      </c>
      <c r="C423" s="27" t="b">
        <f aca="false">FALSE()</f>
        <v>0</v>
      </c>
      <c r="D423" s="26" t="n">
        <v>44553</v>
      </c>
      <c r="E423" s="25" t="n">
        <v>2021</v>
      </c>
      <c r="F423" s="25" t="n">
        <v>4</v>
      </c>
      <c r="G423" s="25" t="n">
        <v>12</v>
      </c>
    </row>
    <row r="424" customFormat="false" ht="15" hidden="false" customHeight="false" outlineLevel="0" collapsed="false">
      <c r="A424" s="25" t="n">
        <v>20211224</v>
      </c>
      <c r="B424" s="25" t="s">
        <v>2242</v>
      </c>
      <c r="C424" s="27" t="b">
        <f aca="false">FALSE()</f>
        <v>0</v>
      </c>
      <c r="D424" s="26" t="n">
        <v>44554</v>
      </c>
      <c r="E424" s="25" t="n">
        <v>2021</v>
      </c>
      <c r="F424" s="25" t="n">
        <v>4</v>
      </c>
      <c r="G424" s="25" t="n">
        <v>12</v>
      </c>
    </row>
    <row r="425" customFormat="false" ht="15" hidden="false" customHeight="false" outlineLevel="0" collapsed="false">
      <c r="A425" s="25" t="n">
        <v>20211225</v>
      </c>
      <c r="B425" s="25" t="s">
        <v>2242</v>
      </c>
      <c r="C425" s="27" t="b">
        <f aca="false">TRUE()</f>
        <v>1</v>
      </c>
      <c r="D425" s="26" t="n">
        <v>44555</v>
      </c>
      <c r="E425" s="25" t="n">
        <v>2021</v>
      </c>
      <c r="F425" s="25" t="n">
        <v>4</v>
      </c>
      <c r="G425" s="25" t="n">
        <v>12</v>
      </c>
    </row>
    <row r="426" customFormat="false" ht="15" hidden="false" customHeight="false" outlineLevel="0" collapsed="false">
      <c r="A426" s="25" t="n">
        <v>20211226</v>
      </c>
      <c r="B426" s="25" t="s">
        <v>2242</v>
      </c>
      <c r="C426" s="27" t="b">
        <f aca="false">TRUE()</f>
        <v>1</v>
      </c>
      <c r="D426" s="26" t="n">
        <v>44556</v>
      </c>
      <c r="E426" s="25" t="n">
        <v>2021</v>
      </c>
      <c r="F426" s="25" t="n">
        <v>4</v>
      </c>
      <c r="G426" s="25" t="n">
        <v>12</v>
      </c>
    </row>
    <row r="427" customFormat="false" ht="15" hidden="false" customHeight="false" outlineLevel="0" collapsed="false">
      <c r="A427" s="25" t="n">
        <v>20211227</v>
      </c>
      <c r="B427" s="25" t="s">
        <v>2242</v>
      </c>
      <c r="C427" s="27" t="b">
        <f aca="false">FALSE()</f>
        <v>0</v>
      </c>
      <c r="D427" s="26" t="n">
        <v>44557</v>
      </c>
      <c r="E427" s="25" t="n">
        <v>2021</v>
      </c>
      <c r="F427" s="25" t="n">
        <v>4</v>
      </c>
      <c r="G427" s="25" t="n">
        <v>12</v>
      </c>
    </row>
    <row r="428" customFormat="false" ht="15" hidden="false" customHeight="false" outlineLevel="0" collapsed="false">
      <c r="A428" s="25" t="n">
        <v>20211228</v>
      </c>
      <c r="B428" s="25" t="s">
        <v>2242</v>
      </c>
      <c r="C428" s="27" t="b">
        <f aca="false">FALSE()</f>
        <v>0</v>
      </c>
      <c r="D428" s="26" t="n">
        <v>44558</v>
      </c>
      <c r="E428" s="25" t="n">
        <v>2021</v>
      </c>
      <c r="F428" s="25" t="n">
        <v>4</v>
      </c>
      <c r="G428" s="25" t="n">
        <v>12</v>
      </c>
    </row>
    <row r="429" customFormat="false" ht="15" hidden="false" customHeight="false" outlineLevel="0" collapsed="false">
      <c r="A429" s="25" t="n">
        <v>20211229</v>
      </c>
      <c r="B429" s="25" t="s">
        <v>2242</v>
      </c>
      <c r="C429" s="27" t="b">
        <f aca="false">FALSE()</f>
        <v>0</v>
      </c>
      <c r="D429" s="26" t="n">
        <v>44559</v>
      </c>
      <c r="E429" s="25" t="n">
        <v>2021</v>
      </c>
      <c r="F429" s="25" t="n">
        <v>4</v>
      </c>
      <c r="G429" s="25" t="n">
        <v>12</v>
      </c>
    </row>
    <row r="430" customFormat="false" ht="15" hidden="false" customHeight="false" outlineLevel="0" collapsed="false">
      <c r="A430" s="25" t="n">
        <v>20211230</v>
      </c>
      <c r="B430" s="25" t="s">
        <v>2242</v>
      </c>
      <c r="C430" s="27" t="b">
        <f aca="false">FALSE()</f>
        <v>0</v>
      </c>
      <c r="D430" s="26" t="n">
        <v>44560</v>
      </c>
      <c r="E430" s="25" t="n">
        <v>2021</v>
      </c>
      <c r="F430" s="25" t="n">
        <v>4</v>
      </c>
      <c r="G430" s="25" t="n">
        <v>12</v>
      </c>
    </row>
    <row r="431" customFormat="false" ht="15" hidden="false" customHeight="false" outlineLevel="0" collapsed="false">
      <c r="A431" s="25" t="n">
        <v>20211231</v>
      </c>
      <c r="B431" s="25" t="s">
        <v>2242</v>
      </c>
      <c r="C431" s="27" t="b">
        <f aca="false">FALSE()</f>
        <v>0</v>
      </c>
      <c r="D431" s="26" t="n">
        <v>44561</v>
      </c>
      <c r="E431" s="25" t="n">
        <v>2021</v>
      </c>
      <c r="F431" s="25" t="n">
        <v>4</v>
      </c>
      <c r="G431" s="25" t="n">
        <v>12</v>
      </c>
    </row>
    <row r="432" customFormat="false" ht="15" hidden="false" customHeight="false" outlineLevel="0" collapsed="false">
      <c r="A432" s="25" t="n">
        <v>20220101</v>
      </c>
      <c r="B432" s="25" t="s">
        <v>2243</v>
      </c>
      <c r="C432" s="27" t="b">
        <f aca="false">TRUE()</f>
        <v>1</v>
      </c>
      <c r="D432" s="26" t="n">
        <v>44562</v>
      </c>
      <c r="E432" s="25" t="n">
        <v>2022</v>
      </c>
      <c r="F432" s="25" t="n">
        <v>1</v>
      </c>
      <c r="G432" s="25" t="n">
        <v>1</v>
      </c>
    </row>
    <row r="433" customFormat="false" ht="15" hidden="false" customHeight="false" outlineLevel="0" collapsed="false">
      <c r="A433" s="25" t="n">
        <v>20220102</v>
      </c>
      <c r="B433" s="25" t="s">
        <v>2243</v>
      </c>
      <c r="C433" s="27" t="b">
        <f aca="false">TRUE()</f>
        <v>1</v>
      </c>
      <c r="D433" s="26" t="n">
        <v>44563</v>
      </c>
      <c r="E433" s="25" t="n">
        <v>2022</v>
      </c>
      <c r="F433" s="25" t="n">
        <v>1</v>
      </c>
      <c r="G433" s="25" t="n">
        <v>1</v>
      </c>
    </row>
    <row r="434" customFormat="false" ht="15" hidden="false" customHeight="false" outlineLevel="0" collapsed="false">
      <c r="A434" s="25" t="n">
        <v>20220103</v>
      </c>
      <c r="B434" s="25" t="s">
        <v>2243</v>
      </c>
      <c r="C434" s="27" t="b">
        <f aca="false">FALSE()</f>
        <v>0</v>
      </c>
      <c r="D434" s="26" t="n">
        <v>44564</v>
      </c>
      <c r="E434" s="25" t="n">
        <v>2022</v>
      </c>
      <c r="F434" s="25" t="n">
        <v>1</v>
      </c>
      <c r="G434" s="25" t="n">
        <v>1</v>
      </c>
    </row>
    <row r="435" customFormat="false" ht="15" hidden="false" customHeight="false" outlineLevel="0" collapsed="false">
      <c r="A435" s="25" t="n">
        <v>20220104</v>
      </c>
      <c r="B435" s="25" t="s">
        <v>2243</v>
      </c>
      <c r="C435" s="27" t="b">
        <f aca="false">FALSE()</f>
        <v>0</v>
      </c>
      <c r="D435" s="26" t="n">
        <v>44565</v>
      </c>
      <c r="E435" s="25" t="n">
        <v>2022</v>
      </c>
      <c r="F435" s="25" t="n">
        <v>1</v>
      </c>
      <c r="G435" s="25" t="n">
        <v>1</v>
      </c>
    </row>
    <row r="436" customFormat="false" ht="15" hidden="false" customHeight="false" outlineLevel="0" collapsed="false">
      <c r="A436" s="25" t="n">
        <v>20220105</v>
      </c>
      <c r="B436" s="25" t="s">
        <v>2243</v>
      </c>
      <c r="C436" s="27" t="b">
        <f aca="false">FALSE()</f>
        <v>0</v>
      </c>
      <c r="D436" s="26" t="n">
        <v>44566</v>
      </c>
      <c r="E436" s="25" t="n">
        <v>2022</v>
      </c>
      <c r="F436" s="25" t="n">
        <v>1</v>
      </c>
      <c r="G436" s="25" t="n">
        <v>1</v>
      </c>
    </row>
    <row r="437" customFormat="false" ht="15" hidden="false" customHeight="false" outlineLevel="0" collapsed="false">
      <c r="A437" s="25" t="n">
        <v>20220106</v>
      </c>
      <c r="B437" s="25" t="s">
        <v>2243</v>
      </c>
      <c r="C437" s="27" t="b">
        <f aca="false">FALSE()</f>
        <v>0</v>
      </c>
      <c r="D437" s="26" t="n">
        <v>44567</v>
      </c>
      <c r="E437" s="25" t="n">
        <v>2022</v>
      </c>
      <c r="F437" s="25" t="n">
        <v>1</v>
      </c>
      <c r="G437" s="25" t="n">
        <v>1</v>
      </c>
    </row>
    <row r="438" customFormat="false" ht="15" hidden="false" customHeight="false" outlineLevel="0" collapsed="false">
      <c r="A438" s="25" t="n">
        <v>20220107</v>
      </c>
      <c r="B438" s="25" t="s">
        <v>2243</v>
      </c>
      <c r="C438" s="27" t="b">
        <f aca="false">FALSE()</f>
        <v>0</v>
      </c>
      <c r="D438" s="26" t="n">
        <v>44568</v>
      </c>
      <c r="E438" s="25" t="n">
        <v>2022</v>
      </c>
      <c r="F438" s="25" t="n">
        <v>1</v>
      </c>
      <c r="G438" s="25" t="n">
        <v>1</v>
      </c>
    </row>
    <row r="439" customFormat="false" ht="15" hidden="false" customHeight="false" outlineLevel="0" collapsed="false">
      <c r="A439" s="25" t="n">
        <v>20220108</v>
      </c>
      <c r="B439" s="25" t="s">
        <v>2243</v>
      </c>
      <c r="C439" s="27" t="b">
        <f aca="false">TRUE()</f>
        <v>1</v>
      </c>
      <c r="D439" s="26" t="n">
        <v>44569</v>
      </c>
      <c r="E439" s="25" t="n">
        <v>2022</v>
      </c>
      <c r="F439" s="25" t="n">
        <v>1</v>
      </c>
      <c r="G439" s="25" t="n">
        <v>1</v>
      </c>
    </row>
    <row r="440" customFormat="false" ht="15" hidden="false" customHeight="false" outlineLevel="0" collapsed="false">
      <c r="A440" s="25" t="n">
        <v>20220109</v>
      </c>
      <c r="B440" s="25" t="s">
        <v>2243</v>
      </c>
      <c r="C440" s="27" t="b">
        <f aca="false">TRUE()</f>
        <v>1</v>
      </c>
      <c r="D440" s="26" t="n">
        <v>44570</v>
      </c>
      <c r="E440" s="25" t="n">
        <v>2022</v>
      </c>
      <c r="F440" s="25" t="n">
        <v>1</v>
      </c>
      <c r="G440" s="25" t="n">
        <v>1</v>
      </c>
    </row>
    <row r="441" customFormat="false" ht="15" hidden="false" customHeight="false" outlineLevel="0" collapsed="false">
      <c r="A441" s="25" t="n">
        <v>20220110</v>
      </c>
      <c r="B441" s="25" t="s">
        <v>2243</v>
      </c>
      <c r="C441" s="27" t="b">
        <f aca="false">FALSE()</f>
        <v>0</v>
      </c>
      <c r="D441" s="26" t="n">
        <v>44571</v>
      </c>
      <c r="E441" s="25" t="n">
        <v>2022</v>
      </c>
      <c r="F441" s="25" t="n">
        <v>1</v>
      </c>
      <c r="G441" s="25" t="n">
        <v>1</v>
      </c>
    </row>
    <row r="442" customFormat="false" ht="15" hidden="false" customHeight="false" outlineLevel="0" collapsed="false">
      <c r="A442" s="25" t="n">
        <v>20220111</v>
      </c>
      <c r="B442" s="25" t="s">
        <v>2243</v>
      </c>
      <c r="C442" s="27" t="b">
        <f aca="false">FALSE()</f>
        <v>0</v>
      </c>
      <c r="D442" s="26" t="n">
        <v>44572</v>
      </c>
      <c r="E442" s="25" t="n">
        <v>2022</v>
      </c>
      <c r="F442" s="25" t="n">
        <v>1</v>
      </c>
      <c r="G442" s="25" t="n">
        <v>1</v>
      </c>
    </row>
    <row r="443" customFormat="false" ht="15" hidden="false" customHeight="false" outlineLevel="0" collapsed="false">
      <c r="A443" s="25" t="n">
        <v>20220112</v>
      </c>
      <c r="B443" s="25" t="s">
        <v>2243</v>
      </c>
      <c r="C443" s="27" t="b">
        <f aca="false">FALSE()</f>
        <v>0</v>
      </c>
      <c r="D443" s="26" t="n">
        <v>44573</v>
      </c>
      <c r="E443" s="25" t="n">
        <v>2022</v>
      </c>
      <c r="F443" s="25" t="n">
        <v>1</v>
      </c>
      <c r="G443" s="25" t="n">
        <v>1</v>
      </c>
    </row>
    <row r="444" customFormat="false" ht="15" hidden="false" customHeight="false" outlineLevel="0" collapsed="false">
      <c r="A444" s="25" t="n">
        <v>20220113</v>
      </c>
      <c r="B444" s="25" t="s">
        <v>2243</v>
      </c>
      <c r="C444" s="27" t="b">
        <f aca="false">FALSE()</f>
        <v>0</v>
      </c>
      <c r="D444" s="26" t="n">
        <v>44574</v>
      </c>
      <c r="E444" s="25" t="n">
        <v>2022</v>
      </c>
      <c r="F444" s="25" t="n">
        <v>1</v>
      </c>
      <c r="G444" s="25" t="n">
        <v>1</v>
      </c>
    </row>
    <row r="445" customFormat="false" ht="15" hidden="false" customHeight="false" outlineLevel="0" collapsed="false">
      <c r="A445" s="25" t="n">
        <v>20220114</v>
      </c>
      <c r="B445" s="25" t="s">
        <v>2243</v>
      </c>
      <c r="C445" s="27" t="b">
        <f aca="false">FALSE()</f>
        <v>0</v>
      </c>
      <c r="D445" s="26" t="n">
        <v>44575</v>
      </c>
      <c r="E445" s="25" t="n">
        <v>2022</v>
      </c>
      <c r="F445" s="25" t="n">
        <v>1</v>
      </c>
      <c r="G445" s="25" t="n">
        <v>1</v>
      </c>
    </row>
    <row r="446" customFormat="false" ht="15" hidden="false" customHeight="false" outlineLevel="0" collapsed="false">
      <c r="A446" s="25" t="n">
        <v>20220115</v>
      </c>
      <c r="B446" s="25" t="s">
        <v>2243</v>
      </c>
      <c r="C446" s="27" t="b">
        <f aca="false">TRUE()</f>
        <v>1</v>
      </c>
      <c r="D446" s="26" t="n">
        <v>44576</v>
      </c>
      <c r="E446" s="25" t="n">
        <v>2022</v>
      </c>
      <c r="F446" s="25" t="n">
        <v>1</v>
      </c>
      <c r="G446" s="25" t="n">
        <v>1</v>
      </c>
    </row>
    <row r="447" customFormat="false" ht="15" hidden="false" customHeight="false" outlineLevel="0" collapsed="false">
      <c r="A447" s="25" t="n">
        <v>20220116</v>
      </c>
      <c r="B447" s="25" t="s">
        <v>2243</v>
      </c>
      <c r="C447" s="27" t="b">
        <f aca="false">TRUE()</f>
        <v>1</v>
      </c>
      <c r="D447" s="26" t="n">
        <v>44577</v>
      </c>
      <c r="E447" s="25" t="n">
        <v>2022</v>
      </c>
      <c r="F447" s="25" t="n">
        <v>1</v>
      </c>
      <c r="G447" s="25" t="n">
        <v>1</v>
      </c>
    </row>
    <row r="448" customFormat="false" ht="15" hidden="false" customHeight="false" outlineLevel="0" collapsed="false">
      <c r="A448" s="25" t="n">
        <v>20220117</v>
      </c>
      <c r="B448" s="25" t="s">
        <v>2243</v>
      </c>
      <c r="C448" s="27" t="b">
        <f aca="false">FALSE()</f>
        <v>0</v>
      </c>
      <c r="D448" s="26" t="n">
        <v>44578</v>
      </c>
      <c r="E448" s="25" t="n">
        <v>2022</v>
      </c>
      <c r="F448" s="25" t="n">
        <v>1</v>
      </c>
      <c r="G448" s="25" t="n">
        <v>1</v>
      </c>
    </row>
    <row r="449" customFormat="false" ht="15" hidden="false" customHeight="false" outlineLevel="0" collapsed="false">
      <c r="A449" s="25" t="n">
        <v>20220118</v>
      </c>
      <c r="B449" s="25" t="s">
        <v>2243</v>
      </c>
      <c r="C449" s="27" t="b">
        <f aca="false">FALSE()</f>
        <v>0</v>
      </c>
      <c r="D449" s="26" t="n">
        <v>44579</v>
      </c>
      <c r="E449" s="25" t="n">
        <v>2022</v>
      </c>
      <c r="F449" s="25" t="n">
        <v>1</v>
      </c>
      <c r="G449" s="25" t="n">
        <v>1</v>
      </c>
    </row>
    <row r="450" customFormat="false" ht="15" hidden="false" customHeight="false" outlineLevel="0" collapsed="false">
      <c r="A450" s="25" t="n">
        <v>20220119</v>
      </c>
      <c r="B450" s="25" t="s">
        <v>2243</v>
      </c>
      <c r="C450" s="27" t="b">
        <f aca="false">FALSE()</f>
        <v>0</v>
      </c>
      <c r="D450" s="26" t="n">
        <v>44580</v>
      </c>
      <c r="E450" s="25" t="n">
        <v>2022</v>
      </c>
      <c r="F450" s="25" t="n">
        <v>1</v>
      </c>
      <c r="G450" s="25" t="n">
        <v>1</v>
      </c>
    </row>
    <row r="451" customFormat="false" ht="15" hidden="false" customHeight="false" outlineLevel="0" collapsed="false">
      <c r="A451" s="25" t="n">
        <v>20220120</v>
      </c>
      <c r="B451" s="25" t="s">
        <v>2243</v>
      </c>
      <c r="C451" s="27" t="b">
        <f aca="false">FALSE()</f>
        <v>0</v>
      </c>
      <c r="D451" s="26" t="n">
        <v>44581</v>
      </c>
      <c r="E451" s="25" t="n">
        <v>2022</v>
      </c>
      <c r="F451" s="25" t="n">
        <v>1</v>
      </c>
      <c r="G451" s="25" t="n">
        <v>1</v>
      </c>
    </row>
    <row r="452" customFormat="false" ht="15" hidden="false" customHeight="false" outlineLevel="0" collapsed="false">
      <c r="A452" s="25" t="n">
        <v>20220121</v>
      </c>
      <c r="B452" s="25" t="s">
        <v>2243</v>
      </c>
      <c r="C452" s="27" t="b">
        <f aca="false">FALSE()</f>
        <v>0</v>
      </c>
      <c r="D452" s="26" t="n">
        <v>44582</v>
      </c>
      <c r="E452" s="25" t="n">
        <v>2022</v>
      </c>
      <c r="F452" s="25" t="n">
        <v>1</v>
      </c>
      <c r="G452" s="25" t="n">
        <v>1</v>
      </c>
    </row>
    <row r="453" customFormat="false" ht="15" hidden="false" customHeight="false" outlineLevel="0" collapsed="false">
      <c r="A453" s="25" t="n">
        <v>20220122</v>
      </c>
      <c r="B453" s="25" t="s">
        <v>2243</v>
      </c>
      <c r="C453" s="27" t="b">
        <f aca="false">TRUE()</f>
        <v>1</v>
      </c>
      <c r="D453" s="26" t="n">
        <v>44583</v>
      </c>
      <c r="E453" s="25" t="n">
        <v>2022</v>
      </c>
      <c r="F453" s="25" t="n">
        <v>1</v>
      </c>
      <c r="G453" s="25" t="n">
        <v>1</v>
      </c>
    </row>
    <row r="454" customFormat="false" ht="15" hidden="false" customHeight="false" outlineLevel="0" collapsed="false">
      <c r="A454" s="25" t="n">
        <v>20220123</v>
      </c>
      <c r="B454" s="25" t="s">
        <v>2243</v>
      </c>
      <c r="C454" s="27" t="b">
        <f aca="false">TRUE()</f>
        <v>1</v>
      </c>
      <c r="D454" s="26" t="n">
        <v>44584</v>
      </c>
      <c r="E454" s="25" t="n">
        <v>2022</v>
      </c>
      <c r="F454" s="25" t="n">
        <v>1</v>
      </c>
      <c r="G454" s="25" t="n">
        <v>1</v>
      </c>
    </row>
    <row r="455" customFormat="false" ht="15" hidden="false" customHeight="false" outlineLevel="0" collapsed="false">
      <c r="A455" s="25" t="n">
        <v>20220124</v>
      </c>
      <c r="B455" s="25" t="s">
        <v>2243</v>
      </c>
      <c r="C455" s="27" t="b">
        <f aca="false">FALSE()</f>
        <v>0</v>
      </c>
      <c r="D455" s="26" t="n">
        <v>44585</v>
      </c>
      <c r="E455" s="25" t="n">
        <v>2022</v>
      </c>
      <c r="F455" s="25" t="n">
        <v>1</v>
      </c>
      <c r="G455" s="25" t="n">
        <v>1</v>
      </c>
    </row>
    <row r="456" customFormat="false" ht="15" hidden="false" customHeight="false" outlineLevel="0" collapsed="false">
      <c r="A456" s="25" t="n">
        <v>20220125</v>
      </c>
      <c r="B456" s="25" t="s">
        <v>2243</v>
      </c>
      <c r="C456" s="27" t="b">
        <f aca="false">FALSE()</f>
        <v>0</v>
      </c>
      <c r="D456" s="26" t="n">
        <v>44586</v>
      </c>
      <c r="E456" s="25" t="n">
        <v>2022</v>
      </c>
      <c r="F456" s="25" t="n">
        <v>1</v>
      </c>
      <c r="G456" s="25" t="n">
        <v>1</v>
      </c>
    </row>
    <row r="457" customFormat="false" ht="15" hidden="false" customHeight="false" outlineLevel="0" collapsed="false">
      <c r="A457" s="25" t="n">
        <v>20220126</v>
      </c>
      <c r="B457" s="25" t="s">
        <v>2243</v>
      </c>
      <c r="C457" s="27" t="b">
        <f aca="false">FALSE()</f>
        <v>0</v>
      </c>
      <c r="D457" s="26" t="n">
        <v>44587</v>
      </c>
      <c r="E457" s="25" t="n">
        <v>2022</v>
      </c>
      <c r="F457" s="25" t="n">
        <v>1</v>
      </c>
      <c r="G457" s="25" t="n">
        <v>1</v>
      </c>
    </row>
    <row r="458" customFormat="false" ht="15" hidden="false" customHeight="false" outlineLevel="0" collapsed="false">
      <c r="A458" s="25" t="n">
        <v>20220127</v>
      </c>
      <c r="B458" s="25" t="s">
        <v>2243</v>
      </c>
      <c r="C458" s="27" t="b">
        <f aca="false">FALSE()</f>
        <v>0</v>
      </c>
      <c r="D458" s="26" t="n">
        <v>44588</v>
      </c>
      <c r="E458" s="25" t="n">
        <v>2022</v>
      </c>
      <c r="F458" s="25" t="n">
        <v>1</v>
      </c>
      <c r="G458" s="25" t="n">
        <v>1</v>
      </c>
    </row>
    <row r="459" customFormat="false" ht="15" hidden="false" customHeight="false" outlineLevel="0" collapsed="false">
      <c r="A459" s="25" t="n">
        <v>20220128</v>
      </c>
      <c r="B459" s="25" t="s">
        <v>2243</v>
      </c>
      <c r="C459" s="27" t="b">
        <f aca="false">FALSE()</f>
        <v>0</v>
      </c>
      <c r="D459" s="26" t="n">
        <v>44589</v>
      </c>
      <c r="E459" s="25" t="n">
        <v>2022</v>
      </c>
      <c r="F459" s="25" t="n">
        <v>1</v>
      </c>
      <c r="G459" s="25" t="n">
        <v>1</v>
      </c>
    </row>
    <row r="460" customFormat="false" ht="15" hidden="false" customHeight="false" outlineLevel="0" collapsed="false">
      <c r="A460" s="25" t="n">
        <v>20220129</v>
      </c>
      <c r="B460" s="25" t="s">
        <v>2243</v>
      </c>
      <c r="C460" s="27" t="b">
        <f aca="false">TRUE()</f>
        <v>1</v>
      </c>
      <c r="D460" s="26" t="n">
        <v>44590</v>
      </c>
      <c r="E460" s="25" t="n">
        <v>2022</v>
      </c>
      <c r="F460" s="25" t="n">
        <v>1</v>
      </c>
      <c r="G460" s="25" t="n">
        <v>1</v>
      </c>
    </row>
    <row r="461" customFormat="false" ht="15" hidden="false" customHeight="false" outlineLevel="0" collapsed="false">
      <c r="A461" s="25" t="n">
        <v>20220130</v>
      </c>
      <c r="B461" s="25" t="s">
        <v>2243</v>
      </c>
      <c r="C461" s="27" t="b">
        <f aca="false">TRUE()</f>
        <v>1</v>
      </c>
      <c r="D461" s="26" t="n">
        <v>44591</v>
      </c>
      <c r="E461" s="25" t="n">
        <v>2022</v>
      </c>
      <c r="F461" s="25" t="n">
        <v>1</v>
      </c>
      <c r="G461" s="25" t="n">
        <v>1</v>
      </c>
    </row>
    <row r="462" customFormat="false" ht="15" hidden="false" customHeight="false" outlineLevel="0" collapsed="false">
      <c r="A462" s="25" t="n">
        <v>20220131</v>
      </c>
      <c r="B462" s="25" t="s">
        <v>2243</v>
      </c>
      <c r="C462" s="27" t="b">
        <f aca="false">FALSE()</f>
        <v>0</v>
      </c>
      <c r="D462" s="26" t="n">
        <v>44592</v>
      </c>
      <c r="E462" s="25" t="n">
        <v>2022</v>
      </c>
      <c r="F462" s="25" t="n">
        <v>1</v>
      </c>
      <c r="G462" s="25" t="n">
        <v>1</v>
      </c>
    </row>
    <row r="463" customFormat="false" ht="15" hidden="false" customHeight="false" outlineLevel="0" collapsed="false">
      <c r="A463" s="25" t="n">
        <v>20220201</v>
      </c>
      <c r="B463" s="25" t="s">
        <v>2244</v>
      </c>
      <c r="C463" s="27" t="b">
        <f aca="false">FALSE()</f>
        <v>0</v>
      </c>
      <c r="D463" s="26" t="n">
        <v>44593</v>
      </c>
      <c r="E463" s="25" t="n">
        <v>2022</v>
      </c>
      <c r="F463" s="25" t="n">
        <v>1</v>
      </c>
      <c r="G463" s="25" t="n">
        <v>2</v>
      </c>
    </row>
    <row r="464" customFormat="false" ht="15" hidden="false" customHeight="false" outlineLevel="0" collapsed="false">
      <c r="A464" s="25" t="n">
        <v>20220202</v>
      </c>
      <c r="B464" s="25" t="s">
        <v>2244</v>
      </c>
      <c r="C464" s="27" t="b">
        <f aca="false">FALSE()</f>
        <v>0</v>
      </c>
      <c r="D464" s="26" t="n">
        <v>44594</v>
      </c>
      <c r="E464" s="25" t="n">
        <v>2022</v>
      </c>
      <c r="F464" s="25" t="n">
        <v>1</v>
      </c>
      <c r="G464" s="25" t="n">
        <v>2</v>
      </c>
    </row>
    <row r="465" customFormat="false" ht="15" hidden="false" customHeight="false" outlineLevel="0" collapsed="false">
      <c r="A465" s="25" t="n">
        <v>20220203</v>
      </c>
      <c r="B465" s="25" t="s">
        <v>2244</v>
      </c>
      <c r="C465" s="27" t="b">
        <f aca="false">FALSE()</f>
        <v>0</v>
      </c>
      <c r="D465" s="26" t="n">
        <v>44595</v>
      </c>
      <c r="E465" s="25" t="n">
        <v>2022</v>
      </c>
      <c r="F465" s="25" t="n">
        <v>1</v>
      </c>
      <c r="G465" s="25" t="n">
        <v>2</v>
      </c>
    </row>
    <row r="466" customFormat="false" ht="15" hidden="false" customHeight="false" outlineLevel="0" collapsed="false">
      <c r="A466" s="25" t="n">
        <v>20220204</v>
      </c>
      <c r="B466" s="25" t="s">
        <v>2244</v>
      </c>
      <c r="C466" s="27" t="b">
        <f aca="false">FALSE()</f>
        <v>0</v>
      </c>
      <c r="D466" s="26" t="n">
        <v>44596</v>
      </c>
      <c r="E466" s="25" t="n">
        <v>2022</v>
      </c>
      <c r="F466" s="25" t="n">
        <v>1</v>
      </c>
      <c r="G466" s="25" t="n">
        <v>2</v>
      </c>
    </row>
    <row r="467" customFormat="false" ht="15" hidden="false" customHeight="false" outlineLevel="0" collapsed="false">
      <c r="A467" s="25" t="n">
        <v>20220205</v>
      </c>
      <c r="B467" s="25" t="s">
        <v>2244</v>
      </c>
      <c r="C467" s="27" t="b">
        <f aca="false">TRUE()</f>
        <v>1</v>
      </c>
      <c r="D467" s="26" t="n">
        <v>44597</v>
      </c>
      <c r="E467" s="25" t="n">
        <v>2022</v>
      </c>
      <c r="F467" s="25" t="n">
        <v>1</v>
      </c>
      <c r="G467" s="25" t="n">
        <v>2</v>
      </c>
    </row>
    <row r="468" customFormat="false" ht="15" hidden="false" customHeight="false" outlineLevel="0" collapsed="false">
      <c r="A468" s="25" t="n">
        <v>20220206</v>
      </c>
      <c r="B468" s="25" t="s">
        <v>2244</v>
      </c>
      <c r="C468" s="27" t="b">
        <f aca="false">TRUE()</f>
        <v>1</v>
      </c>
      <c r="D468" s="26" t="n">
        <v>44598</v>
      </c>
      <c r="E468" s="25" t="n">
        <v>2022</v>
      </c>
      <c r="F468" s="25" t="n">
        <v>1</v>
      </c>
      <c r="G468" s="25" t="n">
        <v>2</v>
      </c>
    </row>
    <row r="469" customFormat="false" ht="15" hidden="false" customHeight="false" outlineLevel="0" collapsed="false">
      <c r="A469" s="25" t="n">
        <v>20220207</v>
      </c>
      <c r="B469" s="25" t="s">
        <v>2244</v>
      </c>
      <c r="C469" s="27" t="b">
        <f aca="false">FALSE()</f>
        <v>0</v>
      </c>
      <c r="D469" s="26" t="n">
        <v>44599</v>
      </c>
      <c r="E469" s="25" t="n">
        <v>2022</v>
      </c>
      <c r="F469" s="25" t="n">
        <v>1</v>
      </c>
      <c r="G469" s="25" t="n">
        <v>2</v>
      </c>
    </row>
    <row r="470" customFormat="false" ht="15" hidden="false" customHeight="false" outlineLevel="0" collapsed="false">
      <c r="A470" s="25" t="n">
        <v>20220208</v>
      </c>
      <c r="B470" s="25" t="s">
        <v>2244</v>
      </c>
      <c r="C470" s="27" t="b">
        <f aca="false">FALSE()</f>
        <v>0</v>
      </c>
      <c r="D470" s="26" t="n">
        <v>44600</v>
      </c>
      <c r="E470" s="25" t="n">
        <v>2022</v>
      </c>
      <c r="F470" s="25" t="n">
        <v>1</v>
      </c>
      <c r="G470" s="25" t="n">
        <v>2</v>
      </c>
    </row>
    <row r="471" customFormat="false" ht="15" hidden="false" customHeight="false" outlineLevel="0" collapsed="false">
      <c r="A471" s="25" t="n">
        <v>20220209</v>
      </c>
      <c r="B471" s="25" t="s">
        <v>2244</v>
      </c>
      <c r="C471" s="27" t="b">
        <f aca="false">FALSE()</f>
        <v>0</v>
      </c>
      <c r="D471" s="26" t="n">
        <v>44601</v>
      </c>
      <c r="E471" s="25" t="n">
        <v>2022</v>
      </c>
      <c r="F471" s="25" t="n">
        <v>1</v>
      </c>
      <c r="G471" s="25" t="n">
        <v>2</v>
      </c>
    </row>
    <row r="472" customFormat="false" ht="15" hidden="false" customHeight="false" outlineLevel="0" collapsed="false">
      <c r="A472" s="25" t="n">
        <v>20220210</v>
      </c>
      <c r="B472" s="25" t="s">
        <v>2244</v>
      </c>
      <c r="C472" s="27" t="b">
        <f aca="false">FALSE()</f>
        <v>0</v>
      </c>
      <c r="D472" s="26" t="n">
        <v>44602</v>
      </c>
      <c r="E472" s="25" t="n">
        <v>2022</v>
      </c>
      <c r="F472" s="25" t="n">
        <v>1</v>
      </c>
      <c r="G472" s="25" t="n">
        <v>2</v>
      </c>
    </row>
    <row r="473" customFormat="false" ht="15" hidden="false" customHeight="false" outlineLevel="0" collapsed="false">
      <c r="A473" s="25" t="n">
        <v>20220211</v>
      </c>
      <c r="B473" s="25" t="s">
        <v>2244</v>
      </c>
      <c r="C473" s="27" t="b">
        <f aca="false">FALSE()</f>
        <v>0</v>
      </c>
      <c r="D473" s="26" t="n">
        <v>44603</v>
      </c>
      <c r="E473" s="25" t="n">
        <v>2022</v>
      </c>
      <c r="F473" s="25" t="n">
        <v>1</v>
      </c>
      <c r="G473" s="25" t="n">
        <v>2</v>
      </c>
    </row>
    <row r="474" customFormat="false" ht="15" hidden="false" customHeight="false" outlineLevel="0" collapsed="false">
      <c r="A474" s="25" t="n">
        <v>20220212</v>
      </c>
      <c r="B474" s="25" t="s">
        <v>2244</v>
      </c>
      <c r="C474" s="27" t="b">
        <f aca="false">TRUE()</f>
        <v>1</v>
      </c>
      <c r="D474" s="26" t="n">
        <v>44604</v>
      </c>
      <c r="E474" s="25" t="n">
        <v>2022</v>
      </c>
      <c r="F474" s="25" t="n">
        <v>1</v>
      </c>
      <c r="G474" s="25" t="n">
        <v>2</v>
      </c>
    </row>
    <row r="475" customFormat="false" ht="15" hidden="false" customHeight="false" outlineLevel="0" collapsed="false">
      <c r="A475" s="25" t="n">
        <v>20220213</v>
      </c>
      <c r="B475" s="25" t="s">
        <v>2244</v>
      </c>
      <c r="C475" s="27" t="b">
        <f aca="false">TRUE()</f>
        <v>1</v>
      </c>
      <c r="D475" s="26" t="n">
        <v>44605</v>
      </c>
      <c r="E475" s="25" t="n">
        <v>2022</v>
      </c>
      <c r="F475" s="25" t="n">
        <v>1</v>
      </c>
      <c r="G475" s="25" t="n">
        <v>2</v>
      </c>
    </row>
    <row r="476" customFormat="false" ht="15" hidden="false" customHeight="false" outlineLevel="0" collapsed="false">
      <c r="A476" s="25" t="n">
        <v>20220214</v>
      </c>
      <c r="B476" s="25" t="s">
        <v>2244</v>
      </c>
      <c r="C476" s="27" t="b">
        <f aca="false">FALSE()</f>
        <v>0</v>
      </c>
      <c r="D476" s="26" t="n">
        <v>44606</v>
      </c>
      <c r="E476" s="25" t="n">
        <v>2022</v>
      </c>
      <c r="F476" s="25" t="n">
        <v>1</v>
      </c>
      <c r="G476" s="25" t="n">
        <v>2</v>
      </c>
    </row>
    <row r="477" customFormat="false" ht="15" hidden="false" customHeight="false" outlineLevel="0" collapsed="false">
      <c r="A477" s="25" t="n">
        <v>20220215</v>
      </c>
      <c r="B477" s="25" t="s">
        <v>2244</v>
      </c>
      <c r="C477" s="27" t="b">
        <f aca="false">FALSE()</f>
        <v>0</v>
      </c>
      <c r="D477" s="26" t="n">
        <v>44607</v>
      </c>
      <c r="E477" s="25" t="n">
        <v>2022</v>
      </c>
      <c r="F477" s="25" t="n">
        <v>1</v>
      </c>
      <c r="G477" s="25" t="n">
        <v>2</v>
      </c>
    </row>
    <row r="478" customFormat="false" ht="15" hidden="false" customHeight="false" outlineLevel="0" collapsed="false">
      <c r="A478" s="25" t="n">
        <v>20220216</v>
      </c>
      <c r="B478" s="25" t="s">
        <v>2244</v>
      </c>
      <c r="C478" s="27" t="b">
        <f aca="false">FALSE()</f>
        <v>0</v>
      </c>
      <c r="D478" s="26" t="n">
        <v>44608</v>
      </c>
      <c r="E478" s="25" t="n">
        <v>2022</v>
      </c>
      <c r="F478" s="25" t="n">
        <v>1</v>
      </c>
      <c r="G478" s="25" t="n">
        <v>2</v>
      </c>
    </row>
    <row r="479" customFormat="false" ht="15" hidden="false" customHeight="false" outlineLevel="0" collapsed="false">
      <c r="A479" s="25" t="n">
        <v>20220217</v>
      </c>
      <c r="B479" s="25" t="s">
        <v>2244</v>
      </c>
      <c r="C479" s="27" t="b">
        <f aca="false">FALSE()</f>
        <v>0</v>
      </c>
      <c r="D479" s="26" t="n">
        <v>44609</v>
      </c>
      <c r="E479" s="25" t="n">
        <v>2022</v>
      </c>
      <c r="F479" s="25" t="n">
        <v>1</v>
      </c>
      <c r="G479" s="25" t="n">
        <v>2</v>
      </c>
    </row>
    <row r="480" customFormat="false" ht="15" hidden="false" customHeight="false" outlineLevel="0" collapsed="false">
      <c r="A480" s="25" t="n">
        <v>20220218</v>
      </c>
      <c r="B480" s="25" t="s">
        <v>2244</v>
      </c>
      <c r="C480" s="27" t="b">
        <f aca="false">FALSE()</f>
        <v>0</v>
      </c>
      <c r="D480" s="26" t="n">
        <v>44610</v>
      </c>
      <c r="E480" s="25" t="n">
        <v>2022</v>
      </c>
      <c r="F480" s="25" t="n">
        <v>1</v>
      </c>
      <c r="G480" s="25" t="n">
        <v>2</v>
      </c>
    </row>
    <row r="481" customFormat="false" ht="15" hidden="false" customHeight="false" outlineLevel="0" collapsed="false">
      <c r="A481" s="25" t="n">
        <v>20220219</v>
      </c>
      <c r="B481" s="25" t="s">
        <v>2244</v>
      </c>
      <c r="C481" s="27" t="b">
        <f aca="false">TRUE()</f>
        <v>1</v>
      </c>
      <c r="D481" s="26" t="n">
        <v>44611</v>
      </c>
      <c r="E481" s="25" t="n">
        <v>2022</v>
      </c>
      <c r="F481" s="25" t="n">
        <v>1</v>
      </c>
      <c r="G481" s="25" t="n">
        <v>2</v>
      </c>
    </row>
    <row r="482" customFormat="false" ht="15" hidden="false" customHeight="false" outlineLevel="0" collapsed="false">
      <c r="A482" s="25" t="n">
        <v>20220220</v>
      </c>
      <c r="B482" s="25" t="s">
        <v>2244</v>
      </c>
      <c r="C482" s="27" t="b">
        <f aca="false">TRUE()</f>
        <v>1</v>
      </c>
      <c r="D482" s="26" t="n">
        <v>44612</v>
      </c>
      <c r="E482" s="25" t="n">
        <v>2022</v>
      </c>
      <c r="F482" s="25" t="n">
        <v>1</v>
      </c>
      <c r="G482" s="25" t="n">
        <v>2</v>
      </c>
    </row>
    <row r="483" customFormat="false" ht="15" hidden="false" customHeight="false" outlineLevel="0" collapsed="false">
      <c r="A483" s="25" t="n">
        <v>20220221</v>
      </c>
      <c r="B483" s="25" t="s">
        <v>2244</v>
      </c>
      <c r="C483" s="27" t="b">
        <f aca="false">FALSE()</f>
        <v>0</v>
      </c>
      <c r="D483" s="26" t="n">
        <v>44613</v>
      </c>
      <c r="E483" s="25" t="n">
        <v>2022</v>
      </c>
      <c r="F483" s="25" t="n">
        <v>1</v>
      </c>
      <c r="G483" s="25" t="n">
        <v>2</v>
      </c>
    </row>
    <row r="484" customFormat="false" ht="15" hidden="false" customHeight="false" outlineLevel="0" collapsed="false">
      <c r="A484" s="25" t="n">
        <v>20220222</v>
      </c>
      <c r="B484" s="25" t="s">
        <v>2244</v>
      </c>
      <c r="C484" s="27" t="b">
        <f aca="false">FALSE()</f>
        <v>0</v>
      </c>
      <c r="D484" s="26" t="n">
        <v>44614</v>
      </c>
      <c r="E484" s="25" t="n">
        <v>2022</v>
      </c>
      <c r="F484" s="25" t="n">
        <v>1</v>
      </c>
      <c r="G484" s="25" t="n">
        <v>2</v>
      </c>
    </row>
    <row r="485" customFormat="false" ht="15" hidden="false" customHeight="false" outlineLevel="0" collapsed="false">
      <c r="A485" s="25" t="n">
        <v>20220223</v>
      </c>
      <c r="B485" s="25" t="s">
        <v>2244</v>
      </c>
      <c r="C485" s="27" t="b">
        <f aca="false">FALSE()</f>
        <v>0</v>
      </c>
      <c r="D485" s="26" t="n">
        <v>44615</v>
      </c>
      <c r="E485" s="25" t="n">
        <v>2022</v>
      </c>
      <c r="F485" s="25" t="n">
        <v>1</v>
      </c>
      <c r="G485" s="25" t="n">
        <v>2</v>
      </c>
    </row>
    <row r="486" customFormat="false" ht="15" hidden="false" customHeight="false" outlineLevel="0" collapsed="false">
      <c r="A486" s="25" t="n">
        <v>20220224</v>
      </c>
      <c r="B486" s="25" t="s">
        <v>2244</v>
      </c>
      <c r="C486" s="27" t="b">
        <f aca="false">FALSE()</f>
        <v>0</v>
      </c>
      <c r="D486" s="26" t="n">
        <v>44616</v>
      </c>
      <c r="E486" s="25" t="n">
        <v>2022</v>
      </c>
      <c r="F486" s="25" t="n">
        <v>1</v>
      </c>
      <c r="G486" s="25" t="n">
        <v>2</v>
      </c>
    </row>
    <row r="487" customFormat="false" ht="15" hidden="false" customHeight="false" outlineLevel="0" collapsed="false">
      <c r="A487" s="25" t="n">
        <v>20220225</v>
      </c>
      <c r="B487" s="25" t="s">
        <v>2244</v>
      </c>
      <c r="C487" s="27" t="b">
        <f aca="false">FALSE()</f>
        <v>0</v>
      </c>
      <c r="D487" s="26" t="n">
        <v>44617</v>
      </c>
      <c r="E487" s="25" t="n">
        <v>2022</v>
      </c>
      <c r="F487" s="25" t="n">
        <v>1</v>
      </c>
      <c r="G487" s="25" t="n">
        <v>2</v>
      </c>
    </row>
    <row r="488" customFormat="false" ht="15" hidden="false" customHeight="false" outlineLevel="0" collapsed="false">
      <c r="A488" s="25" t="n">
        <v>20220226</v>
      </c>
      <c r="B488" s="25" t="s">
        <v>2244</v>
      </c>
      <c r="C488" s="27" t="b">
        <f aca="false">TRUE()</f>
        <v>1</v>
      </c>
      <c r="D488" s="26" t="n">
        <v>44618</v>
      </c>
      <c r="E488" s="25" t="n">
        <v>2022</v>
      </c>
      <c r="F488" s="25" t="n">
        <v>1</v>
      </c>
      <c r="G488" s="25" t="n">
        <v>2</v>
      </c>
    </row>
    <row r="489" customFormat="false" ht="15" hidden="false" customHeight="false" outlineLevel="0" collapsed="false">
      <c r="A489" s="25" t="n">
        <v>20220227</v>
      </c>
      <c r="B489" s="25" t="s">
        <v>2244</v>
      </c>
      <c r="C489" s="27" t="b">
        <f aca="false">TRUE()</f>
        <v>1</v>
      </c>
      <c r="D489" s="26" t="n">
        <v>44619</v>
      </c>
      <c r="E489" s="25" t="n">
        <v>2022</v>
      </c>
      <c r="F489" s="25" t="n">
        <v>1</v>
      </c>
      <c r="G489" s="25" t="n">
        <v>2</v>
      </c>
    </row>
    <row r="490" customFormat="false" ht="15" hidden="false" customHeight="false" outlineLevel="0" collapsed="false">
      <c r="A490" s="25" t="n">
        <v>20220228</v>
      </c>
      <c r="B490" s="25" t="s">
        <v>2244</v>
      </c>
      <c r="C490" s="27" t="b">
        <f aca="false">FALSE()</f>
        <v>0</v>
      </c>
      <c r="D490" s="26" t="n">
        <v>44620</v>
      </c>
      <c r="E490" s="25" t="n">
        <v>2022</v>
      </c>
      <c r="F490" s="25" t="n">
        <v>1</v>
      </c>
      <c r="G490" s="25" t="n">
        <v>2</v>
      </c>
    </row>
    <row r="491" customFormat="false" ht="15" hidden="false" customHeight="false" outlineLevel="0" collapsed="false">
      <c r="A491" s="25" t="n">
        <v>20220301</v>
      </c>
      <c r="B491" s="25" t="s">
        <v>2245</v>
      </c>
      <c r="C491" s="27" t="b">
        <f aca="false">FALSE()</f>
        <v>0</v>
      </c>
      <c r="D491" s="26" t="n">
        <v>44621</v>
      </c>
      <c r="E491" s="25" t="n">
        <v>2022</v>
      </c>
      <c r="F491" s="25" t="n">
        <v>1</v>
      </c>
      <c r="G491" s="25" t="n">
        <v>3</v>
      </c>
    </row>
    <row r="492" customFormat="false" ht="15" hidden="false" customHeight="false" outlineLevel="0" collapsed="false">
      <c r="A492" s="25" t="n">
        <v>20220302</v>
      </c>
      <c r="B492" s="25" t="s">
        <v>2245</v>
      </c>
      <c r="C492" s="27" t="b">
        <f aca="false">FALSE()</f>
        <v>0</v>
      </c>
      <c r="D492" s="26" t="n">
        <v>44622</v>
      </c>
      <c r="E492" s="25" t="n">
        <v>2022</v>
      </c>
      <c r="F492" s="25" t="n">
        <v>1</v>
      </c>
      <c r="G492" s="25" t="n">
        <v>3</v>
      </c>
    </row>
    <row r="493" customFormat="false" ht="15" hidden="false" customHeight="false" outlineLevel="0" collapsed="false">
      <c r="A493" s="25" t="n">
        <v>20220303</v>
      </c>
      <c r="B493" s="25" t="s">
        <v>2245</v>
      </c>
      <c r="C493" s="27" t="b">
        <f aca="false">FALSE()</f>
        <v>0</v>
      </c>
      <c r="D493" s="26" t="n">
        <v>44623</v>
      </c>
      <c r="E493" s="25" t="n">
        <v>2022</v>
      </c>
      <c r="F493" s="25" t="n">
        <v>1</v>
      </c>
      <c r="G493" s="25" t="n">
        <v>3</v>
      </c>
    </row>
    <row r="494" customFormat="false" ht="15" hidden="false" customHeight="false" outlineLevel="0" collapsed="false">
      <c r="A494" s="25" t="n">
        <v>20220304</v>
      </c>
      <c r="B494" s="25" t="s">
        <v>2245</v>
      </c>
      <c r="C494" s="27" t="b">
        <f aca="false">FALSE()</f>
        <v>0</v>
      </c>
      <c r="D494" s="26" t="n">
        <v>44624</v>
      </c>
      <c r="E494" s="25" t="n">
        <v>2022</v>
      </c>
      <c r="F494" s="25" t="n">
        <v>1</v>
      </c>
      <c r="G494" s="25" t="n">
        <v>3</v>
      </c>
    </row>
    <row r="495" customFormat="false" ht="15" hidden="false" customHeight="false" outlineLevel="0" collapsed="false">
      <c r="A495" s="25" t="n">
        <v>20220305</v>
      </c>
      <c r="B495" s="25" t="s">
        <v>2245</v>
      </c>
      <c r="C495" s="27" t="b">
        <f aca="false">TRUE()</f>
        <v>1</v>
      </c>
      <c r="D495" s="26" t="n">
        <v>44625</v>
      </c>
      <c r="E495" s="25" t="n">
        <v>2022</v>
      </c>
      <c r="F495" s="25" t="n">
        <v>1</v>
      </c>
      <c r="G495" s="25" t="n">
        <v>3</v>
      </c>
    </row>
    <row r="496" customFormat="false" ht="15" hidden="false" customHeight="false" outlineLevel="0" collapsed="false">
      <c r="A496" s="25" t="n">
        <v>20220306</v>
      </c>
      <c r="B496" s="25" t="s">
        <v>2245</v>
      </c>
      <c r="C496" s="27" t="b">
        <f aca="false">TRUE()</f>
        <v>1</v>
      </c>
      <c r="D496" s="26" t="n">
        <v>44626</v>
      </c>
      <c r="E496" s="25" t="n">
        <v>2022</v>
      </c>
      <c r="F496" s="25" t="n">
        <v>1</v>
      </c>
      <c r="G496" s="25" t="n">
        <v>3</v>
      </c>
    </row>
    <row r="497" customFormat="false" ht="15" hidden="false" customHeight="false" outlineLevel="0" collapsed="false">
      <c r="A497" s="25" t="n">
        <v>20220307</v>
      </c>
      <c r="B497" s="25" t="s">
        <v>2245</v>
      </c>
      <c r="C497" s="27" t="b">
        <f aca="false">FALSE()</f>
        <v>0</v>
      </c>
      <c r="D497" s="26" t="n">
        <v>44627</v>
      </c>
      <c r="E497" s="25" t="n">
        <v>2022</v>
      </c>
      <c r="F497" s="25" t="n">
        <v>1</v>
      </c>
      <c r="G497" s="25" t="n">
        <v>3</v>
      </c>
    </row>
    <row r="498" customFormat="false" ht="15" hidden="false" customHeight="false" outlineLevel="0" collapsed="false">
      <c r="A498" s="25" t="n">
        <v>20220308</v>
      </c>
      <c r="B498" s="25" t="s">
        <v>2245</v>
      </c>
      <c r="C498" s="27" t="b">
        <f aca="false">FALSE()</f>
        <v>0</v>
      </c>
      <c r="D498" s="26" t="n">
        <v>44628</v>
      </c>
      <c r="E498" s="25" t="n">
        <v>2022</v>
      </c>
      <c r="F498" s="25" t="n">
        <v>1</v>
      </c>
      <c r="G498" s="25" t="n">
        <v>3</v>
      </c>
    </row>
    <row r="499" customFormat="false" ht="15" hidden="false" customHeight="false" outlineLevel="0" collapsed="false">
      <c r="A499" s="25" t="n">
        <v>20220309</v>
      </c>
      <c r="B499" s="25" t="s">
        <v>2245</v>
      </c>
      <c r="C499" s="27" t="b">
        <f aca="false">FALSE()</f>
        <v>0</v>
      </c>
      <c r="D499" s="26" t="n">
        <v>44629</v>
      </c>
      <c r="E499" s="25" t="n">
        <v>2022</v>
      </c>
      <c r="F499" s="25" t="n">
        <v>1</v>
      </c>
      <c r="G499" s="25" t="n">
        <v>3</v>
      </c>
    </row>
    <row r="500" customFormat="false" ht="15" hidden="false" customHeight="false" outlineLevel="0" collapsed="false">
      <c r="A500" s="25" t="n">
        <v>20220310</v>
      </c>
      <c r="B500" s="25" t="s">
        <v>2245</v>
      </c>
      <c r="C500" s="27" t="b">
        <f aca="false">FALSE()</f>
        <v>0</v>
      </c>
      <c r="D500" s="26" t="n">
        <v>44630</v>
      </c>
      <c r="E500" s="25" t="n">
        <v>2022</v>
      </c>
      <c r="F500" s="25" t="n">
        <v>1</v>
      </c>
      <c r="G500" s="25" t="n">
        <v>3</v>
      </c>
    </row>
    <row r="501" customFormat="false" ht="15" hidden="false" customHeight="false" outlineLevel="0" collapsed="false">
      <c r="A501" s="25" t="n">
        <v>20220311</v>
      </c>
      <c r="B501" s="25" t="s">
        <v>2245</v>
      </c>
      <c r="C501" s="27" t="b">
        <f aca="false">FALSE()</f>
        <v>0</v>
      </c>
      <c r="D501" s="26" t="n">
        <v>44631</v>
      </c>
      <c r="E501" s="25" t="n">
        <v>2022</v>
      </c>
      <c r="F501" s="25" t="n">
        <v>1</v>
      </c>
      <c r="G501" s="25" t="n">
        <v>3</v>
      </c>
    </row>
    <row r="502" customFormat="false" ht="15" hidden="false" customHeight="false" outlineLevel="0" collapsed="false">
      <c r="A502" s="25" t="n">
        <v>20220312</v>
      </c>
      <c r="B502" s="25" t="s">
        <v>2245</v>
      </c>
      <c r="C502" s="27" t="b">
        <f aca="false">TRUE()</f>
        <v>1</v>
      </c>
      <c r="D502" s="26" t="n">
        <v>44632</v>
      </c>
      <c r="E502" s="25" t="n">
        <v>2022</v>
      </c>
      <c r="F502" s="25" t="n">
        <v>1</v>
      </c>
      <c r="G502" s="25" t="n">
        <v>3</v>
      </c>
    </row>
    <row r="503" customFormat="false" ht="15" hidden="false" customHeight="false" outlineLevel="0" collapsed="false">
      <c r="A503" s="25" t="n">
        <v>20220313</v>
      </c>
      <c r="B503" s="25" t="s">
        <v>2245</v>
      </c>
      <c r="C503" s="27" t="b">
        <f aca="false">TRUE()</f>
        <v>1</v>
      </c>
      <c r="D503" s="26" t="n">
        <v>44633</v>
      </c>
      <c r="E503" s="25" t="n">
        <v>2022</v>
      </c>
      <c r="F503" s="25" t="n">
        <v>1</v>
      </c>
      <c r="G503" s="25" t="n">
        <v>3</v>
      </c>
    </row>
    <row r="504" customFormat="false" ht="15" hidden="false" customHeight="false" outlineLevel="0" collapsed="false">
      <c r="A504" s="25" t="n">
        <v>20220314</v>
      </c>
      <c r="B504" s="25" t="s">
        <v>2245</v>
      </c>
      <c r="C504" s="27" t="b">
        <f aca="false">FALSE()</f>
        <v>0</v>
      </c>
      <c r="D504" s="26" t="n">
        <v>44634</v>
      </c>
      <c r="E504" s="25" t="n">
        <v>2022</v>
      </c>
      <c r="F504" s="25" t="n">
        <v>1</v>
      </c>
      <c r="G504" s="25" t="n">
        <v>3</v>
      </c>
    </row>
    <row r="505" customFormat="false" ht="15" hidden="false" customHeight="false" outlineLevel="0" collapsed="false">
      <c r="A505" s="25" t="n">
        <v>20220315</v>
      </c>
      <c r="B505" s="25" t="s">
        <v>2245</v>
      </c>
      <c r="C505" s="27" t="b">
        <f aca="false">FALSE()</f>
        <v>0</v>
      </c>
      <c r="D505" s="26" t="n">
        <v>44635</v>
      </c>
      <c r="E505" s="25" t="n">
        <v>2022</v>
      </c>
      <c r="F505" s="25" t="n">
        <v>1</v>
      </c>
      <c r="G505" s="25" t="n">
        <v>3</v>
      </c>
    </row>
    <row r="506" customFormat="false" ht="15" hidden="false" customHeight="false" outlineLevel="0" collapsed="false">
      <c r="A506" s="25" t="n">
        <v>20220316</v>
      </c>
      <c r="B506" s="25" t="s">
        <v>2245</v>
      </c>
      <c r="C506" s="27" t="b">
        <f aca="false">FALSE()</f>
        <v>0</v>
      </c>
      <c r="D506" s="26" t="n">
        <v>44636</v>
      </c>
      <c r="E506" s="25" t="n">
        <v>2022</v>
      </c>
      <c r="F506" s="25" t="n">
        <v>1</v>
      </c>
      <c r="G506" s="25" t="n">
        <v>3</v>
      </c>
    </row>
    <row r="507" customFormat="false" ht="15" hidden="false" customHeight="false" outlineLevel="0" collapsed="false">
      <c r="A507" s="25" t="n">
        <v>20220317</v>
      </c>
      <c r="B507" s="25" t="s">
        <v>2245</v>
      </c>
      <c r="C507" s="27" t="b">
        <f aca="false">FALSE()</f>
        <v>0</v>
      </c>
      <c r="D507" s="26" t="n">
        <v>44637</v>
      </c>
      <c r="E507" s="25" t="n">
        <v>2022</v>
      </c>
      <c r="F507" s="25" t="n">
        <v>1</v>
      </c>
      <c r="G507" s="25" t="n">
        <v>3</v>
      </c>
    </row>
    <row r="508" customFormat="false" ht="15" hidden="false" customHeight="false" outlineLevel="0" collapsed="false">
      <c r="A508" s="25" t="n">
        <v>20220318</v>
      </c>
      <c r="B508" s="25" t="s">
        <v>2245</v>
      </c>
      <c r="C508" s="27" t="b">
        <f aca="false">FALSE()</f>
        <v>0</v>
      </c>
      <c r="D508" s="26" t="n">
        <v>44638</v>
      </c>
      <c r="E508" s="25" t="n">
        <v>2022</v>
      </c>
      <c r="F508" s="25" t="n">
        <v>1</v>
      </c>
      <c r="G508" s="25" t="n">
        <v>3</v>
      </c>
    </row>
    <row r="509" customFormat="false" ht="15" hidden="false" customHeight="false" outlineLevel="0" collapsed="false">
      <c r="A509" s="25" t="n">
        <v>20220319</v>
      </c>
      <c r="B509" s="25" t="s">
        <v>2245</v>
      </c>
      <c r="C509" s="27" t="b">
        <f aca="false">TRUE()</f>
        <v>1</v>
      </c>
      <c r="D509" s="26" t="n">
        <v>44639</v>
      </c>
      <c r="E509" s="25" t="n">
        <v>2022</v>
      </c>
      <c r="F509" s="25" t="n">
        <v>1</v>
      </c>
      <c r="G509" s="25" t="n">
        <v>3</v>
      </c>
    </row>
    <row r="510" customFormat="false" ht="15" hidden="false" customHeight="false" outlineLevel="0" collapsed="false">
      <c r="A510" s="25" t="n">
        <v>20220320</v>
      </c>
      <c r="B510" s="25" t="s">
        <v>2245</v>
      </c>
      <c r="C510" s="27" t="b">
        <f aca="false">TRUE()</f>
        <v>1</v>
      </c>
      <c r="D510" s="26" t="n">
        <v>44640</v>
      </c>
      <c r="E510" s="25" t="n">
        <v>2022</v>
      </c>
      <c r="F510" s="25" t="n">
        <v>1</v>
      </c>
      <c r="G510" s="25" t="n">
        <v>3</v>
      </c>
    </row>
    <row r="511" customFormat="false" ht="15" hidden="false" customHeight="false" outlineLevel="0" collapsed="false">
      <c r="A511" s="25" t="n">
        <v>20220321</v>
      </c>
      <c r="B511" s="25" t="s">
        <v>2245</v>
      </c>
      <c r="C511" s="27" t="b">
        <f aca="false">FALSE()</f>
        <v>0</v>
      </c>
      <c r="D511" s="26" t="n">
        <v>44641</v>
      </c>
      <c r="E511" s="25" t="n">
        <v>2022</v>
      </c>
      <c r="F511" s="25" t="n">
        <v>1</v>
      </c>
      <c r="G511" s="25" t="n">
        <v>3</v>
      </c>
    </row>
    <row r="512" customFormat="false" ht="15" hidden="false" customHeight="false" outlineLevel="0" collapsed="false">
      <c r="A512" s="25" t="n">
        <v>20220322</v>
      </c>
      <c r="B512" s="25" t="s">
        <v>2245</v>
      </c>
      <c r="C512" s="27" t="b">
        <f aca="false">FALSE()</f>
        <v>0</v>
      </c>
      <c r="D512" s="26" t="n">
        <v>44642</v>
      </c>
      <c r="E512" s="25" t="n">
        <v>2022</v>
      </c>
      <c r="F512" s="25" t="n">
        <v>1</v>
      </c>
      <c r="G512" s="25" t="n">
        <v>3</v>
      </c>
    </row>
    <row r="513" customFormat="false" ht="15" hidden="false" customHeight="false" outlineLevel="0" collapsed="false">
      <c r="A513" s="25" t="n">
        <v>20220323</v>
      </c>
      <c r="B513" s="25" t="s">
        <v>2245</v>
      </c>
      <c r="C513" s="27" t="b">
        <f aca="false">FALSE()</f>
        <v>0</v>
      </c>
      <c r="D513" s="26" t="n">
        <v>44643</v>
      </c>
      <c r="E513" s="25" t="n">
        <v>2022</v>
      </c>
      <c r="F513" s="25" t="n">
        <v>1</v>
      </c>
      <c r="G513" s="25" t="n">
        <v>3</v>
      </c>
    </row>
    <row r="514" customFormat="false" ht="15" hidden="false" customHeight="false" outlineLevel="0" collapsed="false">
      <c r="A514" s="25" t="n">
        <v>20220324</v>
      </c>
      <c r="B514" s="25" t="s">
        <v>2245</v>
      </c>
      <c r="C514" s="27" t="b">
        <f aca="false">FALSE()</f>
        <v>0</v>
      </c>
      <c r="D514" s="26" t="n">
        <v>44644</v>
      </c>
      <c r="E514" s="25" t="n">
        <v>2022</v>
      </c>
      <c r="F514" s="25" t="n">
        <v>1</v>
      </c>
      <c r="G514" s="25" t="n">
        <v>3</v>
      </c>
    </row>
    <row r="515" customFormat="false" ht="15" hidden="false" customHeight="false" outlineLevel="0" collapsed="false">
      <c r="A515" s="25" t="n">
        <v>20220325</v>
      </c>
      <c r="B515" s="25" t="s">
        <v>2245</v>
      </c>
      <c r="C515" s="27" t="b">
        <f aca="false">FALSE()</f>
        <v>0</v>
      </c>
      <c r="D515" s="26" t="n">
        <v>44645</v>
      </c>
      <c r="E515" s="25" t="n">
        <v>2022</v>
      </c>
      <c r="F515" s="25" t="n">
        <v>1</v>
      </c>
      <c r="G515" s="25" t="n">
        <v>3</v>
      </c>
    </row>
    <row r="516" customFormat="false" ht="15" hidden="false" customHeight="false" outlineLevel="0" collapsed="false">
      <c r="A516" s="25" t="n">
        <v>20220326</v>
      </c>
      <c r="B516" s="25" t="s">
        <v>2245</v>
      </c>
      <c r="C516" s="27" t="b">
        <f aca="false">TRUE()</f>
        <v>1</v>
      </c>
      <c r="D516" s="26" t="n">
        <v>44646</v>
      </c>
      <c r="E516" s="25" t="n">
        <v>2022</v>
      </c>
      <c r="F516" s="25" t="n">
        <v>1</v>
      </c>
      <c r="G516" s="25" t="n">
        <v>3</v>
      </c>
    </row>
    <row r="517" customFormat="false" ht="15" hidden="false" customHeight="false" outlineLevel="0" collapsed="false">
      <c r="A517" s="25" t="n">
        <v>20220327</v>
      </c>
      <c r="B517" s="25" t="s">
        <v>2245</v>
      </c>
      <c r="C517" s="27" t="b">
        <f aca="false">TRUE()</f>
        <v>1</v>
      </c>
      <c r="D517" s="26" t="n">
        <v>44647</v>
      </c>
      <c r="E517" s="25" t="n">
        <v>2022</v>
      </c>
      <c r="F517" s="25" t="n">
        <v>1</v>
      </c>
      <c r="G517" s="25" t="n">
        <v>3</v>
      </c>
    </row>
    <row r="518" customFormat="false" ht="15" hidden="false" customHeight="false" outlineLevel="0" collapsed="false">
      <c r="A518" s="25" t="n">
        <v>20220328</v>
      </c>
      <c r="B518" s="25" t="s">
        <v>2245</v>
      </c>
      <c r="C518" s="27" t="b">
        <f aca="false">FALSE()</f>
        <v>0</v>
      </c>
      <c r="D518" s="26" t="n">
        <v>44648</v>
      </c>
      <c r="E518" s="25" t="n">
        <v>2022</v>
      </c>
      <c r="F518" s="25" t="n">
        <v>1</v>
      </c>
      <c r="G518" s="25" t="n">
        <v>3</v>
      </c>
    </row>
    <row r="519" customFormat="false" ht="15" hidden="false" customHeight="false" outlineLevel="0" collapsed="false">
      <c r="A519" s="25" t="n">
        <v>20220329</v>
      </c>
      <c r="B519" s="25" t="s">
        <v>2245</v>
      </c>
      <c r="C519" s="27" t="b">
        <f aca="false">FALSE()</f>
        <v>0</v>
      </c>
      <c r="D519" s="26" t="n">
        <v>44649</v>
      </c>
      <c r="E519" s="25" t="n">
        <v>2022</v>
      </c>
      <c r="F519" s="25" t="n">
        <v>1</v>
      </c>
      <c r="G519" s="25" t="n">
        <v>3</v>
      </c>
    </row>
    <row r="520" customFormat="false" ht="15" hidden="false" customHeight="false" outlineLevel="0" collapsed="false">
      <c r="A520" s="25" t="n">
        <v>20220330</v>
      </c>
      <c r="B520" s="25" t="s">
        <v>2245</v>
      </c>
      <c r="C520" s="27" t="b">
        <f aca="false">FALSE()</f>
        <v>0</v>
      </c>
      <c r="D520" s="26" t="n">
        <v>44650</v>
      </c>
      <c r="E520" s="25" t="n">
        <v>2022</v>
      </c>
      <c r="F520" s="25" t="n">
        <v>1</v>
      </c>
      <c r="G520" s="25" t="n">
        <v>3</v>
      </c>
    </row>
    <row r="521" customFormat="false" ht="15" hidden="false" customHeight="false" outlineLevel="0" collapsed="false">
      <c r="A521" s="25" t="n">
        <v>20220331</v>
      </c>
      <c r="B521" s="25" t="s">
        <v>2245</v>
      </c>
      <c r="C521" s="27" t="b">
        <f aca="false">FALSE()</f>
        <v>0</v>
      </c>
      <c r="D521" s="26" t="n">
        <v>44651</v>
      </c>
      <c r="E521" s="25" t="n">
        <v>2022</v>
      </c>
      <c r="F521" s="25" t="n">
        <v>1</v>
      </c>
      <c r="G521" s="25" t="n">
        <v>3</v>
      </c>
    </row>
    <row r="522" customFormat="false" ht="15" hidden="false" customHeight="false" outlineLevel="0" collapsed="false">
      <c r="A522" s="25" t="n">
        <v>20220401</v>
      </c>
      <c r="B522" s="25" t="s">
        <v>2246</v>
      </c>
      <c r="C522" s="27" t="b">
        <f aca="false">FALSE()</f>
        <v>0</v>
      </c>
      <c r="D522" s="26" t="n">
        <v>44652</v>
      </c>
      <c r="E522" s="25" t="n">
        <v>2022</v>
      </c>
      <c r="F522" s="25" t="n">
        <v>2</v>
      </c>
      <c r="G522" s="25" t="n">
        <v>4</v>
      </c>
    </row>
    <row r="523" customFormat="false" ht="15" hidden="false" customHeight="false" outlineLevel="0" collapsed="false">
      <c r="A523" s="25" t="n">
        <v>20220402</v>
      </c>
      <c r="B523" s="25" t="s">
        <v>2246</v>
      </c>
      <c r="C523" s="27" t="b">
        <f aca="false">TRUE()</f>
        <v>1</v>
      </c>
      <c r="D523" s="26" t="n">
        <v>44653</v>
      </c>
      <c r="E523" s="25" t="n">
        <v>2022</v>
      </c>
      <c r="F523" s="25" t="n">
        <v>2</v>
      </c>
      <c r="G523" s="25" t="n">
        <v>4</v>
      </c>
    </row>
    <row r="524" customFormat="false" ht="15" hidden="false" customHeight="false" outlineLevel="0" collapsed="false">
      <c r="A524" s="25" t="n">
        <v>20220403</v>
      </c>
      <c r="B524" s="25" t="s">
        <v>2246</v>
      </c>
      <c r="C524" s="27" t="b">
        <f aca="false">TRUE()</f>
        <v>1</v>
      </c>
      <c r="D524" s="26" t="n">
        <v>44654</v>
      </c>
      <c r="E524" s="25" t="n">
        <v>2022</v>
      </c>
      <c r="F524" s="25" t="n">
        <v>2</v>
      </c>
      <c r="G524" s="25" t="n">
        <v>4</v>
      </c>
    </row>
    <row r="525" customFormat="false" ht="15" hidden="false" customHeight="false" outlineLevel="0" collapsed="false">
      <c r="A525" s="25" t="n">
        <v>20220404</v>
      </c>
      <c r="B525" s="25" t="s">
        <v>2246</v>
      </c>
      <c r="C525" s="27" t="b">
        <f aca="false">FALSE()</f>
        <v>0</v>
      </c>
      <c r="D525" s="26" t="n">
        <v>44655</v>
      </c>
      <c r="E525" s="25" t="n">
        <v>2022</v>
      </c>
      <c r="F525" s="25" t="n">
        <v>2</v>
      </c>
      <c r="G525" s="25" t="n">
        <v>4</v>
      </c>
    </row>
    <row r="526" customFormat="false" ht="15" hidden="false" customHeight="false" outlineLevel="0" collapsed="false">
      <c r="A526" s="25" t="n">
        <v>20220405</v>
      </c>
      <c r="B526" s="25" t="s">
        <v>2246</v>
      </c>
      <c r="C526" s="27" t="b">
        <f aca="false">FALSE()</f>
        <v>0</v>
      </c>
      <c r="D526" s="26" t="n">
        <v>44656</v>
      </c>
      <c r="E526" s="25" t="n">
        <v>2022</v>
      </c>
      <c r="F526" s="25" t="n">
        <v>2</v>
      </c>
      <c r="G526" s="25" t="n">
        <v>4</v>
      </c>
    </row>
    <row r="527" customFormat="false" ht="15" hidden="false" customHeight="false" outlineLevel="0" collapsed="false">
      <c r="A527" s="25" t="n">
        <v>20220406</v>
      </c>
      <c r="B527" s="25" t="s">
        <v>2246</v>
      </c>
      <c r="C527" s="27" t="b">
        <f aca="false">FALSE()</f>
        <v>0</v>
      </c>
      <c r="D527" s="26" t="n">
        <v>44657</v>
      </c>
      <c r="E527" s="25" t="n">
        <v>2022</v>
      </c>
      <c r="F527" s="25" t="n">
        <v>2</v>
      </c>
      <c r="G527" s="25" t="n">
        <v>4</v>
      </c>
    </row>
    <row r="528" customFormat="false" ht="15" hidden="false" customHeight="false" outlineLevel="0" collapsed="false">
      <c r="A528" s="25" t="n">
        <v>20220407</v>
      </c>
      <c r="B528" s="25" t="s">
        <v>2246</v>
      </c>
      <c r="C528" s="27" t="b">
        <f aca="false">FALSE()</f>
        <v>0</v>
      </c>
      <c r="D528" s="26" t="n">
        <v>44658</v>
      </c>
      <c r="E528" s="25" t="n">
        <v>2022</v>
      </c>
      <c r="F528" s="25" t="n">
        <v>2</v>
      </c>
      <c r="G528" s="25" t="n">
        <v>4</v>
      </c>
    </row>
    <row r="529" customFormat="false" ht="15" hidden="false" customHeight="false" outlineLevel="0" collapsed="false">
      <c r="A529" s="25" t="n">
        <v>20220408</v>
      </c>
      <c r="B529" s="25" t="s">
        <v>2246</v>
      </c>
      <c r="C529" s="27" t="b">
        <f aca="false">FALSE()</f>
        <v>0</v>
      </c>
      <c r="D529" s="26" t="n">
        <v>44659</v>
      </c>
      <c r="E529" s="25" t="n">
        <v>2022</v>
      </c>
      <c r="F529" s="25" t="n">
        <v>2</v>
      </c>
      <c r="G529" s="25" t="n">
        <v>4</v>
      </c>
    </row>
    <row r="530" customFormat="false" ht="15" hidden="false" customHeight="false" outlineLevel="0" collapsed="false">
      <c r="A530" s="25" t="n">
        <v>20220409</v>
      </c>
      <c r="B530" s="25" t="s">
        <v>2246</v>
      </c>
      <c r="C530" s="27" t="b">
        <f aca="false">TRUE()</f>
        <v>1</v>
      </c>
      <c r="D530" s="26" t="n">
        <v>44660</v>
      </c>
      <c r="E530" s="25" t="n">
        <v>2022</v>
      </c>
      <c r="F530" s="25" t="n">
        <v>2</v>
      </c>
      <c r="G530" s="25" t="n">
        <v>4</v>
      </c>
    </row>
    <row r="531" customFormat="false" ht="15" hidden="false" customHeight="false" outlineLevel="0" collapsed="false">
      <c r="A531" s="25" t="n">
        <v>20220410</v>
      </c>
      <c r="B531" s="25" t="s">
        <v>2246</v>
      </c>
      <c r="C531" s="27" t="b">
        <f aca="false">TRUE()</f>
        <v>1</v>
      </c>
      <c r="D531" s="26" t="n">
        <v>44661</v>
      </c>
      <c r="E531" s="25" t="n">
        <v>2022</v>
      </c>
      <c r="F531" s="25" t="n">
        <v>2</v>
      </c>
      <c r="G531" s="25" t="n">
        <v>4</v>
      </c>
    </row>
    <row r="532" customFormat="false" ht="15" hidden="false" customHeight="false" outlineLevel="0" collapsed="false">
      <c r="A532" s="25" t="n">
        <v>20220411</v>
      </c>
      <c r="B532" s="25" t="s">
        <v>2246</v>
      </c>
      <c r="C532" s="27" t="b">
        <f aca="false">FALSE()</f>
        <v>0</v>
      </c>
      <c r="D532" s="26" t="n">
        <v>44662</v>
      </c>
      <c r="E532" s="25" t="n">
        <v>2022</v>
      </c>
      <c r="F532" s="25" t="n">
        <v>2</v>
      </c>
      <c r="G532" s="25" t="n">
        <v>4</v>
      </c>
    </row>
    <row r="533" customFormat="false" ht="15" hidden="false" customHeight="false" outlineLevel="0" collapsed="false">
      <c r="A533" s="25" t="n">
        <v>20220412</v>
      </c>
      <c r="B533" s="25" t="s">
        <v>2246</v>
      </c>
      <c r="C533" s="27" t="b">
        <f aca="false">FALSE()</f>
        <v>0</v>
      </c>
      <c r="D533" s="26" t="n">
        <v>44663</v>
      </c>
      <c r="E533" s="25" t="n">
        <v>2022</v>
      </c>
      <c r="F533" s="25" t="n">
        <v>2</v>
      </c>
      <c r="G533" s="25" t="n">
        <v>4</v>
      </c>
    </row>
    <row r="534" customFormat="false" ht="15" hidden="false" customHeight="false" outlineLevel="0" collapsed="false">
      <c r="A534" s="25" t="n">
        <v>20220413</v>
      </c>
      <c r="B534" s="25" t="s">
        <v>2246</v>
      </c>
      <c r="C534" s="27" t="b">
        <f aca="false">FALSE()</f>
        <v>0</v>
      </c>
      <c r="D534" s="26" t="n">
        <v>44664</v>
      </c>
      <c r="E534" s="25" t="n">
        <v>2022</v>
      </c>
      <c r="F534" s="25" t="n">
        <v>2</v>
      </c>
      <c r="G534" s="25" t="n">
        <v>4</v>
      </c>
    </row>
    <row r="535" customFormat="false" ht="15" hidden="false" customHeight="false" outlineLevel="0" collapsed="false">
      <c r="A535" s="25" t="n">
        <v>20220414</v>
      </c>
      <c r="B535" s="25" t="s">
        <v>2246</v>
      </c>
      <c r="C535" s="27" t="b">
        <f aca="false">FALSE()</f>
        <v>0</v>
      </c>
      <c r="D535" s="26" t="n">
        <v>44665</v>
      </c>
      <c r="E535" s="25" t="n">
        <v>2022</v>
      </c>
      <c r="F535" s="25" t="n">
        <v>2</v>
      </c>
      <c r="G535" s="25" t="n">
        <v>4</v>
      </c>
    </row>
    <row r="536" customFormat="false" ht="15" hidden="false" customHeight="false" outlineLevel="0" collapsed="false">
      <c r="A536" s="25" t="n">
        <v>20220415</v>
      </c>
      <c r="B536" s="25" t="s">
        <v>2246</v>
      </c>
      <c r="C536" s="27" t="b">
        <f aca="false">FALSE()</f>
        <v>0</v>
      </c>
      <c r="D536" s="26" t="n">
        <v>44666</v>
      </c>
      <c r="E536" s="25" t="n">
        <v>2022</v>
      </c>
      <c r="F536" s="25" t="n">
        <v>2</v>
      </c>
      <c r="G536" s="25" t="n">
        <v>4</v>
      </c>
    </row>
    <row r="537" customFormat="false" ht="15" hidden="false" customHeight="false" outlineLevel="0" collapsed="false">
      <c r="A537" s="25" t="n">
        <v>20220416</v>
      </c>
      <c r="B537" s="25" t="s">
        <v>2246</v>
      </c>
      <c r="C537" s="27" t="b">
        <f aca="false">TRUE()</f>
        <v>1</v>
      </c>
      <c r="D537" s="26" t="n">
        <v>44667</v>
      </c>
      <c r="E537" s="25" t="n">
        <v>2022</v>
      </c>
      <c r="F537" s="25" t="n">
        <v>2</v>
      </c>
      <c r="G537" s="25" t="n">
        <v>4</v>
      </c>
    </row>
    <row r="538" customFormat="false" ht="15" hidden="false" customHeight="false" outlineLevel="0" collapsed="false">
      <c r="A538" s="25" t="n">
        <v>20220417</v>
      </c>
      <c r="B538" s="25" t="s">
        <v>2246</v>
      </c>
      <c r="C538" s="27" t="b">
        <f aca="false">TRUE()</f>
        <v>1</v>
      </c>
      <c r="D538" s="26" t="n">
        <v>44668</v>
      </c>
      <c r="E538" s="25" t="n">
        <v>2022</v>
      </c>
      <c r="F538" s="25" t="n">
        <v>2</v>
      </c>
      <c r="G538" s="25" t="n">
        <v>4</v>
      </c>
    </row>
    <row r="539" customFormat="false" ht="15" hidden="false" customHeight="false" outlineLevel="0" collapsed="false">
      <c r="A539" s="25" t="n">
        <v>20220418</v>
      </c>
      <c r="B539" s="25" t="s">
        <v>2246</v>
      </c>
      <c r="C539" s="27" t="b">
        <f aca="false">FALSE()</f>
        <v>0</v>
      </c>
      <c r="D539" s="26" t="n">
        <v>44669</v>
      </c>
      <c r="E539" s="25" t="n">
        <v>2022</v>
      </c>
      <c r="F539" s="25" t="n">
        <v>2</v>
      </c>
      <c r="G539" s="25" t="n">
        <v>4</v>
      </c>
    </row>
    <row r="540" customFormat="false" ht="15" hidden="false" customHeight="false" outlineLevel="0" collapsed="false">
      <c r="A540" s="25" t="n">
        <v>20220419</v>
      </c>
      <c r="B540" s="25" t="s">
        <v>2246</v>
      </c>
      <c r="C540" s="27" t="b">
        <f aca="false">FALSE()</f>
        <v>0</v>
      </c>
      <c r="D540" s="26" t="n">
        <v>44670</v>
      </c>
      <c r="E540" s="25" t="n">
        <v>2022</v>
      </c>
      <c r="F540" s="25" t="n">
        <v>2</v>
      </c>
      <c r="G540" s="25" t="n">
        <v>4</v>
      </c>
    </row>
    <row r="541" customFormat="false" ht="15" hidden="false" customHeight="false" outlineLevel="0" collapsed="false">
      <c r="A541" s="25" t="n">
        <v>20220420</v>
      </c>
      <c r="B541" s="25" t="s">
        <v>2246</v>
      </c>
      <c r="C541" s="27" t="b">
        <f aca="false">FALSE()</f>
        <v>0</v>
      </c>
      <c r="D541" s="26" t="n">
        <v>44671</v>
      </c>
      <c r="E541" s="25" t="n">
        <v>2022</v>
      </c>
      <c r="F541" s="25" t="n">
        <v>2</v>
      </c>
      <c r="G541" s="25" t="n">
        <v>4</v>
      </c>
    </row>
    <row r="542" customFormat="false" ht="15" hidden="false" customHeight="false" outlineLevel="0" collapsed="false">
      <c r="A542" s="25" t="n">
        <v>20220421</v>
      </c>
      <c r="B542" s="25" t="s">
        <v>2246</v>
      </c>
      <c r="C542" s="27" t="b">
        <f aca="false">FALSE()</f>
        <v>0</v>
      </c>
      <c r="D542" s="26" t="n">
        <v>44672</v>
      </c>
      <c r="E542" s="25" t="n">
        <v>2022</v>
      </c>
      <c r="F542" s="25" t="n">
        <v>2</v>
      </c>
      <c r="G542" s="25" t="n">
        <v>4</v>
      </c>
    </row>
    <row r="543" customFormat="false" ht="15" hidden="false" customHeight="false" outlineLevel="0" collapsed="false">
      <c r="A543" s="25" t="n">
        <v>20220422</v>
      </c>
      <c r="B543" s="25" t="s">
        <v>2246</v>
      </c>
      <c r="C543" s="27" t="b">
        <f aca="false">FALSE()</f>
        <v>0</v>
      </c>
      <c r="D543" s="26" t="n">
        <v>44673</v>
      </c>
      <c r="E543" s="25" t="n">
        <v>2022</v>
      </c>
      <c r="F543" s="25" t="n">
        <v>2</v>
      </c>
      <c r="G543" s="25" t="n">
        <v>4</v>
      </c>
    </row>
    <row r="544" customFormat="false" ht="15" hidden="false" customHeight="false" outlineLevel="0" collapsed="false">
      <c r="A544" s="25" t="n">
        <v>20220423</v>
      </c>
      <c r="B544" s="25" t="s">
        <v>2246</v>
      </c>
      <c r="C544" s="27" t="b">
        <f aca="false">TRUE()</f>
        <v>1</v>
      </c>
      <c r="D544" s="26" t="n">
        <v>44674</v>
      </c>
      <c r="E544" s="25" t="n">
        <v>2022</v>
      </c>
      <c r="F544" s="25" t="n">
        <v>2</v>
      </c>
      <c r="G544" s="25" t="n">
        <v>4</v>
      </c>
    </row>
    <row r="545" customFormat="false" ht="15" hidden="false" customHeight="false" outlineLevel="0" collapsed="false">
      <c r="A545" s="25" t="n">
        <v>20220424</v>
      </c>
      <c r="B545" s="25" t="s">
        <v>2246</v>
      </c>
      <c r="C545" s="27" t="b">
        <f aca="false">TRUE()</f>
        <v>1</v>
      </c>
      <c r="D545" s="26" t="n">
        <v>44675</v>
      </c>
      <c r="E545" s="25" t="n">
        <v>2022</v>
      </c>
      <c r="F545" s="25" t="n">
        <v>2</v>
      </c>
      <c r="G545" s="25" t="n">
        <v>4</v>
      </c>
    </row>
    <row r="546" customFormat="false" ht="15" hidden="false" customHeight="false" outlineLevel="0" collapsed="false">
      <c r="A546" s="25" t="n">
        <v>20220425</v>
      </c>
      <c r="B546" s="25" t="s">
        <v>2246</v>
      </c>
      <c r="C546" s="27" t="b">
        <f aca="false">FALSE()</f>
        <v>0</v>
      </c>
      <c r="D546" s="26" t="n">
        <v>44676</v>
      </c>
      <c r="E546" s="25" t="n">
        <v>2022</v>
      </c>
      <c r="F546" s="25" t="n">
        <v>2</v>
      </c>
      <c r="G546" s="25" t="n">
        <v>4</v>
      </c>
    </row>
    <row r="547" customFormat="false" ht="15" hidden="false" customHeight="false" outlineLevel="0" collapsed="false">
      <c r="A547" s="25" t="n">
        <v>20220426</v>
      </c>
      <c r="B547" s="25" t="s">
        <v>2246</v>
      </c>
      <c r="C547" s="27" t="b">
        <f aca="false">FALSE()</f>
        <v>0</v>
      </c>
      <c r="D547" s="26" t="n">
        <v>44677</v>
      </c>
      <c r="E547" s="25" t="n">
        <v>2022</v>
      </c>
      <c r="F547" s="25" t="n">
        <v>2</v>
      </c>
      <c r="G547" s="25" t="n">
        <v>4</v>
      </c>
    </row>
    <row r="548" customFormat="false" ht="15" hidden="false" customHeight="false" outlineLevel="0" collapsed="false">
      <c r="A548" s="25" t="n">
        <v>20220427</v>
      </c>
      <c r="B548" s="25" t="s">
        <v>2246</v>
      </c>
      <c r="C548" s="27" t="b">
        <f aca="false">FALSE()</f>
        <v>0</v>
      </c>
      <c r="D548" s="26" t="n">
        <v>44678</v>
      </c>
      <c r="E548" s="25" t="n">
        <v>2022</v>
      </c>
      <c r="F548" s="25" t="n">
        <v>2</v>
      </c>
      <c r="G548" s="25" t="n">
        <v>4</v>
      </c>
    </row>
    <row r="549" customFormat="false" ht="15" hidden="false" customHeight="false" outlineLevel="0" collapsed="false">
      <c r="A549" s="25" t="n">
        <v>20220428</v>
      </c>
      <c r="B549" s="25" t="s">
        <v>2246</v>
      </c>
      <c r="C549" s="27" t="b">
        <f aca="false">FALSE()</f>
        <v>0</v>
      </c>
      <c r="D549" s="26" t="n">
        <v>44679</v>
      </c>
      <c r="E549" s="25" t="n">
        <v>2022</v>
      </c>
      <c r="F549" s="25" t="n">
        <v>2</v>
      </c>
      <c r="G549" s="25" t="n">
        <v>4</v>
      </c>
    </row>
    <row r="550" customFormat="false" ht="15" hidden="false" customHeight="false" outlineLevel="0" collapsed="false">
      <c r="A550" s="25" t="n">
        <v>20220429</v>
      </c>
      <c r="B550" s="25" t="s">
        <v>2246</v>
      </c>
      <c r="C550" s="27" t="b">
        <f aca="false">FALSE()</f>
        <v>0</v>
      </c>
      <c r="D550" s="26" t="n">
        <v>44680</v>
      </c>
      <c r="E550" s="25" t="n">
        <v>2022</v>
      </c>
      <c r="F550" s="25" t="n">
        <v>2</v>
      </c>
      <c r="G550" s="25" t="n">
        <v>4</v>
      </c>
    </row>
    <row r="551" customFormat="false" ht="15" hidden="false" customHeight="false" outlineLevel="0" collapsed="false">
      <c r="A551" s="25" t="n">
        <v>20220430</v>
      </c>
      <c r="B551" s="25" t="s">
        <v>2246</v>
      </c>
      <c r="C551" s="27" t="b">
        <f aca="false">TRUE()</f>
        <v>1</v>
      </c>
      <c r="D551" s="26" t="n">
        <v>44681</v>
      </c>
      <c r="E551" s="25" t="n">
        <v>2022</v>
      </c>
      <c r="F551" s="25" t="n">
        <v>2</v>
      </c>
      <c r="G551" s="25" t="n">
        <v>4</v>
      </c>
    </row>
    <row r="552" customFormat="false" ht="15" hidden="false" customHeight="false" outlineLevel="0" collapsed="false">
      <c r="A552" s="25" t="n">
        <v>20220501</v>
      </c>
      <c r="B552" s="25" t="s">
        <v>2247</v>
      </c>
      <c r="C552" s="27" t="b">
        <f aca="false">TRUE()</f>
        <v>1</v>
      </c>
      <c r="D552" s="26" t="n">
        <v>44682</v>
      </c>
      <c r="E552" s="25" t="n">
        <v>2022</v>
      </c>
      <c r="F552" s="25" t="n">
        <v>2</v>
      </c>
      <c r="G552" s="25" t="n">
        <v>5</v>
      </c>
    </row>
    <row r="553" customFormat="false" ht="15" hidden="false" customHeight="false" outlineLevel="0" collapsed="false">
      <c r="A553" s="25" t="n">
        <v>20220502</v>
      </c>
      <c r="B553" s="25" t="s">
        <v>2247</v>
      </c>
      <c r="C553" s="27" t="b">
        <f aca="false">FALSE()</f>
        <v>0</v>
      </c>
      <c r="D553" s="26" t="n">
        <v>44683</v>
      </c>
      <c r="E553" s="25" t="n">
        <v>2022</v>
      </c>
      <c r="F553" s="25" t="n">
        <v>2</v>
      </c>
      <c r="G553" s="25" t="n">
        <v>5</v>
      </c>
    </row>
    <row r="554" customFormat="false" ht="15" hidden="false" customHeight="false" outlineLevel="0" collapsed="false">
      <c r="A554" s="25" t="n">
        <v>20220503</v>
      </c>
      <c r="B554" s="25" t="s">
        <v>2247</v>
      </c>
      <c r="C554" s="27" t="b">
        <f aca="false">FALSE()</f>
        <v>0</v>
      </c>
      <c r="D554" s="26" t="n">
        <v>44684</v>
      </c>
      <c r="E554" s="25" t="n">
        <v>2022</v>
      </c>
      <c r="F554" s="25" t="n">
        <v>2</v>
      </c>
      <c r="G554" s="25" t="n">
        <v>5</v>
      </c>
    </row>
    <row r="555" customFormat="false" ht="15" hidden="false" customHeight="false" outlineLevel="0" collapsed="false">
      <c r="A555" s="25" t="n">
        <v>20220504</v>
      </c>
      <c r="B555" s="25" t="s">
        <v>2247</v>
      </c>
      <c r="C555" s="27" t="b">
        <f aca="false">FALSE()</f>
        <v>0</v>
      </c>
      <c r="D555" s="26" t="n">
        <v>44685</v>
      </c>
      <c r="E555" s="25" t="n">
        <v>2022</v>
      </c>
      <c r="F555" s="25" t="n">
        <v>2</v>
      </c>
      <c r="G555" s="25" t="n">
        <v>5</v>
      </c>
    </row>
    <row r="556" customFormat="false" ht="15" hidden="false" customHeight="false" outlineLevel="0" collapsed="false">
      <c r="A556" s="25" t="n">
        <v>20220505</v>
      </c>
      <c r="B556" s="25" t="s">
        <v>2247</v>
      </c>
      <c r="C556" s="27" t="b">
        <f aca="false">FALSE()</f>
        <v>0</v>
      </c>
      <c r="D556" s="26" t="n">
        <v>44686</v>
      </c>
      <c r="E556" s="25" t="n">
        <v>2022</v>
      </c>
      <c r="F556" s="25" t="n">
        <v>2</v>
      </c>
      <c r="G556" s="25" t="n">
        <v>5</v>
      </c>
    </row>
    <row r="557" customFormat="false" ht="15" hidden="false" customHeight="false" outlineLevel="0" collapsed="false">
      <c r="A557" s="25" t="n">
        <v>20220506</v>
      </c>
      <c r="B557" s="25" t="s">
        <v>2247</v>
      </c>
      <c r="C557" s="27" t="b">
        <f aca="false">FALSE()</f>
        <v>0</v>
      </c>
      <c r="D557" s="26" t="n">
        <v>44687</v>
      </c>
      <c r="E557" s="25" t="n">
        <v>2022</v>
      </c>
      <c r="F557" s="25" t="n">
        <v>2</v>
      </c>
      <c r="G557" s="25" t="n">
        <v>5</v>
      </c>
    </row>
    <row r="558" customFormat="false" ht="15" hidden="false" customHeight="false" outlineLevel="0" collapsed="false">
      <c r="A558" s="25" t="n">
        <v>20220507</v>
      </c>
      <c r="B558" s="25" t="s">
        <v>2247</v>
      </c>
      <c r="C558" s="27" t="b">
        <f aca="false">TRUE()</f>
        <v>1</v>
      </c>
      <c r="D558" s="26" t="n">
        <v>44688</v>
      </c>
      <c r="E558" s="25" t="n">
        <v>2022</v>
      </c>
      <c r="F558" s="25" t="n">
        <v>2</v>
      </c>
      <c r="G558" s="25" t="n">
        <v>5</v>
      </c>
    </row>
    <row r="559" customFormat="false" ht="15" hidden="false" customHeight="false" outlineLevel="0" collapsed="false">
      <c r="A559" s="25" t="n">
        <v>20220508</v>
      </c>
      <c r="B559" s="25" t="s">
        <v>2247</v>
      </c>
      <c r="C559" s="27" t="b">
        <f aca="false">TRUE()</f>
        <v>1</v>
      </c>
      <c r="D559" s="26" t="n">
        <v>44689</v>
      </c>
      <c r="E559" s="25" t="n">
        <v>2022</v>
      </c>
      <c r="F559" s="25" t="n">
        <v>2</v>
      </c>
      <c r="G559" s="25" t="n">
        <v>5</v>
      </c>
    </row>
    <row r="560" customFormat="false" ht="15" hidden="false" customHeight="false" outlineLevel="0" collapsed="false">
      <c r="A560" s="25" t="n">
        <v>20220509</v>
      </c>
      <c r="B560" s="25" t="s">
        <v>2247</v>
      </c>
      <c r="C560" s="27" t="b">
        <f aca="false">FALSE()</f>
        <v>0</v>
      </c>
      <c r="D560" s="26" t="n">
        <v>44690</v>
      </c>
      <c r="E560" s="25" t="n">
        <v>2022</v>
      </c>
      <c r="F560" s="25" t="n">
        <v>2</v>
      </c>
      <c r="G560" s="25" t="n">
        <v>5</v>
      </c>
    </row>
    <row r="561" customFormat="false" ht="15" hidden="false" customHeight="false" outlineLevel="0" collapsed="false">
      <c r="A561" s="25" t="n">
        <v>20220510</v>
      </c>
      <c r="B561" s="25" t="s">
        <v>2247</v>
      </c>
      <c r="C561" s="27" t="b">
        <f aca="false">FALSE()</f>
        <v>0</v>
      </c>
      <c r="D561" s="26" t="n">
        <v>44691</v>
      </c>
      <c r="E561" s="25" t="n">
        <v>2022</v>
      </c>
      <c r="F561" s="25" t="n">
        <v>2</v>
      </c>
      <c r="G561" s="25" t="n">
        <v>5</v>
      </c>
    </row>
    <row r="562" customFormat="false" ht="15" hidden="false" customHeight="false" outlineLevel="0" collapsed="false">
      <c r="A562" s="25" t="n">
        <v>20220511</v>
      </c>
      <c r="B562" s="25" t="s">
        <v>2247</v>
      </c>
      <c r="C562" s="27" t="b">
        <f aca="false">FALSE()</f>
        <v>0</v>
      </c>
      <c r="D562" s="26" t="n">
        <v>44692</v>
      </c>
      <c r="E562" s="25" t="n">
        <v>2022</v>
      </c>
      <c r="F562" s="25" t="n">
        <v>2</v>
      </c>
      <c r="G562" s="25" t="n">
        <v>5</v>
      </c>
    </row>
    <row r="563" customFormat="false" ht="15" hidden="false" customHeight="false" outlineLevel="0" collapsed="false">
      <c r="A563" s="25" t="n">
        <v>20220512</v>
      </c>
      <c r="B563" s="25" t="s">
        <v>2247</v>
      </c>
      <c r="C563" s="27" t="b">
        <f aca="false">FALSE()</f>
        <v>0</v>
      </c>
      <c r="D563" s="26" t="n">
        <v>44693</v>
      </c>
      <c r="E563" s="25" t="n">
        <v>2022</v>
      </c>
      <c r="F563" s="25" t="n">
        <v>2</v>
      </c>
      <c r="G563" s="25" t="n">
        <v>5</v>
      </c>
    </row>
    <row r="564" customFormat="false" ht="15" hidden="false" customHeight="false" outlineLevel="0" collapsed="false">
      <c r="A564" s="25" t="n">
        <v>20220513</v>
      </c>
      <c r="B564" s="25" t="s">
        <v>2247</v>
      </c>
      <c r="C564" s="27" t="b">
        <f aca="false">FALSE()</f>
        <v>0</v>
      </c>
      <c r="D564" s="26" t="n">
        <v>44694</v>
      </c>
      <c r="E564" s="25" t="n">
        <v>2022</v>
      </c>
      <c r="F564" s="25" t="n">
        <v>2</v>
      </c>
      <c r="G564" s="25" t="n">
        <v>5</v>
      </c>
    </row>
    <row r="565" customFormat="false" ht="15" hidden="false" customHeight="false" outlineLevel="0" collapsed="false">
      <c r="A565" s="25" t="n">
        <v>20220514</v>
      </c>
      <c r="B565" s="25" t="s">
        <v>2247</v>
      </c>
      <c r="C565" s="27" t="b">
        <f aca="false">TRUE()</f>
        <v>1</v>
      </c>
      <c r="D565" s="26" t="n">
        <v>44695</v>
      </c>
      <c r="E565" s="25" t="n">
        <v>2022</v>
      </c>
      <c r="F565" s="25" t="n">
        <v>2</v>
      </c>
      <c r="G565" s="25" t="n">
        <v>5</v>
      </c>
    </row>
    <row r="566" customFormat="false" ht="15" hidden="false" customHeight="false" outlineLevel="0" collapsed="false">
      <c r="A566" s="25" t="n">
        <v>20220515</v>
      </c>
      <c r="B566" s="25" t="s">
        <v>2247</v>
      </c>
      <c r="C566" s="27" t="b">
        <f aca="false">TRUE()</f>
        <v>1</v>
      </c>
      <c r="D566" s="26" t="n">
        <v>44696</v>
      </c>
      <c r="E566" s="25" t="n">
        <v>2022</v>
      </c>
      <c r="F566" s="25" t="n">
        <v>2</v>
      </c>
      <c r="G566" s="25" t="n">
        <v>5</v>
      </c>
    </row>
    <row r="567" customFormat="false" ht="15" hidden="false" customHeight="false" outlineLevel="0" collapsed="false">
      <c r="A567" s="25" t="n">
        <v>20220516</v>
      </c>
      <c r="B567" s="25" t="s">
        <v>2247</v>
      </c>
      <c r="C567" s="27" t="b">
        <f aca="false">FALSE()</f>
        <v>0</v>
      </c>
      <c r="D567" s="26" t="n">
        <v>44697</v>
      </c>
      <c r="E567" s="25" t="n">
        <v>2022</v>
      </c>
      <c r="F567" s="25" t="n">
        <v>2</v>
      </c>
      <c r="G567" s="25" t="n">
        <v>5</v>
      </c>
    </row>
    <row r="568" customFormat="false" ht="15" hidden="false" customHeight="false" outlineLevel="0" collapsed="false">
      <c r="A568" s="25" t="n">
        <v>20220517</v>
      </c>
      <c r="B568" s="25" t="s">
        <v>2247</v>
      </c>
      <c r="C568" s="27" t="b">
        <f aca="false">FALSE()</f>
        <v>0</v>
      </c>
      <c r="D568" s="26" t="n">
        <v>44698</v>
      </c>
      <c r="E568" s="25" t="n">
        <v>2022</v>
      </c>
      <c r="F568" s="25" t="n">
        <v>2</v>
      </c>
      <c r="G568" s="25" t="n">
        <v>5</v>
      </c>
    </row>
    <row r="569" customFormat="false" ht="15" hidden="false" customHeight="false" outlineLevel="0" collapsed="false">
      <c r="A569" s="25" t="n">
        <v>20220518</v>
      </c>
      <c r="B569" s="25" t="s">
        <v>2247</v>
      </c>
      <c r="C569" s="27" t="b">
        <f aca="false">FALSE()</f>
        <v>0</v>
      </c>
      <c r="D569" s="26" t="n">
        <v>44699</v>
      </c>
      <c r="E569" s="25" t="n">
        <v>2022</v>
      </c>
      <c r="F569" s="25" t="n">
        <v>2</v>
      </c>
      <c r="G569" s="25" t="n">
        <v>5</v>
      </c>
    </row>
    <row r="570" customFormat="false" ht="15" hidden="false" customHeight="false" outlineLevel="0" collapsed="false">
      <c r="A570" s="25" t="n">
        <v>20220519</v>
      </c>
      <c r="B570" s="25" t="s">
        <v>2247</v>
      </c>
      <c r="C570" s="27" t="b">
        <f aca="false">FALSE()</f>
        <v>0</v>
      </c>
      <c r="D570" s="26" t="n">
        <v>44700</v>
      </c>
      <c r="E570" s="25" t="n">
        <v>2022</v>
      </c>
      <c r="F570" s="25" t="n">
        <v>2</v>
      </c>
      <c r="G570" s="25" t="n">
        <v>5</v>
      </c>
    </row>
    <row r="571" customFormat="false" ht="15" hidden="false" customHeight="false" outlineLevel="0" collapsed="false">
      <c r="A571" s="25" t="n">
        <v>20220520</v>
      </c>
      <c r="B571" s="25" t="s">
        <v>2247</v>
      </c>
      <c r="C571" s="27" t="b">
        <f aca="false">FALSE()</f>
        <v>0</v>
      </c>
      <c r="D571" s="26" t="n">
        <v>44701</v>
      </c>
      <c r="E571" s="25" t="n">
        <v>2022</v>
      </c>
      <c r="F571" s="25" t="n">
        <v>2</v>
      </c>
      <c r="G571" s="25" t="n">
        <v>5</v>
      </c>
    </row>
    <row r="572" customFormat="false" ht="15" hidden="false" customHeight="false" outlineLevel="0" collapsed="false">
      <c r="A572" s="25" t="n">
        <v>20220521</v>
      </c>
      <c r="B572" s="25" t="s">
        <v>2247</v>
      </c>
      <c r="C572" s="27" t="b">
        <f aca="false">TRUE()</f>
        <v>1</v>
      </c>
      <c r="D572" s="26" t="n">
        <v>44702</v>
      </c>
      <c r="E572" s="25" t="n">
        <v>2022</v>
      </c>
      <c r="F572" s="25" t="n">
        <v>2</v>
      </c>
      <c r="G572" s="25" t="n">
        <v>5</v>
      </c>
    </row>
    <row r="573" customFormat="false" ht="15" hidden="false" customHeight="false" outlineLevel="0" collapsed="false">
      <c r="A573" s="25" t="n">
        <v>20220522</v>
      </c>
      <c r="B573" s="25" t="s">
        <v>2247</v>
      </c>
      <c r="C573" s="27" t="b">
        <f aca="false">TRUE()</f>
        <v>1</v>
      </c>
      <c r="D573" s="26" t="n">
        <v>44703</v>
      </c>
      <c r="E573" s="25" t="n">
        <v>2022</v>
      </c>
      <c r="F573" s="25" t="n">
        <v>2</v>
      </c>
      <c r="G573" s="25" t="n">
        <v>5</v>
      </c>
    </row>
    <row r="574" customFormat="false" ht="15" hidden="false" customHeight="false" outlineLevel="0" collapsed="false">
      <c r="A574" s="25" t="n">
        <v>20220523</v>
      </c>
      <c r="B574" s="25" t="s">
        <v>2247</v>
      </c>
      <c r="C574" s="27" t="b">
        <f aca="false">FALSE()</f>
        <v>0</v>
      </c>
      <c r="D574" s="26" t="n">
        <v>44704</v>
      </c>
      <c r="E574" s="25" t="n">
        <v>2022</v>
      </c>
      <c r="F574" s="25" t="n">
        <v>2</v>
      </c>
      <c r="G574" s="25" t="n">
        <v>5</v>
      </c>
    </row>
    <row r="575" customFormat="false" ht="15" hidden="false" customHeight="false" outlineLevel="0" collapsed="false">
      <c r="A575" s="25" t="n">
        <v>20220524</v>
      </c>
      <c r="B575" s="25" t="s">
        <v>2247</v>
      </c>
      <c r="C575" s="27" t="b">
        <f aca="false">FALSE()</f>
        <v>0</v>
      </c>
      <c r="D575" s="26" t="n">
        <v>44705</v>
      </c>
      <c r="E575" s="25" t="n">
        <v>2022</v>
      </c>
      <c r="F575" s="25" t="n">
        <v>2</v>
      </c>
      <c r="G575" s="25" t="n">
        <v>5</v>
      </c>
    </row>
    <row r="576" customFormat="false" ht="15" hidden="false" customHeight="false" outlineLevel="0" collapsed="false">
      <c r="A576" s="25" t="n">
        <v>20220525</v>
      </c>
      <c r="B576" s="25" t="s">
        <v>2247</v>
      </c>
      <c r="C576" s="27" t="b">
        <f aca="false">FALSE()</f>
        <v>0</v>
      </c>
      <c r="D576" s="26" t="n">
        <v>44706</v>
      </c>
      <c r="E576" s="25" t="n">
        <v>2022</v>
      </c>
      <c r="F576" s="25" t="n">
        <v>2</v>
      </c>
      <c r="G576" s="25" t="n">
        <v>5</v>
      </c>
    </row>
    <row r="577" customFormat="false" ht="15" hidden="false" customHeight="false" outlineLevel="0" collapsed="false">
      <c r="A577" s="25" t="n">
        <v>20220526</v>
      </c>
      <c r="B577" s="25" t="s">
        <v>2247</v>
      </c>
      <c r="C577" s="27" t="b">
        <f aca="false">FALSE()</f>
        <v>0</v>
      </c>
      <c r="D577" s="26" t="n">
        <v>44707</v>
      </c>
      <c r="E577" s="25" t="n">
        <v>2022</v>
      </c>
      <c r="F577" s="25" t="n">
        <v>2</v>
      </c>
      <c r="G577" s="25" t="n">
        <v>5</v>
      </c>
    </row>
    <row r="578" customFormat="false" ht="15" hidden="false" customHeight="false" outlineLevel="0" collapsed="false">
      <c r="A578" s="25" t="n">
        <v>20220527</v>
      </c>
      <c r="B578" s="25" t="s">
        <v>2247</v>
      </c>
      <c r="C578" s="27" t="b">
        <f aca="false">FALSE()</f>
        <v>0</v>
      </c>
      <c r="D578" s="26" t="n">
        <v>44708</v>
      </c>
      <c r="E578" s="25" t="n">
        <v>2022</v>
      </c>
      <c r="F578" s="25" t="n">
        <v>2</v>
      </c>
      <c r="G578" s="25" t="n">
        <v>5</v>
      </c>
    </row>
    <row r="579" customFormat="false" ht="15" hidden="false" customHeight="false" outlineLevel="0" collapsed="false">
      <c r="A579" s="25" t="n">
        <v>20220528</v>
      </c>
      <c r="B579" s="25" t="s">
        <v>2247</v>
      </c>
      <c r="C579" s="27" t="b">
        <f aca="false">TRUE()</f>
        <v>1</v>
      </c>
      <c r="D579" s="26" t="n">
        <v>44709</v>
      </c>
      <c r="E579" s="25" t="n">
        <v>2022</v>
      </c>
      <c r="F579" s="25" t="n">
        <v>2</v>
      </c>
      <c r="G579" s="25" t="n">
        <v>5</v>
      </c>
    </row>
    <row r="580" customFormat="false" ht="15" hidden="false" customHeight="false" outlineLevel="0" collapsed="false">
      <c r="A580" s="25" t="n">
        <v>20220529</v>
      </c>
      <c r="B580" s="25" t="s">
        <v>2247</v>
      </c>
      <c r="C580" s="27" t="b">
        <f aca="false">TRUE()</f>
        <v>1</v>
      </c>
      <c r="D580" s="26" t="n">
        <v>44710</v>
      </c>
      <c r="E580" s="25" t="n">
        <v>2022</v>
      </c>
      <c r="F580" s="25" t="n">
        <v>2</v>
      </c>
      <c r="G580" s="25" t="n">
        <v>5</v>
      </c>
    </row>
    <row r="581" customFormat="false" ht="15" hidden="false" customHeight="false" outlineLevel="0" collapsed="false">
      <c r="A581" s="25" t="n">
        <v>20220530</v>
      </c>
      <c r="B581" s="25" t="s">
        <v>2247</v>
      </c>
      <c r="C581" s="27" t="b">
        <f aca="false">FALSE()</f>
        <v>0</v>
      </c>
      <c r="D581" s="26" t="n">
        <v>44711</v>
      </c>
      <c r="E581" s="25" t="n">
        <v>2022</v>
      </c>
      <c r="F581" s="25" t="n">
        <v>2</v>
      </c>
      <c r="G581" s="25" t="n">
        <v>5</v>
      </c>
    </row>
    <row r="582" customFormat="false" ht="15" hidden="false" customHeight="false" outlineLevel="0" collapsed="false">
      <c r="A582" s="25" t="n">
        <v>20220531</v>
      </c>
      <c r="B582" s="25" t="s">
        <v>2247</v>
      </c>
      <c r="C582" s="27" t="b">
        <f aca="false">FALSE()</f>
        <v>0</v>
      </c>
      <c r="D582" s="26" t="n">
        <v>44712</v>
      </c>
      <c r="E582" s="25" t="n">
        <v>2022</v>
      </c>
      <c r="F582" s="25" t="n">
        <v>2</v>
      </c>
      <c r="G582" s="25" t="n">
        <v>5</v>
      </c>
    </row>
    <row r="583" customFormat="false" ht="15" hidden="false" customHeight="false" outlineLevel="0" collapsed="false">
      <c r="A583" s="25" t="n">
        <v>20220601</v>
      </c>
      <c r="B583" s="25" t="s">
        <v>2248</v>
      </c>
      <c r="C583" s="27" t="b">
        <f aca="false">FALSE()</f>
        <v>0</v>
      </c>
      <c r="D583" s="26" t="n">
        <v>44713</v>
      </c>
      <c r="E583" s="25" t="n">
        <v>2022</v>
      </c>
      <c r="F583" s="25" t="n">
        <v>2</v>
      </c>
      <c r="G583" s="25" t="n">
        <v>6</v>
      </c>
    </row>
    <row r="584" customFormat="false" ht="15" hidden="false" customHeight="false" outlineLevel="0" collapsed="false">
      <c r="A584" s="25" t="n">
        <v>20220602</v>
      </c>
      <c r="B584" s="25" t="s">
        <v>2248</v>
      </c>
      <c r="C584" s="27" t="b">
        <f aca="false">FALSE()</f>
        <v>0</v>
      </c>
      <c r="D584" s="26" t="n">
        <v>44714</v>
      </c>
      <c r="E584" s="25" t="n">
        <v>2022</v>
      </c>
      <c r="F584" s="25" t="n">
        <v>2</v>
      </c>
      <c r="G584" s="25" t="n">
        <v>6</v>
      </c>
    </row>
    <row r="585" customFormat="false" ht="15" hidden="false" customHeight="false" outlineLevel="0" collapsed="false">
      <c r="A585" s="25" t="n">
        <v>20220603</v>
      </c>
      <c r="B585" s="25" t="s">
        <v>2248</v>
      </c>
      <c r="C585" s="27" t="b">
        <f aca="false">FALSE()</f>
        <v>0</v>
      </c>
      <c r="D585" s="26" t="n">
        <v>44715</v>
      </c>
      <c r="E585" s="25" t="n">
        <v>2022</v>
      </c>
      <c r="F585" s="25" t="n">
        <v>2</v>
      </c>
      <c r="G585" s="25" t="n">
        <v>6</v>
      </c>
    </row>
    <row r="586" customFormat="false" ht="15" hidden="false" customHeight="false" outlineLevel="0" collapsed="false">
      <c r="A586" s="25" t="n">
        <v>20220604</v>
      </c>
      <c r="B586" s="25" t="s">
        <v>2248</v>
      </c>
      <c r="C586" s="27" t="b">
        <f aca="false">TRUE()</f>
        <v>1</v>
      </c>
      <c r="D586" s="26" t="n">
        <v>44716</v>
      </c>
      <c r="E586" s="25" t="n">
        <v>2022</v>
      </c>
      <c r="F586" s="25" t="n">
        <v>2</v>
      </c>
      <c r="G586" s="25" t="n">
        <v>6</v>
      </c>
    </row>
    <row r="587" customFormat="false" ht="15" hidden="false" customHeight="false" outlineLevel="0" collapsed="false">
      <c r="A587" s="25" t="n">
        <v>20220605</v>
      </c>
      <c r="B587" s="25" t="s">
        <v>2248</v>
      </c>
      <c r="C587" s="27" t="b">
        <f aca="false">TRUE()</f>
        <v>1</v>
      </c>
      <c r="D587" s="26" t="n">
        <v>44717</v>
      </c>
      <c r="E587" s="25" t="n">
        <v>2022</v>
      </c>
      <c r="F587" s="25" t="n">
        <v>2</v>
      </c>
      <c r="G587" s="25" t="n">
        <v>6</v>
      </c>
    </row>
    <row r="588" customFormat="false" ht="15" hidden="false" customHeight="false" outlineLevel="0" collapsed="false">
      <c r="A588" s="25" t="n">
        <v>20220606</v>
      </c>
      <c r="B588" s="25" t="s">
        <v>2248</v>
      </c>
      <c r="C588" s="27" t="b">
        <f aca="false">FALSE()</f>
        <v>0</v>
      </c>
      <c r="D588" s="26" t="n">
        <v>44718</v>
      </c>
      <c r="E588" s="25" t="n">
        <v>2022</v>
      </c>
      <c r="F588" s="25" t="n">
        <v>2</v>
      </c>
      <c r="G588" s="25" t="n">
        <v>6</v>
      </c>
    </row>
    <row r="589" customFormat="false" ht="15" hidden="false" customHeight="false" outlineLevel="0" collapsed="false">
      <c r="A589" s="25" t="n">
        <v>20220607</v>
      </c>
      <c r="B589" s="25" t="s">
        <v>2248</v>
      </c>
      <c r="C589" s="27" t="b">
        <f aca="false">FALSE()</f>
        <v>0</v>
      </c>
      <c r="D589" s="26" t="n">
        <v>44719</v>
      </c>
      <c r="E589" s="25" t="n">
        <v>2022</v>
      </c>
      <c r="F589" s="25" t="n">
        <v>2</v>
      </c>
      <c r="G589" s="25" t="n">
        <v>6</v>
      </c>
    </row>
    <row r="590" customFormat="false" ht="15" hidden="false" customHeight="false" outlineLevel="0" collapsed="false">
      <c r="A590" s="25" t="n">
        <v>20220608</v>
      </c>
      <c r="B590" s="25" t="s">
        <v>2248</v>
      </c>
      <c r="C590" s="27" t="b">
        <f aca="false">FALSE()</f>
        <v>0</v>
      </c>
      <c r="D590" s="26" t="n">
        <v>44720</v>
      </c>
      <c r="E590" s="25" t="n">
        <v>2022</v>
      </c>
      <c r="F590" s="25" t="n">
        <v>2</v>
      </c>
      <c r="G590" s="25" t="n">
        <v>6</v>
      </c>
    </row>
    <row r="591" customFormat="false" ht="15" hidden="false" customHeight="false" outlineLevel="0" collapsed="false">
      <c r="A591" s="25" t="n">
        <v>20220609</v>
      </c>
      <c r="B591" s="25" t="s">
        <v>2248</v>
      </c>
      <c r="C591" s="27" t="b">
        <f aca="false">FALSE()</f>
        <v>0</v>
      </c>
      <c r="D591" s="26" t="n">
        <v>44721</v>
      </c>
      <c r="E591" s="25" t="n">
        <v>2022</v>
      </c>
      <c r="F591" s="25" t="n">
        <v>2</v>
      </c>
      <c r="G591" s="25" t="n">
        <v>6</v>
      </c>
    </row>
    <row r="592" customFormat="false" ht="15" hidden="false" customHeight="false" outlineLevel="0" collapsed="false">
      <c r="A592" s="25" t="n">
        <v>20220610</v>
      </c>
      <c r="B592" s="25" t="s">
        <v>2248</v>
      </c>
      <c r="C592" s="27" t="b">
        <f aca="false">FALSE()</f>
        <v>0</v>
      </c>
      <c r="D592" s="26" t="n">
        <v>44722</v>
      </c>
      <c r="E592" s="25" t="n">
        <v>2022</v>
      </c>
      <c r="F592" s="25" t="n">
        <v>2</v>
      </c>
      <c r="G592" s="25" t="n">
        <v>6</v>
      </c>
    </row>
    <row r="593" customFormat="false" ht="15" hidden="false" customHeight="false" outlineLevel="0" collapsed="false">
      <c r="A593" s="25" t="n">
        <v>20220611</v>
      </c>
      <c r="B593" s="25" t="s">
        <v>2248</v>
      </c>
      <c r="C593" s="27" t="b">
        <f aca="false">TRUE()</f>
        <v>1</v>
      </c>
      <c r="D593" s="26" t="n">
        <v>44723</v>
      </c>
      <c r="E593" s="25" t="n">
        <v>2022</v>
      </c>
      <c r="F593" s="25" t="n">
        <v>2</v>
      </c>
      <c r="G593" s="25" t="n">
        <v>6</v>
      </c>
    </row>
    <row r="594" customFormat="false" ht="15" hidden="false" customHeight="false" outlineLevel="0" collapsed="false">
      <c r="A594" s="25" t="n">
        <v>20220612</v>
      </c>
      <c r="B594" s="25" t="s">
        <v>2248</v>
      </c>
      <c r="C594" s="27" t="b">
        <f aca="false">TRUE()</f>
        <v>1</v>
      </c>
      <c r="D594" s="26" t="n">
        <v>44724</v>
      </c>
      <c r="E594" s="25" t="n">
        <v>2022</v>
      </c>
      <c r="F594" s="25" t="n">
        <v>2</v>
      </c>
      <c r="G594" s="25" t="n">
        <v>6</v>
      </c>
    </row>
    <row r="595" customFormat="false" ht="15" hidden="false" customHeight="false" outlineLevel="0" collapsed="false">
      <c r="A595" s="25" t="n">
        <v>20220613</v>
      </c>
      <c r="B595" s="25" t="s">
        <v>2248</v>
      </c>
      <c r="C595" s="27" t="b">
        <f aca="false">FALSE()</f>
        <v>0</v>
      </c>
      <c r="D595" s="26" t="n">
        <v>44725</v>
      </c>
      <c r="E595" s="25" t="n">
        <v>2022</v>
      </c>
      <c r="F595" s="25" t="n">
        <v>2</v>
      </c>
      <c r="G595" s="25" t="n">
        <v>6</v>
      </c>
    </row>
    <row r="596" customFormat="false" ht="15" hidden="false" customHeight="false" outlineLevel="0" collapsed="false">
      <c r="A596" s="25" t="n">
        <v>20220614</v>
      </c>
      <c r="B596" s="25" t="s">
        <v>2248</v>
      </c>
      <c r="C596" s="27" t="b">
        <f aca="false">FALSE()</f>
        <v>0</v>
      </c>
      <c r="D596" s="26" t="n">
        <v>44726</v>
      </c>
      <c r="E596" s="25" t="n">
        <v>2022</v>
      </c>
      <c r="F596" s="25" t="n">
        <v>2</v>
      </c>
      <c r="G596" s="25" t="n">
        <v>6</v>
      </c>
    </row>
    <row r="597" customFormat="false" ht="15" hidden="false" customHeight="false" outlineLevel="0" collapsed="false">
      <c r="A597" s="25" t="n">
        <v>20220615</v>
      </c>
      <c r="B597" s="25" t="s">
        <v>2248</v>
      </c>
      <c r="C597" s="27" t="b">
        <f aca="false">FALSE()</f>
        <v>0</v>
      </c>
      <c r="D597" s="26" t="n">
        <v>44727</v>
      </c>
      <c r="E597" s="25" t="n">
        <v>2022</v>
      </c>
      <c r="F597" s="25" t="n">
        <v>2</v>
      </c>
      <c r="G597" s="25" t="n">
        <v>6</v>
      </c>
    </row>
    <row r="598" customFormat="false" ht="15" hidden="false" customHeight="false" outlineLevel="0" collapsed="false">
      <c r="A598" s="25" t="n">
        <v>20220616</v>
      </c>
      <c r="B598" s="25" t="s">
        <v>2248</v>
      </c>
      <c r="C598" s="27" t="b">
        <f aca="false">FALSE()</f>
        <v>0</v>
      </c>
      <c r="D598" s="26" t="n">
        <v>44728</v>
      </c>
      <c r="E598" s="25" t="n">
        <v>2022</v>
      </c>
      <c r="F598" s="25" t="n">
        <v>2</v>
      </c>
      <c r="G598" s="25" t="n">
        <v>6</v>
      </c>
    </row>
    <row r="599" customFormat="false" ht="15" hidden="false" customHeight="false" outlineLevel="0" collapsed="false">
      <c r="A599" s="25" t="n">
        <v>20220617</v>
      </c>
      <c r="B599" s="25" t="s">
        <v>2248</v>
      </c>
      <c r="C599" s="27" t="b">
        <f aca="false">FALSE()</f>
        <v>0</v>
      </c>
      <c r="D599" s="26" t="n">
        <v>44729</v>
      </c>
      <c r="E599" s="25" t="n">
        <v>2022</v>
      </c>
      <c r="F599" s="25" t="n">
        <v>2</v>
      </c>
      <c r="G599" s="25" t="n">
        <v>6</v>
      </c>
    </row>
    <row r="600" customFormat="false" ht="15" hidden="false" customHeight="false" outlineLevel="0" collapsed="false">
      <c r="A600" s="25" t="n">
        <v>20220618</v>
      </c>
      <c r="B600" s="25" t="s">
        <v>2248</v>
      </c>
      <c r="C600" s="27" t="b">
        <f aca="false">TRUE()</f>
        <v>1</v>
      </c>
      <c r="D600" s="26" t="n">
        <v>44730</v>
      </c>
      <c r="E600" s="25" t="n">
        <v>2022</v>
      </c>
      <c r="F600" s="25" t="n">
        <v>2</v>
      </c>
      <c r="G600" s="25" t="n">
        <v>6</v>
      </c>
    </row>
    <row r="601" customFormat="false" ht="15" hidden="false" customHeight="false" outlineLevel="0" collapsed="false">
      <c r="A601" s="25" t="n">
        <v>20220619</v>
      </c>
      <c r="B601" s="25" t="s">
        <v>2248</v>
      </c>
      <c r="C601" s="27" t="b">
        <f aca="false">TRUE()</f>
        <v>1</v>
      </c>
      <c r="D601" s="26" t="n">
        <v>44731</v>
      </c>
      <c r="E601" s="25" t="n">
        <v>2022</v>
      </c>
      <c r="F601" s="25" t="n">
        <v>2</v>
      </c>
      <c r="G601" s="25" t="n">
        <v>6</v>
      </c>
    </row>
    <row r="602" customFormat="false" ht="15" hidden="false" customHeight="false" outlineLevel="0" collapsed="false">
      <c r="A602" s="25" t="n">
        <v>20220620</v>
      </c>
      <c r="B602" s="25" t="s">
        <v>2248</v>
      </c>
      <c r="C602" s="27" t="b">
        <f aca="false">FALSE()</f>
        <v>0</v>
      </c>
      <c r="D602" s="26" t="n">
        <v>44732</v>
      </c>
      <c r="E602" s="25" t="n">
        <v>2022</v>
      </c>
      <c r="F602" s="25" t="n">
        <v>2</v>
      </c>
      <c r="G602" s="25" t="n">
        <v>6</v>
      </c>
    </row>
    <row r="603" customFormat="false" ht="15" hidden="false" customHeight="false" outlineLevel="0" collapsed="false">
      <c r="A603" s="25" t="n">
        <v>20220621</v>
      </c>
      <c r="B603" s="25" t="s">
        <v>2248</v>
      </c>
      <c r="C603" s="27" t="b">
        <f aca="false">FALSE()</f>
        <v>0</v>
      </c>
      <c r="D603" s="26" t="n">
        <v>44733</v>
      </c>
      <c r="E603" s="25" t="n">
        <v>2022</v>
      </c>
      <c r="F603" s="25" t="n">
        <v>2</v>
      </c>
      <c r="G603" s="25" t="n">
        <v>6</v>
      </c>
    </row>
    <row r="604" customFormat="false" ht="15" hidden="false" customHeight="false" outlineLevel="0" collapsed="false">
      <c r="A604" s="25" t="n">
        <v>20220622</v>
      </c>
      <c r="B604" s="25" t="s">
        <v>2248</v>
      </c>
      <c r="C604" s="27" t="b">
        <f aca="false">FALSE()</f>
        <v>0</v>
      </c>
      <c r="D604" s="26" t="n">
        <v>44734</v>
      </c>
      <c r="E604" s="25" t="n">
        <v>2022</v>
      </c>
      <c r="F604" s="25" t="n">
        <v>2</v>
      </c>
      <c r="G604" s="25" t="n">
        <v>6</v>
      </c>
    </row>
    <row r="605" customFormat="false" ht="15" hidden="false" customHeight="false" outlineLevel="0" collapsed="false">
      <c r="A605" s="25" t="n">
        <v>20220623</v>
      </c>
      <c r="B605" s="25" t="s">
        <v>2248</v>
      </c>
      <c r="C605" s="27" t="b">
        <f aca="false">FALSE()</f>
        <v>0</v>
      </c>
      <c r="D605" s="26" t="n">
        <v>44735</v>
      </c>
      <c r="E605" s="25" t="n">
        <v>2022</v>
      </c>
      <c r="F605" s="25" t="n">
        <v>2</v>
      </c>
      <c r="G605" s="25" t="n">
        <v>6</v>
      </c>
    </row>
    <row r="606" customFormat="false" ht="15" hidden="false" customHeight="false" outlineLevel="0" collapsed="false">
      <c r="A606" s="25" t="n">
        <v>20220624</v>
      </c>
      <c r="B606" s="25" t="s">
        <v>2248</v>
      </c>
      <c r="C606" s="27" t="b">
        <f aca="false">FALSE()</f>
        <v>0</v>
      </c>
      <c r="D606" s="26" t="n">
        <v>44736</v>
      </c>
      <c r="E606" s="25" t="n">
        <v>2022</v>
      </c>
      <c r="F606" s="25" t="n">
        <v>2</v>
      </c>
      <c r="G606" s="25" t="n">
        <v>6</v>
      </c>
    </row>
    <row r="607" customFormat="false" ht="15" hidden="false" customHeight="false" outlineLevel="0" collapsed="false">
      <c r="A607" s="25" t="n">
        <v>20220625</v>
      </c>
      <c r="B607" s="25" t="s">
        <v>2248</v>
      </c>
      <c r="C607" s="27" t="b">
        <f aca="false">TRUE()</f>
        <v>1</v>
      </c>
      <c r="D607" s="26" t="n">
        <v>44737</v>
      </c>
      <c r="E607" s="25" t="n">
        <v>2022</v>
      </c>
      <c r="F607" s="25" t="n">
        <v>2</v>
      </c>
      <c r="G607" s="25" t="n">
        <v>6</v>
      </c>
    </row>
    <row r="608" customFormat="false" ht="15" hidden="false" customHeight="false" outlineLevel="0" collapsed="false">
      <c r="A608" s="25" t="n">
        <v>20220626</v>
      </c>
      <c r="B608" s="25" t="s">
        <v>2248</v>
      </c>
      <c r="C608" s="27" t="b">
        <f aca="false">TRUE()</f>
        <v>1</v>
      </c>
      <c r="D608" s="26" t="n">
        <v>44738</v>
      </c>
      <c r="E608" s="25" t="n">
        <v>2022</v>
      </c>
      <c r="F608" s="25" t="n">
        <v>2</v>
      </c>
      <c r="G608" s="25" t="n">
        <v>6</v>
      </c>
    </row>
    <row r="609" customFormat="false" ht="15" hidden="false" customHeight="false" outlineLevel="0" collapsed="false">
      <c r="A609" s="25" t="n">
        <v>20220627</v>
      </c>
      <c r="B609" s="25" t="s">
        <v>2248</v>
      </c>
      <c r="C609" s="27" t="b">
        <f aca="false">FALSE()</f>
        <v>0</v>
      </c>
      <c r="D609" s="26" t="n">
        <v>44739</v>
      </c>
      <c r="E609" s="25" t="n">
        <v>2022</v>
      </c>
      <c r="F609" s="25" t="n">
        <v>2</v>
      </c>
      <c r="G609" s="25" t="n">
        <v>6</v>
      </c>
    </row>
    <row r="610" customFormat="false" ht="15" hidden="false" customHeight="false" outlineLevel="0" collapsed="false">
      <c r="A610" s="25" t="n">
        <v>20220628</v>
      </c>
      <c r="B610" s="25" t="s">
        <v>2248</v>
      </c>
      <c r="C610" s="27" t="b">
        <f aca="false">FALSE()</f>
        <v>0</v>
      </c>
      <c r="D610" s="26" t="n">
        <v>44740</v>
      </c>
      <c r="E610" s="25" t="n">
        <v>2022</v>
      </c>
      <c r="F610" s="25" t="n">
        <v>2</v>
      </c>
      <c r="G610" s="25" t="n">
        <v>6</v>
      </c>
    </row>
    <row r="611" customFormat="false" ht="15" hidden="false" customHeight="false" outlineLevel="0" collapsed="false">
      <c r="A611" s="25" t="n">
        <v>20220629</v>
      </c>
      <c r="B611" s="25" t="s">
        <v>2248</v>
      </c>
      <c r="C611" s="27" t="b">
        <f aca="false">FALSE()</f>
        <v>0</v>
      </c>
      <c r="D611" s="26" t="n">
        <v>44741</v>
      </c>
      <c r="E611" s="25" t="n">
        <v>2022</v>
      </c>
      <c r="F611" s="25" t="n">
        <v>2</v>
      </c>
      <c r="G611" s="25" t="n">
        <v>6</v>
      </c>
    </row>
    <row r="612" customFormat="false" ht="15" hidden="false" customHeight="false" outlineLevel="0" collapsed="false">
      <c r="A612" s="25" t="n">
        <v>20220630</v>
      </c>
      <c r="B612" s="25" t="s">
        <v>2248</v>
      </c>
      <c r="C612" s="27" t="b">
        <f aca="false">FALSE()</f>
        <v>0</v>
      </c>
      <c r="D612" s="26" t="n">
        <v>44742</v>
      </c>
      <c r="E612" s="25" t="n">
        <v>2022</v>
      </c>
      <c r="F612" s="25" t="n">
        <v>2</v>
      </c>
      <c r="G612" s="25" t="n">
        <v>6</v>
      </c>
    </row>
    <row r="613" customFormat="false" ht="15" hidden="false" customHeight="false" outlineLevel="0" collapsed="false">
      <c r="A613" s="25" t="n">
        <v>20220701</v>
      </c>
      <c r="B613" s="25" t="s">
        <v>2249</v>
      </c>
      <c r="C613" s="27" t="b">
        <f aca="false">FALSE()</f>
        <v>0</v>
      </c>
      <c r="D613" s="26" t="n">
        <v>44743</v>
      </c>
      <c r="E613" s="25" t="n">
        <v>2022</v>
      </c>
      <c r="F613" s="25" t="n">
        <v>3</v>
      </c>
      <c r="G613" s="25" t="n">
        <v>7</v>
      </c>
    </row>
    <row r="614" customFormat="false" ht="15" hidden="false" customHeight="false" outlineLevel="0" collapsed="false">
      <c r="A614" s="25" t="n">
        <v>20220702</v>
      </c>
      <c r="B614" s="25" t="s">
        <v>2249</v>
      </c>
      <c r="C614" s="27" t="b">
        <f aca="false">TRUE()</f>
        <v>1</v>
      </c>
      <c r="D614" s="26" t="n">
        <v>44744</v>
      </c>
      <c r="E614" s="25" t="n">
        <v>2022</v>
      </c>
      <c r="F614" s="25" t="n">
        <v>3</v>
      </c>
      <c r="G614" s="25" t="n">
        <v>7</v>
      </c>
    </row>
    <row r="615" customFormat="false" ht="15" hidden="false" customHeight="false" outlineLevel="0" collapsed="false">
      <c r="A615" s="25" t="n">
        <v>20220703</v>
      </c>
      <c r="B615" s="25" t="s">
        <v>2249</v>
      </c>
      <c r="C615" s="27" t="b">
        <f aca="false">TRUE()</f>
        <v>1</v>
      </c>
      <c r="D615" s="26" t="n">
        <v>44745</v>
      </c>
      <c r="E615" s="25" t="n">
        <v>2022</v>
      </c>
      <c r="F615" s="25" t="n">
        <v>3</v>
      </c>
      <c r="G615" s="25" t="n">
        <v>7</v>
      </c>
    </row>
    <row r="616" customFormat="false" ht="15" hidden="false" customHeight="false" outlineLevel="0" collapsed="false">
      <c r="A616" s="25" t="n">
        <v>20220704</v>
      </c>
      <c r="B616" s="25" t="s">
        <v>2249</v>
      </c>
      <c r="C616" s="27" t="b">
        <f aca="false">FALSE()</f>
        <v>0</v>
      </c>
      <c r="D616" s="26" t="n">
        <v>44746</v>
      </c>
      <c r="E616" s="25" t="n">
        <v>2022</v>
      </c>
      <c r="F616" s="25" t="n">
        <v>3</v>
      </c>
      <c r="G616" s="25" t="n">
        <v>7</v>
      </c>
    </row>
    <row r="617" customFormat="false" ht="15" hidden="false" customHeight="false" outlineLevel="0" collapsed="false">
      <c r="A617" s="25" t="n">
        <v>20220705</v>
      </c>
      <c r="B617" s="25" t="s">
        <v>2249</v>
      </c>
      <c r="C617" s="27" t="b">
        <f aca="false">FALSE()</f>
        <v>0</v>
      </c>
      <c r="D617" s="26" t="n">
        <v>44747</v>
      </c>
      <c r="E617" s="25" t="n">
        <v>2022</v>
      </c>
      <c r="F617" s="25" t="n">
        <v>3</v>
      </c>
      <c r="G617" s="25" t="n">
        <v>7</v>
      </c>
    </row>
    <row r="618" customFormat="false" ht="15" hidden="false" customHeight="false" outlineLevel="0" collapsed="false">
      <c r="A618" s="25" t="n">
        <v>20220706</v>
      </c>
      <c r="B618" s="25" t="s">
        <v>2249</v>
      </c>
      <c r="C618" s="27" t="b">
        <f aca="false">FALSE()</f>
        <v>0</v>
      </c>
      <c r="D618" s="26" t="n">
        <v>44748</v>
      </c>
      <c r="E618" s="25" t="n">
        <v>2022</v>
      </c>
      <c r="F618" s="25" t="n">
        <v>3</v>
      </c>
      <c r="G618" s="25" t="n">
        <v>7</v>
      </c>
    </row>
    <row r="619" customFormat="false" ht="15" hidden="false" customHeight="false" outlineLevel="0" collapsed="false">
      <c r="A619" s="25" t="n">
        <v>20220707</v>
      </c>
      <c r="B619" s="25" t="s">
        <v>2249</v>
      </c>
      <c r="C619" s="27" t="b">
        <f aca="false">FALSE()</f>
        <v>0</v>
      </c>
      <c r="D619" s="26" t="n">
        <v>44749</v>
      </c>
      <c r="E619" s="25" t="n">
        <v>2022</v>
      </c>
      <c r="F619" s="25" t="n">
        <v>3</v>
      </c>
      <c r="G619" s="25" t="n">
        <v>7</v>
      </c>
    </row>
    <row r="620" customFormat="false" ht="15" hidden="false" customHeight="false" outlineLevel="0" collapsed="false">
      <c r="A620" s="25" t="n">
        <v>20220708</v>
      </c>
      <c r="B620" s="25" t="s">
        <v>2249</v>
      </c>
      <c r="C620" s="27" t="b">
        <f aca="false">FALSE()</f>
        <v>0</v>
      </c>
      <c r="D620" s="26" t="n">
        <v>44750</v>
      </c>
      <c r="E620" s="25" t="n">
        <v>2022</v>
      </c>
      <c r="F620" s="25" t="n">
        <v>3</v>
      </c>
      <c r="G620" s="25" t="n">
        <v>7</v>
      </c>
    </row>
    <row r="621" customFormat="false" ht="15" hidden="false" customHeight="false" outlineLevel="0" collapsed="false">
      <c r="A621" s="25" t="n">
        <v>20220709</v>
      </c>
      <c r="B621" s="25" t="s">
        <v>2249</v>
      </c>
      <c r="C621" s="27" t="b">
        <f aca="false">TRUE()</f>
        <v>1</v>
      </c>
      <c r="D621" s="26" t="n">
        <v>44751</v>
      </c>
      <c r="E621" s="25" t="n">
        <v>2022</v>
      </c>
      <c r="F621" s="25" t="n">
        <v>3</v>
      </c>
      <c r="G621" s="25" t="n">
        <v>7</v>
      </c>
    </row>
    <row r="622" customFormat="false" ht="15" hidden="false" customHeight="false" outlineLevel="0" collapsed="false">
      <c r="A622" s="25" t="n">
        <v>20220710</v>
      </c>
      <c r="B622" s="25" t="s">
        <v>2249</v>
      </c>
      <c r="C622" s="27" t="b">
        <f aca="false">TRUE()</f>
        <v>1</v>
      </c>
      <c r="D622" s="26" t="n">
        <v>44752</v>
      </c>
      <c r="E622" s="25" t="n">
        <v>2022</v>
      </c>
      <c r="F622" s="25" t="n">
        <v>3</v>
      </c>
      <c r="G622" s="25" t="n">
        <v>7</v>
      </c>
    </row>
    <row r="623" customFormat="false" ht="15" hidden="false" customHeight="false" outlineLevel="0" collapsed="false">
      <c r="A623" s="25" t="n">
        <v>20220711</v>
      </c>
      <c r="B623" s="25" t="s">
        <v>2249</v>
      </c>
      <c r="C623" s="27" t="b">
        <f aca="false">FALSE()</f>
        <v>0</v>
      </c>
      <c r="D623" s="26" t="n">
        <v>44753</v>
      </c>
      <c r="E623" s="25" t="n">
        <v>2022</v>
      </c>
      <c r="F623" s="25" t="n">
        <v>3</v>
      </c>
      <c r="G623" s="25" t="n">
        <v>7</v>
      </c>
    </row>
    <row r="624" customFormat="false" ht="15" hidden="false" customHeight="false" outlineLevel="0" collapsed="false">
      <c r="A624" s="25" t="n">
        <v>20220712</v>
      </c>
      <c r="B624" s="25" t="s">
        <v>2249</v>
      </c>
      <c r="C624" s="27" t="b">
        <f aca="false">FALSE()</f>
        <v>0</v>
      </c>
      <c r="D624" s="26" t="n">
        <v>44754</v>
      </c>
      <c r="E624" s="25" t="n">
        <v>2022</v>
      </c>
      <c r="F624" s="25" t="n">
        <v>3</v>
      </c>
      <c r="G624" s="25" t="n">
        <v>7</v>
      </c>
    </row>
    <row r="625" customFormat="false" ht="15" hidden="false" customHeight="false" outlineLevel="0" collapsed="false">
      <c r="A625" s="25" t="n">
        <v>20220713</v>
      </c>
      <c r="B625" s="25" t="s">
        <v>2249</v>
      </c>
      <c r="C625" s="27" t="b">
        <f aca="false">FALSE()</f>
        <v>0</v>
      </c>
      <c r="D625" s="26" t="n">
        <v>44755</v>
      </c>
      <c r="E625" s="25" t="n">
        <v>2022</v>
      </c>
      <c r="F625" s="25" t="n">
        <v>3</v>
      </c>
      <c r="G625" s="25" t="n">
        <v>7</v>
      </c>
    </row>
    <row r="626" customFormat="false" ht="15" hidden="false" customHeight="false" outlineLevel="0" collapsed="false">
      <c r="A626" s="25" t="n">
        <v>20220714</v>
      </c>
      <c r="B626" s="25" t="s">
        <v>2249</v>
      </c>
      <c r="C626" s="27" t="b">
        <f aca="false">FALSE()</f>
        <v>0</v>
      </c>
      <c r="D626" s="26" t="n">
        <v>44756</v>
      </c>
      <c r="E626" s="25" t="n">
        <v>2022</v>
      </c>
      <c r="F626" s="25" t="n">
        <v>3</v>
      </c>
      <c r="G626" s="25" t="n">
        <v>7</v>
      </c>
    </row>
    <row r="627" customFormat="false" ht="15" hidden="false" customHeight="false" outlineLevel="0" collapsed="false">
      <c r="A627" s="25" t="n">
        <v>20220715</v>
      </c>
      <c r="B627" s="25" t="s">
        <v>2249</v>
      </c>
      <c r="C627" s="27" t="b">
        <f aca="false">FALSE()</f>
        <v>0</v>
      </c>
      <c r="D627" s="26" t="n">
        <v>44757</v>
      </c>
      <c r="E627" s="25" t="n">
        <v>2022</v>
      </c>
      <c r="F627" s="25" t="n">
        <v>3</v>
      </c>
      <c r="G627" s="25" t="n">
        <v>7</v>
      </c>
    </row>
    <row r="628" customFormat="false" ht="15" hidden="false" customHeight="false" outlineLevel="0" collapsed="false">
      <c r="A628" s="25" t="n">
        <v>20220716</v>
      </c>
      <c r="B628" s="25" t="s">
        <v>2249</v>
      </c>
      <c r="C628" s="27" t="b">
        <f aca="false">TRUE()</f>
        <v>1</v>
      </c>
      <c r="D628" s="26" t="n">
        <v>44758</v>
      </c>
      <c r="E628" s="25" t="n">
        <v>2022</v>
      </c>
      <c r="F628" s="25" t="n">
        <v>3</v>
      </c>
      <c r="G628" s="25" t="n">
        <v>7</v>
      </c>
    </row>
    <row r="629" customFormat="false" ht="15" hidden="false" customHeight="false" outlineLevel="0" collapsed="false">
      <c r="A629" s="25" t="n">
        <v>20220717</v>
      </c>
      <c r="B629" s="25" t="s">
        <v>2249</v>
      </c>
      <c r="C629" s="27" t="b">
        <f aca="false">TRUE()</f>
        <v>1</v>
      </c>
      <c r="D629" s="26" t="n">
        <v>44759</v>
      </c>
      <c r="E629" s="25" t="n">
        <v>2022</v>
      </c>
      <c r="F629" s="25" t="n">
        <v>3</v>
      </c>
      <c r="G629" s="25" t="n">
        <v>7</v>
      </c>
    </row>
    <row r="630" customFormat="false" ht="15" hidden="false" customHeight="false" outlineLevel="0" collapsed="false">
      <c r="A630" s="25" t="n">
        <v>20220718</v>
      </c>
      <c r="B630" s="25" t="s">
        <v>2249</v>
      </c>
      <c r="C630" s="27" t="b">
        <f aca="false">FALSE()</f>
        <v>0</v>
      </c>
      <c r="D630" s="26" t="n">
        <v>44760</v>
      </c>
      <c r="E630" s="25" t="n">
        <v>2022</v>
      </c>
      <c r="F630" s="25" t="n">
        <v>3</v>
      </c>
      <c r="G630" s="25" t="n">
        <v>7</v>
      </c>
    </row>
    <row r="631" customFormat="false" ht="15" hidden="false" customHeight="false" outlineLevel="0" collapsed="false">
      <c r="A631" s="25" t="n">
        <v>20220719</v>
      </c>
      <c r="B631" s="25" t="s">
        <v>2249</v>
      </c>
      <c r="C631" s="27" t="b">
        <f aca="false">FALSE()</f>
        <v>0</v>
      </c>
      <c r="D631" s="26" t="n">
        <v>44761</v>
      </c>
      <c r="E631" s="25" t="n">
        <v>2022</v>
      </c>
      <c r="F631" s="25" t="n">
        <v>3</v>
      </c>
      <c r="G631" s="25" t="n">
        <v>7</v>
      </c>
    </row>
    <row r="632" customFormat="false" ht="15" hidden="false" customHeight="false" outlineLevel="0" collapsed="false">
      <c r="A632" s="25" t="n">
        <v>20220720</v>
      </c>
      <c r="B632" s="25" t="s">
        <v>2249</v>
      </c>
      <c r="C632" s="27" t="b">
        <f aca="false">FALSE()</f>
        <v>0</v>
      </c>
      <c r="D632" s="26" t="n">
        <v>44762</v>
      </c>
      <c r="E632" s="25" t="n">
        <v>2022</v>
      </c>
      <c r="F632" s="25" t="n">
        <v>3</v>
      </c>
      <c r="G632" s="25" t="n">
        <v>7</v>
      </c>
    </row>
    <row r="633" customFormat="false" ht="15" hidden="false" customHeight="false" outlineLevel="0" collapsed="false">
      <c r="A633" s="25" t="n">
        <v>20220721</v>
      </c>
      <c r="B633" s="25" t="s">
        <v>2249</v>
      </c>
      <c r="C633" s="27" t="b">
        <f aca="false">FALSE()</f>
        <v>0</v>
      </c>
      <c r="D633" s="26" t="n">
        <v>44763</v>
      </c>
      <c r="E633" s="25" t="n">
        <v>2022</v>
      </c>
      <c r="F633" s="25" t="n">
        <v>3</v>
      </c>
      <c r="G633" s="25" t="n">
        <v>7</v>
      </c>
    </row>
    <row r="634" customFormat="false" ht="15" hidden="false" customHeight="false" outlineLevel="0" collapsed="false">
      <c r="A634" s="25" t="n">
        <v>20220722</v>
      </c>
      <c r="B634" s="25" t="s">
        <v>2249</v>
      </c>
      <c r="C634" s="27" t="b">
        <f aca="false">FALSE()</f>
        <v>0</v>
      </c>
      <c r="D634" s="26" t="n">
        <v>44764</v>
      </c>
      <c r="E634" s="25" t="n">
        <v>2022</v>
      </c>
      <c r="F634" s="25" t="n">
        <v>3</v>
      </c>
      <c r="G634" s="25" t="n">
        <v>7</v>
      </c>
    </row>
    <row r="635" customFormat="false" ht="15" hidden="false" customHeight="false" outlineLevel="0" collapsed="false">
      <c r="A635" s="25" t="n">
        <v>20220723</v>
      </c>
      <c r="B635" s="25" t="s">
        <v>2249</v>
      </c>
      <c r="C635" s="27" t="b">
        <f aca="false">TRUE()</f>
        <v>1</v>
      </c>
      <c r="D635" s="26" t="n">
        <v>44765</v>
      </c>
      <c r="E635" s="25" t="n">
        <v>2022</v>
      </c>
      <c r="F635" s="25" t="n">
        <v>3</v>
      </c>
      <c r="G635" s="25" t="n">
        <v>7</v>
      </c>
    </row>
    <row r="636" customFormat="false" ht="15" hidden="false" customHeight="false" outlineLevel="0" collapsed="false">
      <c r="A636" s="25" t="n">
        <v>20220724</v>
      </c>
      <c r="B636" s="25" t="s">
        <v>2249</v>
      </c>
      <c r="C636" s="27" t="b">
        <f aca="false">TRUE()</f>
        <v>1</v>
      </c>
      <c r="D636" s="26" t="n">
        <v>44766</v>
      </c>
      <c r="E636" s="25" t="n">
        <v>2022</v>
      </c>
      <c r="F636" s="25" t="n">
        <v>3</v>
      </c>
      <c r="G636" s="25" t="n">
        <v>7</v>
      </c>
    </row>
    <row r="637" customFormat="false" ht="15" hidden="false" customHeight="false" outlineLevel="0" collapsed="false">
      <c r="A637" s="25" t="n">
        <v>20220725</v>
      </c>
      <c r="B637" s="25" t="s">
        <v>2249</v>
      </c>
      <c r="C637" s="27" t="b">
        <f aca="false">FALSE()</f>
        <v>0</v>
      </c>
      <c r="D637" s="26" t="n">
        <v>44767</v>
      </c>
      <c r="E637" s="25" t="n">
        <v>2022</v>
      </c>
      <c r="F637" s="25" t="n">
        <v>3</v>
      </c>
      <c r="G637" s="25" t="n">
        <v>7</v>
      </c>
    </row>
    <row r="638" customFormat="false" ht="15" hidden="false" customHeight="false" outlineLevel="0" collapsed="false">
      <c r="A638" s="25" t="n">
        <v>20220726</v>
      </c>
      <c r="B638" s="25" t="s">
        <v>2249</v>
      </c>
      <c r="C638" s="27" t="b">
        <f aca="false">FALSE()</f>
        <v>0</v>
      </c>
      <c r="D638" s="26" t="n">
        <v>44768</v>
      </c>
      <c r="E638" s="25" t="n">
        <v>2022</v>
      </c>
      <c r="F638" s="25" t="n">
        <v>3</v>
      </c>
      <c r="G638" s="25" t="n">
        <v>7</v>
      </c>
    </row>
    <row r="639" customFormat="false" ht="15" hidden="false" customHeight="false" outlineLevel="0" collapsed="false">
      <c r="A639" s="25" t="n">
        <v>20220727</v>
      </c>
      <c r="B639" s="25" t="s">
        <v>2249</v>
      </c>
      <c r="C639" s="27" t="b">
        <f aca="false">FALSE()</f>
        <v>0</v>
      </c>
      <c r="D639" s="26" t="n">
        <v>44769</v>
      </c>
      <c r="E639" s="25" t="n">
        <v>2022</v>
      </c>
      <c r="F639" s="25" t="n">
        <v>3</v>
      </c>
      <c r="G639" s="25" t="n">
        <v>7</v>
      </c>
    </row>
    <row r="640" customFormat="false" ht="15" hidden="false" customHeight="false" outlineLevel="0" collapsed="false">
      <c r="A640" s="25" t="n">
        <v>20220728</v>
      </c>
      <c r="B640" s="25" t="s">
        <v>2249</v>
      </c>
      <c r="C640" s="27" t="b">
        <f aca="false">FALSE()</f>
        <v>0</v>
      </c>
      <c r="D640" s="26" t="n">
        <v>44770</v>
      </c>
      <c r="E640" s="25" t="n">
        <v>2022</v>
      </c>
      <c r="F640" s="25" t="n">
        <v>3</v>
      </c>
      <c r="G640" s="25" t="n">
        <v>7</v>
      </c>
    </row>
    <row r="641" customFormat="false" ht="15" hidden="false" customHeight="false" outlineLevel="0" collapsed="false">
      <c r="A641" s="25" t="n">
        <v>20220729</v>
      </c>
      <c r="B641" s="25" t="s">
        <v>2249</v>
      </c>
      <c r="C641" s="27" t="b">
        <f aca="false">FALSE()</f>
        <v>0</v>
      </c>
      <c r="D641" s="26" t="n">
        <v>44771</v>
      </c>
      <c r="E641" s="25" t="n">
        <v>2022</v>
      </c>
      <c r="F641" s="25" t="n">
        <v>3</v>
      </c>
      <c r="G641" s="25" t="n">
        <v>7</v>
      </c>
    </row>
    <row r="642" customFormat="false" ht="15" hidden="false" customHeight="false" outlineLevel="0" collapsed="false">
      <c r="A642" s="25" t="n">
        <v>20220730</v>
      </c>
      <c r="B642" s="25" t="s">
        <v>2249</v>
      </c>
      <c r="C642" s="27" t="b">
        <f aca="false">TRUE()</f>
        <v>1</v>
      </c>
      <c r="D642" s="26" t="n">
        <v>44772</v>
      </c>
      <c r="E642" s="25" t="n">
        <v>2022</v>
      </c>
      <c r="F642" s="25" t="n">
        <v>3</v>
      </c>
      <c r="G642" s="25" t="n">
        <v>7</v>
      </c>
    </row>
    <row r="643" customFormat="false" ht="15" hidden="false" customHeight="false" outlineLevel="0" collapsed="false">
      <c r="A643" s="25" t="n">
        <v>20220731</v>
      </c>
      <c r="B643" s="25" t="s">
        <v>2249</v>
      </c>
      <c r="C643" s="27" t="b">
        <f aca="false">TRUE()</f>
        <v>1</v>
      </c>
      <c r="D643" s="26" t="n">
        <v>44773</v>
      </c>
      <c r="E643" s="25" t="n">
        <v>2022</v>
      </c>
      <c r="F643" s="25" t="n">
        <v>3</v>
      </c>
      <c r="G643" s="25" t="n">
        <v>7</v>
      </c>
    </row>
    <row r="644" customFormat="false" ht="15" hidden="false" customHeight="false" outlineLevel="0" collapsed="false">
      <c r="A644" s="25" t="n">
        <v>20220801</v>
      </c>
      <c r="B644" s="25" t="s">
        <v>2250</v>
      </c>
      <c r="C644" s="27" t="b">
        <f aca="false">FALSE()</f>
        <v>0</v>
      </c>
      <c r="D644" s="26" t="n">
        <v>44774</v>
      </c>
      <c r="E644" s="25" t="n">
        <v>2022</v>
      </c>
      <c r="F644" s="25" t="n">
        <v>3</v>
      </c>
      <c r="G644" s="25" t="n">
        <v>8</v>
      </c>
    </row>
    <row r="645" customFormat="false" ht="15" hidden="false" customHeight="false" outlineLevel="0" collapsed="false">
      <c r="A645" s="25" t="n">
        <v>20220802</v>
      </c>
      <c r="B645" s="25" t="s">
        <v>2250</v>
      </c>
      <c r="C645" s="27" t="b">
        <f aca="false">FALSE()</f>
        <v>0</v>
      </c>
      <c r="D645" s="26" t="n">
        <v>44775</v>
      </c>
      <c r="E645" s="25" t="n">
        <v>2022</v>
      </c>
      <c r="F645" s="25" t="n">
        <v>3</v>
      </c>
      <c r="G645" s="25" t="n">
        <v>8</v>
      </c>
    </row>
    <row r="646" customFormat="false" ht="15" hidden="false" customHeight="false" outlineLevel="0" collapsed="false">
      <c r="A646" s="25" t="n">
        <v>20220803</v>
      </c>
      <c r="B646" s="25" t="s">
        <v>2250</v>
      </c>
      <c r="C646" s="27" t="b">
        <f aca="false">FALSE()</f>
        <v>0</v>
      </c>
      <c r="D646" s="26" t="n">
        <v>44776</v>
      </c>
      <c r="E646" s="25" t="n">
        <v>2022</v>
      </c>
      <c r="F646" s="25" t="n">
        <v>3</v>
      </c>
      <c r="G646" s="25" t="n">
        <v>8</v>
      </c>
    </row>
    <row r="647" customFormat="false" ht="15" hidden="false" customHeight="false" outlineLevel="0" collapsed="false">
      <c r="A647" s="25" t="n">
        <v>20220804</v>
      </c>
      <c r="B647" s="25" t="s">
        <v>2250</v>
      </c>
      <c r="C647" s="27" t="b">
        <f aca="false">FALSE()</f>
        <v>0</v>
      </c>
      <c r="D647" s="26" t="n">
        <v>44777</v>
      </c>
      <c r="E647" s="25" t="n">
        <v>2022</v>
      </c>
      <c r="F647" s="25" t="n">
        <v>3</v>
      </c>
      <c r="G647" s="25" t="n">
        <v>8</v>
      </c>
    </row>
    <row r="648" customFormat="false" ht="15" hidden="false" customHeight="false" outlineLevel="0" collapsed="false">
      <c r="A648" s="25" t="n">
        <v>20220805</v>
      </c>
      <c r="B648" s="25" t="s">
        <v>2250</v>
      </c>
      <c r="C648" s="27" t="b">
        <f aca="false">FALSE()</f>
        <v>0</v>
      </c>
      <c r="D648" s="26" t="n">
        <v>44778</v>
      </c>
      <c r="E648" s="25" t="n">
        <v>2022</v>
      </c>
      <c r="F648" s="25" t="n">
        <v>3</v>
      </c>
      <c r="G648" s="25" t="n">
        <v>8</v>
      </c>
    </row>
    <row r="649" customFormat="false" ht="15" hidden="false" customHeight="false" outlineLevel="0" collapsed="false">
      <c r="A649" s="25" t="n">
        <v>20220806</v>
      </c>
      <c r="B649" s="25" t="s">
        <v>2250</v>
      </c>
      <c r="C649" s="27" t="b">
        <f aca="false">TRUE()</f>
        <v>1</v>
      </c>
      <c r="D649" s="26" t="n">
        <v>44779</v>
      </c>
      <c r="E649" s="25" t="n">
        <v>2022</v>
      </c>
      <c r="F649" s="25" t="n">
        <v>3</v>
      </c>
      <c r="G649" s="25" t="n">
        <v>8</v>
      </c>
    </row>
    <row r="650" customFormat="false" ht="15" hidden="false" customHeight="false" outlineLevel="0" collapsed="false">
      <c r="A650" s="25" t="n">
        <v>20220807</v>
      </c>
      <c r="B650" s="25" t="s">
        <v>2250</v>
      </c>
      <c r="C650" s="27" t="b">
        <f aca="false">TRUE()</f>
        <v>1</v>
      </c>
      <c r="D650" s="26" t="n">
        <v>44780</v>
      </c>
      <c r="E650" s="25" t="n">
        <v>2022</v>
      </c>
      <c r="F650" s="25" t="n">
        <v>3</v>
      </c>
      <c r="G650" s="25" t="n">
        <v>8</v>
      </c>
    </row>
    <row r="651" customFormat="false" ht="15" hidden="false" customHeight="false" outlineLevel="0" collapsed="false">
      <c r="A651" s="25" t="n">
        <v>20220808</v>
      </c>
      <c r="B651" s="25" t="s">
        <v>2250</v>
      </c>
      <c r="C651" s="27" t="b">
        <f aca="false">FALSE()</f>
        <v>0</v>
      </c>
      <c r="D651" s="26" t="n">
        <v>44781</v>
      </c>
      <c r="E651" s="25" t="n">
        <v>2022</v>
      </c>
      <c r="F651" s="25" t="n">
        <v>3</v>
      </c>
      <c r="G651" s="25" t="n">
        <v>8</v>
      </c>
    </row>
    <row r="652" customFormat="false" ht="15" hidden="false" customHeight="false" outlineLevel="0" collapsed="false">
      <c r="A652" s="25" t="n">
        <v>20220809</v>
      </c>
      <c r="B652" s="25" t="s">
        <v>2250</v>
      </c>
      <c r="C652" s="27" t="b">
        <f aca="false">FALSE()</f>
        <v>0</v>
      </c>
      <c r="D652" s="26" t="n">
        <v>44782</v>
      </c>
      <c r="E652" s="25" t="n">
        <v>2022</v>
      </c>
      <c r="F652" s="25" t="n">
        <v>3</v>
      </c>
      <c r="G652" s="25" t="n">
        <v>8</v>
      </c>
    </row>
    <row r="653" customFormat="false" ht="15" hidden="false" customHeight="false" outlineLevel="0" collapsed="false">
      <c r="A653" s="25" t="n">
        <v>20220810</v>
      </c>
      <c r="B653" s="25" t="s">
        <v>2250</v>
      </c>
      <c r="C653" s="27" t="b">
        <f aca="false">FALSE()</f>
        <v>0</v>
      </c>
      <c r="D653" s="26" t="n">
        <v>44783</v>
      </c>
      <c r="E653" s="25" t="n">
        <v>2022</v>
      </c>
      <c r="F653" s="25" t="n">
        <v>3</v>
      </c>
      <c r="G653" s="25" t="n">
        <v>8</v>
      </c>
    </row>
    <row r="654" customFormat="false" ht="15" hidden="false" customHeight="false" outlineLevel="0" collapsed="false">
      <c r="A654" s="25" t="n">
        <v>20220811</v>
      </c>
      <c r="B654" s="25" t="s">
        <v>2250</v>
      </c>
      <c r="C654" s="27" t="b">
        <f aca="false">FALSE()</f>
        <v>0</v>
      </c>
      <c r="D654" s="26" t="n">
        <v>44784</v>
      </c>
      <c r="E654" s="25" t="n">
        <v>2022</v>
      </c>
      <c r="F654" s="25" t="n">
        <v>3</v>
      </c>
      <c r="G654" s="25" t="n">
        <v>8</v>
      </c>
    </row>
    <row r="655" customFormat="false" ht="15" hidden="false" customHeight="false" outlineLevel="0" collapsed="false">
      <c r="A655" s="25" t="n">
        <v>20220812</v>
      </c>
      <c r="B655" s="25" t="s">
        <v>2250</v>
      </c>
      <c r="C655" s="27" t="b">
        <f aca="false">FALSE()</f>
        <v>0</v>
      </c>
      <c r="D655" s="26" t="n">
        <v>44785</v>
      </c>
      <c r="E655" s="25" t="n">
        <v>2022</v>
      </c>
      <c r="F655" s="25" t="n">
        <v>3</v>
      </c>
      <c r="G655" s="25" t="n">
        <v>8</v>
      </c>
    </row>
    <row r="656" customFormat="false" ht="15" hidden="false" customHeight="false" outlineLevel="0" collapsed="false">
      <c r="A656" s="25" t="n">
        <v>20220813</v>
      </c>
      <c r="B656" s="25" t="s">
        <v>2250</v>
      </c>
      <c r="C656" s="27" t="b">
        <f aca="false">TRUE()</f>
        <v>1</v>
      </c>
      <c r="D656" s="26" t="n">
        <v>44786</v>
      </c>
      <c r="E656" s="25" t="n">
        <v>2022</v>
      </c>
      <c r="F656" s="25" t="n">
        <v>3</v>
      </c>
      <c r="G656" s="25" t="n">
        <v>8</v>
      </c>
    </row>
    <row r="657" customFormat="false" ht="15" hidden="false" customHeight="false" outlineLevel="0" collapsed="false">
      <c r="A657" s="25" t="n">
        <v>20220814</v>
      </c>
      <c r="B657" s="25" t="s">
        <v>2250</v>
      </c>
      <c r="C657" s="27" t="b">
        <f aca="false">TRUE()</f>
        <v>1</v>
      </c>
      <c r="D657" s="26" t="n">
        <v>44787</v>
      </c>
      <c r="E657" s="25" t="n">
        <v>2022</v>
      </c>
      <c r="F657" s="25" t="n">
        <v>3</v>
      </c>
      <c r="G657" s="25" t="n">
        <v>8</v>
      </c>
    </row>
    <row r="658" customFormat="false" ht="15" hidden="false" customHeight="false" outlineLevel="0" collapsed="false">
      <c r="A658" s="25" t="n">
        <v>20220815</v>
      </c>
      <c r="B658" s="25" t="s">
        <v>2250</v>
      </c>
      <c r="C658" s="27" t="b">
        <f aca="false">FALSE()</f>
        <v>0</v>
      </c>
      <c r="D658" s="26" t="n">
        <v>44788</v>
      </c>
      <c r="E658" s="25" t="n">
        <v>2022</v>
      </c>
      <c r="F658" s="25" t="n">
        <v>3</v>
      </c>
      <c r="G658" s="25" t="n">
        <v>8</v>
      </c>
    </row>
    <row r="659" customFormat="false" ht="15" hidden="false" customHeight="false" outlineLevel="0" collapsed="false">
      <c r="A659" s="25" t="n">
        <v>20220816</v>
      </c>
      <c r="B659" s="25" t="s">
        <v>2250</v>
      </c>
      <c r="C659" s="27" t="b">
        <f aca="false">FALSE()</f>
        <v>0</v>
      </c>
      <c r="D659" s="26" t="n">
        <v>44789</v>
      </c>
      <c r="E659" s="25" t="n">
        <v>2022</v>
      </c>
      <c r="F659" s="25" t="n">
        <v>3</v>
      </c>
      <c r="G659" s="25" t="n">
        <v>8</v>
      </c>
    </row>
    <row r="660" customFormat="false" ht="15" hidden="false" customHeight="false" outlineLevel="0" collapsed="false">
      <c r="A660" s="25" t="n">
        <v>20220817</v>
      </c>
      <c r="B660" s="25" t="s">
        <v>2250</v>
      </c>
      <c r="C660" s="27" t="b">
        <f aca="false">FALSE()</f>
        <v>0</v>
      </c>
      <c r="D660" s="26" t="n">
        <v>44790</v>
      </c>
      <c r="E660" s="25" t="n">
        <v>2022</v>
      </c>
      <c r="F660" s="25" t="n">
        <v>3</v>
      </c>
      <c r="G660" s="25" t="n">
        <v>8</v>
      </c>
    </row>
    <row r="661" customFormat="false" ht="15" hidden="false" customHeight="false" outlineLevel="0" collapsed="false">
      <c r="A661" s="25" t="n">
        <v>20220818</v>
      </c>
      <c r="B661" s="25" t="s">
        <v>2250</v>
      </c>
      <c r="C661" s="27" t="b">
        <f aca="false">FALSE()</f>
        <v>0</v>
      </c>
      <c r="D661" s="26" t="n">
        <v>44791</v>
      </c>
      <c r="E661" s="25" t="n">
        <v>2022</v>
      </c>
      <c r="F661" s="25" t="n">
        <v>3</v>
      </c>
      <c r="G661" s="25" t="n">
        <v>8</v>
      </c>
    </row>
    <row r="662" customFormat="false" ht="15" hidden="false" customHeight="false" outlineLevel="0" collapsed="false">
      <c r="A662" s="25" t="n">
        <v>20220819</v>
      </c>
      <c r="B662" s="25" t="s">
        <v>2250</v>
      </c>
      <c r="C662" s="27" t="b">
        <f aca="false">FALSE()</f>
        <v>0</v>
      </c>
      <c r="D662" s="26" t="n">
        <v>44792</v>
      </c>
      <c r="E662" s="25" t="n">
        <v>2022</v>
      </c>
      <c r="F662" s="25" t="n">
        <v>3</v>
      </c>
      <c r="G662" s="25" t="n">
        <v>8</v>
      </c>
    </row>
    <row r="663" customFormat="false" ht="15" hidden="false" customHeight="false" outlineLevel="0" collapsed="false">
      <c r="A663" s="25" t="n">
        <v>20220820</v>
      </c>
      <c r="B663" s="25" t="s">
        <v>2250</v>
      </c>
      <c r="C663" s="27" t="b">
        <f aca="false">TRUE()</f>
        <v>1</v>
      </c>
      <c r="D663" s="26" t="n">
        <v>44793</v>
      </c>
      <c r="E663" s="25" t="n">
        <v>2022</v>
      </c>
      <c r="F663" s="25" t="n">
        <v>3</v>
      </c>
      <c r="G663" s="25" t="n">
        <v>8</v>
      </c>
    </row>
    <row r="664" customFormat="false" ht="15" hidden="false" customHeight="false" outlineLevel="0" collapsed="false">
      <c r="A664" s="25" t="n">
        <v>20220821</v>
      </c>
      <c r="B664" s="25" t="s">
        <v>2250</v>
      </c>
      <c r="C664" s="27" t="b">
        <f aca="false">TRUE()</f>
        <v>1</v>
      </c>
      <c r="D664" s="26" t="n">
        <v>44794</v>
      </c>
      <c r="E664" s="25" t="n">
        <v>2022</v>
      </c>
      <c r="F664" s="25" t="n">
        <v>3</v>
      </c>
      <c r="G664" s="25" t="n">
        <v>8</v>
      </c>
    </row>
    <row r="665" customFormat="false" ht="15" hidden="false" customHeight="false" outlineLevel="0" collapsed="false">
      <c r="A665" s="25" t="n">
        <v>20220822</v>
      </c>
      <c r="B665" s="25" t="s">
        <v>2250</v>
      </c>
      <c r="C665" s="27" t="b">
        <f aca="false">FALSE()</f>
        <v>0</v>
      </c>
      <c r="D665" s="26" t="n">
        <v>44795</v>
      </c>
      <c r="E665" s="25" t="n">
        <v>2022</v>
      </c>
      <c r="F665" s="25" t="n">
        <v>3</v>
      </c>
      <c r="G665" s="25" t="n">
        <v>8</v>
      </c>
    </row>
    <row r="666" customFormat="false" ht="15" hidden="false" customHeight="false" outlineLevel="0" collapsed="false">
      <c r="A666" s="25" t="n">
        <v>20220823</v>
      </c>
      <c r="B666" s="25" t="s">
        <v>2250</v>
      </c>
      <c r="C666" s="27" t="b">
        <f aca="false">FALSE()</f>
        <v>0</v>
      </c>
      <c r="D666" s="26" t="n">
        <v>44796</v>
      </c>
      <c r="E666" s="25" t="n">
        <v>2022</v>
      </c>
      <c r="F666" s="25" t="n">
        <v>3</v>
      </c>
      <c r="G666" s="25" t="n">
        <v>8</v>
      </c>
    </row>
    <row r="667" customFormat="false" ht="15" hidden="false" customHeight="false" outlineLevel="0" collapsed="false">
      <c r="A667" s="25" t="n">
        <v>20220824</v>
      </c>
      <c r="B667" s="25" t="s">
        <v>2250</v>
      </c>
      <c r="C667" s="27" t="b">
        <f aca="false">FALSE()</f>
        <v>0</v>
      </c>
      <c r="D667" s="26" t="n">
        <v>44797</v>
      </c>
      <c r="E667" s="25" t="n">
        <v>2022</v>
      </c>
      <c r="F667" s="25" t="n">
        <v>3</v>
      </c>
      <c r="G667" s="25" t="n">
        <v>8</v>
      </c>
    </row>
    <row r="668" customFormat="false" ht="15" hidden="false" customHeight="false" outlineLevel="0" collapsed="false">
      <c r="A668" s="25" t="n">
        <v>20220825</v>
      </c>
      <c r="B668" s="25" t="s">
        <v>2250</v>
      </c>
      <c r="C668" s="27" t="b">
        <f aca="false">FALSE()</f>
        <v>0</v>
      </c>
      <c r="D668" s="26" t="n">
        <v>44798</v>
      </c>
      <c r="E668" s="25" t="n">
        <v>2022</v>
      </c>
      <c r="F668" s="25" t="n">
        <v>3</v>
      </c>
      <c r="G668" s="25" t="n">
        <v>8</v>
      </c>
    </row>
    <row r="669" customFormat="false" ht="15" hidden="false" customHeight="false" outlineLevel="0" collapsed="false">
      <c r="A669" s="25" t="n">
        <v>20220826</v>
      </c>
      <c r="B669" s="25" t="s">
        <v>2250</v>
      </c>
      <c r="C669" s="27" t="b">
        <f aca="false">FALSE()</f>
        <v>0</v>
      </c>
      <c r="D669" s="26" t="n">
        <v>44799</v>
      </c>
      <c r="E669" s="25" t="n">
        <v>2022</v>
      </c>
      <c r="F669" s="25" t="n">
        <v>3</v>
      </c>
      <c r="G669" s="25" t="n">
        <v>8</v>
      </c>
    </row>
    <row r="670" customFormat="false" ht="15" hidden="false" customHeight="false" outlineLevel="0" collapsed="false">
      <c r="A670" s="25" t="n">
        <v>20220827</v>
      </c>
      <c r="B670" s="25" t="s">
        <v>2250</v>
      </c>
      <c r="C670" s="27" t="b">
        <f aca="false">TRUE()</f>
        <v>1</v>
      </c>
      <c r="D670" s="26" t="n">
        <v>44800</v>
      </c>
      <c r="E670" s="25" t="n">
        <v>2022</v>
      </c>
      <c r="F670" s="25" t="n">
        <v>3</v>
      </c>
      <c r="G670" s="25" t="n">
        <v>8</v>
      </c>
    </row>
    <row r="671" customFormat="false" ht="15" hidden="false" customHeight="false" outlineLevel="0" collapsed="false">
      <c r="A671" s="25" t="n">
        <v>20220828</v>
      </c>
      <c r="B671" s="25" t="s">
        <v>2250</v>
      </c>
      <c r="C671" s="27" t="b">
        <f aca="false">TRUE()</f>
        <v>1</v>
      </c>
      <c r="D671" s="26" t="n">
        <v>44801</v>
      </c>
      <c r="E671" s="25" t="n">
        <v>2022</v>
      </c>
      <c r="F671" s="25" t="n">
        <v>3</v>
      </c>
      <c r="G671" s="25" t="n">
        <v>8</v>
      </c>
    </row>
    <row r="672" customFormat="false" ht="15" hidden="false" customHeight="false" outlineLevel="0" collapsed="false">
      <c r="A672" s="25" t="n">
        <v>20220829</v>
      </c>
      <c r="B672" s="25" t="s">
        <v>2250</v>
      </c>
      <c r="C672" s="27" t="b">
        <f aca="false">FALSE()</f>
        <v>0</v>
      </c>
      <c r="D672" s="26" t="n">
        <v>44802</v>
      </c>
      <c r="E672" s="25" t="n">
        <v>2022</v>
      </c>
      <c r="F672" s="25" t="n">
        <v>3</v>
      </c>
      <c r="G672" s="25" t="n">
        <v>8</v>
      </c>
    </row>
    <row r="673" customFormat="false" ht="15" hidden="false" customHeight="false" outlineLevel="0" collapsed="false">
      <c r="A673" s="25" t="n">
        <v>20220830</v>
      </c>
      <c r="B673" s="25" t="s">
        <v>2250</v>
      </c>
      <c r="C673" s="27" t="b">
        <f aca="false">FALSE()</f>
        <v>0</v>
      </c>
      <c r="D673" s="26" t="n">
        <v>44803</v>
      </c>
      <c r="E673" s="25" t="n">
        <v>2022</v>
      </c>
      <c r="F673" s="25" t="n">
        <v>3</v>
      </c>
      <c r="G673" s="25" t="n">
        <v>8</v>
      </c>
    </row>
    <row r="674" customFormat="false" ht="15" hidden="false" customHeight="false" outlineLevel="0" collapsed="false">
      <c r="A674" s="25" t="n">
        <v>20220831</v>
      </c>
      <c r="B674" s="25" t="s">
        <v>2250</v>
      </c>
      <c r="C674" s="27" t="b">
        <f aca="false">FALSE()</f>
        <v>0</v>
      </c>
      <c r="D674" s="26" t="n">
        <v>44804</v>
      </c>
      <c r="E674" s="25" t="n">
        <v>2022</v>
      </c>
      <c r="F674" s="25" t="n">
        <v>3</v>
      </c>
      <c r="G674" s="25" t="n">
        <v>8</v>
      </c>
    </row>
    <row r="675" customFormat="false" ht="15" hidden="false" customHeight="false" outlineLevel="0" collapsed="false">
      <c r="A675" s="25" t="n">
        <v>20220901</v>
      </c>
      <c r="B675" s="25" t="s">
        <v>2251</v>
      </c>
      <c r="C675" s="27" t="b">
        <f aca="false">FALSE()</f>
        <v>0</v>
      </c>
      <c r="D675" s="26" t="n">
        <v>44805</v>
      </c>
      <c r="E675" s="25" t="n">
        <v>2022</v>
      </c>
      <c r="F675" s="25" t="n">
        <v>3</v>
      </c>
      <c r="G675" s="25" t="n">
        <v>9</v>
      </c>
    </row>
    <row r="676" customFormat="false" ht="15" hidden="false" customHeight="false" outlineLevel="0" collapsed="false">
      <c r="A676" s="25" t="n">
        <v>20220902</v>
      </c>
      <c r="B676" s="25" t="s">
        <v>2251</v>
      </c>
      <c r="C676" s="27" t="b">
        <f aca="false">FALSE()</f>
        <v>0</v>
      </c>
      <c r="D676" s="26" t="n">
        <v>44806</v>
      </c>
      <c r="E676" s="25" t="n">
        <v>2022</v>
      </c>
      <c r="F676" s="25" t="n">
        <v>3</v>
      </c>
      <c r="G676" s="25" t="n">
        <v>9</v>
      </c>
    </row>
    <row r="677" customFormat="false" ht="15" hidden="false" customHeight="false" outlineLevel="0" collapsed="false">
      <c r="A677" s="25" t="n">
        <v>20220903</v>
      </c>
      <c r="B677" s="25" t="s">
        <v>2251</v>
      </c>
      <c r="C677" s="27" t="b">
        <f aca="false">TRUE()</f>
        <v>1</v>
      </c>
      <c r="D677" s="26" t="n">
        <v>44807</v>
      </c>
      <c r="E677" s="25" t="n">
        <v>2022</v>
      </c>
      <c r="F677" s="25" t="n">
        <v>3</v>
      </c>
      <c r="G677" s="25" t="n">
        <v>9</v>
      </c>
    </row>
    <row r="678" customFormat="false" ht="15" hidden="false" customHeight="false" outlineLevel="0" collapsed="false">
      <c r="A678" s="25" t="n">
        <v>20220904</v>
      </c>
      <c r="B678" s="25" t="s">
        <v>2251</v>
      </c>
      <c r="C678" s="27" t="b">
        <f aca="false">TRUE()</f>
        <v>1</v>
      </c>
      <c r="D678" s="26" t="n">
        <v>44808</v>
      </c>
      <c r="E678" s="25" t="n">
        <v>2022</v>
      </c>
      <c r="F678" s="25" t="n">
        <v>3</v>
      </c>
      <c r="G678" s="25" t="n">
        <v>9</v>
      </c>
    </row>
    <row r="679" customFormat="false" ht="15" hidden="false" customHeight="false" outlineLevel="0" collapsed="false">
      <c r="A679" s="25" t="n">
        <v>20220905</v>
      </c>
      <c r="B679" s="25" t="s">
        <v>2251</v>
      </c>
      <c r="C679" s="27" t="b">
        <f aca="false">FALSE()</f>
        <v>0</v>
      </c>
      <c r="D679" s="26" t="n">
        <v>44809</v>
      </c>
      <c r="E679" s="25" t="n">
        <v>2022</v>
      </c>
      <c r="F679" s="25" t="n">
        <v>3</v>
      </c>
      <c r="G679" s="25" t="n">
        <v>9</v>
      </c>
    </row>
    <row r="680" customFormat="false" ht="15" hidden="false" customHeight="false" outlineLevel="0" collapsed="false">
      <c r="A680" s="25" t="n">
        <v>20220906</v>
      </c>
      <c r="B680" s="25" t="s">
        <v>2251</v>
      </c>
      <c r="C680" s="27" t="b">
        <f aca="false">FALSE()</f>
        <v>0</v>
      </c>
      <c r="D680" s="26" t="n">
        <v>44810</v>
      </c>
      <c r="E680" s="25" t="n">
        <v>2022</v>
      </c>
      <c r="F680" s="25" t="n">
        <v>3</v>
      </c>
      <c r="G680" s="25" t="n">
        <v>9</v>
      </c>
    </row>
    <row r="681" customFormat="false" ht="15" hidden="false" customHeight="false" outlineLevel="0" collapsed="false">
      <c r="A681" s="25" t="n">
        <v>20220907</v>
      </c>
      <c r="B681" s="25" t="s">
        <v>2251</v>
      </c>
      <c r="C681" s="27" t="b">
        <f aca="false">FALSE()</f>
        <v>0</v>
      </c>
      <c r="D681" s="26" t="n">
        <v>44811</v>
      </c>
      <c r="E681" s="25" t="n">
        <v>2022</v>
      </c>
      <c r="F681" s="25" t="n">
        <v>3</v>
      </c>
      <c r="G681" s="25" t="n">
        <v>9</v>
      </c>
    </row>
    <row r="682" customFormat="false" ht="15" hidden="false" customHeight="false" outlineLevel="0" collapsed="false">
      <c r="A682" s="25" t="n">
        <v>20220908</v>
      </c>
      <c r="B682" s="25" t="s">
        <v>2251</v>
      </c>
      <c r="C682" s="27" t="b">
        <f aca="false">FALSE()</f>
        <v>0</v>
      </c>
      <c r="D682" s="26" t="n">
        <v>44812</v>
      </c>
      <c r="E682" s="25" t="n">
        <v>2022</v>
      </c>
      <c r="F682" s="25" t="n">
        <v>3</v>
      </c>
      <c r="G682" s="25" t="n">
        <v>9</v>
      </c>
    </row>
    <row r="683" customFormat="false" ht="15" hidden="false" customHeight="false" outlineLevel="0" collapsed="false">
      <c r="A683" s="25" t="n">
        <v>20220909</v>
      </c>
      <c r="B683" s="25" t="s">
        <v>2251</v>
      </c>
      <c r="C683" s="27" t="b">
        <f aca="false">FALSE()</f>
        <v>0</v>
      </c>
      <c r="D683" s="26" t="n">
        <v>44813</v>
      </c>
      <c r="E683" s="25" t="n">
        <v>2022</v>
      </c>
      <c r="F683" s="25" t="n">
        <v>3</v>
      </c>
      <c r="G683" s="25" t="n">
        <v>9</v>
      </c>
    </row>
    <row r="684" customFormat="false" ht="15" hidden="false" customHeight="false" outlineLevel="0" collapsed="false">
      <c r="A684" s="25" t="n">
        <v>20220910</v>
      </c>
      <c r="B684" s="25" t="s">
        <v>2251</v>
      </c>
      <c r="C684" s="27" t="b">
        <f aca="false">TRUE()</f>
        <v>1</v>
      </c>
      <c r="D684" s="26" t="n">
        <v>44814</v>
      </c>
      <c r="E684" s="25" t="n">
        <v>2022</v>
      </c>
      <c r="F684" s="25" t="n">
        <v>3</v>
      </c>
      <c r="G684" s="25" t="n">
        <v>9</v>
      </c>
    </row>
    <row r="685" customFormat="false" ht="15" hidden="false" customHeight="false" outlineLevel="0" collapsed="false">
      <c r="A685" s="25" t="n">
        <v>20220911</v>
      </c>
      <c r="B685" s="25" t="s">
        <v>2251</v>
      </c>
      <c r="C685" s="27" t="b">
        <f aca="false">TRUE()</f>
        <v>1</v>
      </c>
      <c r="D685" s="26" t="n">
        <v>44815</v>
      </c>
      <c r="E685" s="25" t="n">
        <v>2022</v>
      </c>
      <c r="F685" s="25" t="n">
        <v>3</v>
      </c>
      <c r="G685" s="25" t="n">
        <v>9</v>
      </c>
    </row>
    <row r="686" customFormat="false" ht="15" hidden="false" customHeight="false" outlineLevel="0" collapsed="false">
      <c r="A686" s="25" t="n">
        <v>20220912</v>
      </c>
      <c r="B686" s="25" t="s">
        <v>2251</v>
      </c>
      <c r="C686" s="27" t="b">
        <f aca="false">FALSE()</f>
        <v>0</v>
      </c>
      <c r="D686" s="26" t="n">
        <v>44816</v>
      </c>
      <c r="E686" s="25" t="n">
        <v>2022</v>
      </c>
      <c r="F686" s="25" t="n">
        <v>3</v>
      </c>
      <c r="G686" s="25" t="n">
        <v>9</v>
      </c>
    </row>
    <row r="687" customFormat="false" ht="15" hidden="false" customHeight="false" outlineLevel="0" collapsed="false">
      <c r="A687" s="25" t="n">
        <v>20220913</v>
      </c>
      <c r="B687" s="25" t="s">
        <v>2251</v>
      </c>
      <c r="C687" s="27" t="b">
        <f aca="false">FALSE()</f>
        <v>0</v>
      </c>
      <c r="D687" s="26" t="n">
        <v>44817</v>
      </c>
      <c r="E687" s="25" t="n">
        <v>2022</v>
      </c>
      <c r="F687" s="25" t="n">
        <v>3</v>
      </c>
      <c r="G687" s="25" t="n">
        <v>9</v>
      </c>
    </row>
    <row r="688" customFormat="false" ht="15" hidden="false" customHeight="false" outlineLevel="0" collapsed="false">
      <c r="A688" s="25" t="n">
        <v>20220914</v>
      </c>
      <c r="B688" s="25" t="s">
        <v>2251</v>
      </c>
      <c r="C688" s="27" t="b">
        <f aca="false">FALSE()</f>
        <v>0</v>
      </c>
      <c r="D688" s="26" t="n">
        <v>44818</v>
      </c>
      <c r="E688" s="25" t="n">
        <v>2022</v>
      </c>
      <c r="F688" s="25" t="n">
        <v>3</v>
      </c>
      <c r="G688" s="25" t="n">
        <v>9</v>
      </c>
    </row>
    <row r="689" customFormat="false" ht="15" hidden="false" customHeight="false" outlineLevel="0" collapsed="false">
      <c r="A689" s="25" t="n">
        <v>20220915</v>
      </c>
      <c r="B689" s="25" t="s">
        <v>2251</v>
      </c>
      <c r="C689" s="27" t="b">
        <f aca="false">FALSE()</f>
        <v>0</v>
      </c>
      <c r="D689" s="26" t="n">
        <v>44819</v>
      </c>
      <c r="E689" s="25" t="n">
        <v>2022</v>
      </c>
      <c r="F689" s="25" t="n">
        <v>3</v>
      </c>
      <c r="G689" s="25" t="n">
        <v>9</v>
      </c>
    </row>
    <row r="690" customFormat="false" ht="15" hidden="false" customHeight="false" outlineLevel="0" collapsed="false">
      <c r="A690" s="25" t="n">
        <v>20220916</v>
      </c>
      <c r="B690" s="25" t="s">
        <v>2251</v>
      </c>
      <c r="C690" s="27" t="b">
        <f aca="false">FALSE()</f>
        <v>0</v>
      </c>
      <c r="D690" s="26" t="n">
        <v>44820</v>
      </c>
      <c r="E690" s="25" t="n">
        <v>2022</v>
      </c>
      <c r="F690" s="25" t="n">
        <v>3</v>
      </c>
      <c r="G690" s="25" t="n">
        <v>9</v>
      </c>
    </row>
    <row r="691" customFormat="false" ht="15" hidden="false" customHeight="false" outlineLevel="0" collapsed="false">
      <c r="A691" s="25" t="n">
        <v>20220917</v>
      </c>
      <c r="B691" s="25" t="s">
        <v>2251</v>
      </c>
      <c r="C691" s="27" t="b">
        <f aca="false">TRUE()</f>
        <v>1</v>
      </c>
      <c r="D691" s="26" t="n">
        <v>44821</v>
      </c>
      <c r="E691" s="25" t="n">
        <v>2022</v>
      </c>
      <c r="F691" s="25" t="n">
        <v>3</v>
      </c>
      <c r="G691" s="25" t="n">
        <v>9</v>
      </c>
    </row>
    <row r="692" customFormat="false" ht="15" hidden="false" customHeight="false" outlineLevel="0" collapsed="false">
      <c r="A692" s="25" t="n">
        <v>20220918</v>
      </c>
      <c r="B692" s="25" t="s">
        <v>2251</v>
      </c>
      <c r="C692" s="27" t="b">
        <f aca="false">TRUE()</f>
        <v>1</v>
      </c>
      <c r="D692" s="26" t="n">
        <v>44822</v>
      </c>
      <c r="E692" s="25" t="n">
        <v>2022</v>
      </c>
      <c r="F692" s="25" t="n">
        <v>3</v>
      </c>
      <c r="G692" s="25" t="n">
        <v>9</v>
      </c>
    </row>
    <row r="693" customFormat="false" ht="15" hidden="false" customHeight="false" outlineLevel="0" collapsed="false">
      <c r="A693" s="25" t="n">
        <v>20220919</v>
      </c>
      <c r="B693" s="25" t="s">
        <v>2251</v>
      </c>
      <c r="C693" s="27" t="b">
        <f aca="false">FALSE()</f>
        <v>0</v>
      </c>
      <c r="D693" s="26" t="n">
        <v>44823</v>
      </c>
      <c r="E693" s="25" t="n">
        <v>2022</v>
      </c>
      <c r="F693" s="25" t="n">
        <v>3</v>
      </c>
      <c r="G693" s="25" t="n">
        <v>9</v>
      </c>
    </row>
    <row r="694" customFormat="false" ht="15" hidden="false" customHeight="false" outlineLevel="0" collapsed="false">
      <c r="A694" s="25" t="n">
        <v>20220920</v>
      </c>
      <c r="B694" s="25" t="s">
        <v>2251</v>
      </c>
      <c r="C694" s="27" t="b">
        <f aca="false">FALSE()</f>
        <v>0</v>
      </c>
      <c r="D694" s="26" t="n">
        <v>44824</v>
      </c>
      <c r="E694" s="25" t="n">
        <v>2022</v>
      </c>
      <c r="F694" s="25" t="n">
        <v>3</v>
      </c>
      <c r="G694" s="25" t="n">
        <v>9</v>
      </c>
    </row>
    <row r="695" customFormat="false" ht="15" hidden="false" customHeight="false" outlineLevel="0" collapsed="false">
      <c r="A695" s="25" t="n">
        <v>20220921</v>
      </c>
      <c r="B695" s="25" t="s">
        <v>2251</v>
      </c>
      <c r="C695" s="27" t="b">
        <f aca="false">FALSE()</f>
        <v>0</v>
      </c>
      <c r="D695" s="26" t="n">
        <v>44825</v>
      </c>
      <c r="E695" s="25" t="n">
        <v>2022</v>
      </c>
      <c r="F695" s="25" t="n">
        <v>3</v>
      </c>
      <c r="G695" s="25" t="n">
        <v>9</v>
      </c>
    </row>
    <row r="696" customFormat="false" ht="15" hidden="false" customHeight="false" outlineLevel="0" collapsed="false">
      <c r="A696" s="25" t="n">
        <v>20220922</v>
      </c>
      <c r="B696" s="25" t="s">
        <v>2251</v>
      </c>
      <c r="C696" s="27" t="b">
        <f aca="false">FALSE()</f>
        <v>0</v>
      </c>
      <c r="D696" s="26" t="n">
        <v>44826</v>
      </c>
      <c r="E696" s="25" t="n">
        <v>2022</v>
      </c>
      <c r="F696" s="25" t="n">
        <v>3</v>
      </c>
      <c r="G696" s="25" t="n">
        <v>9</v>
      </c>
    </row>
    <row r="697" customFormat="false" ht="15" hidden="false" customHeight="false" outlineLevel="0" collapsed="false">
      <c r="A697" s="25" t="n">
        <v>20220923</v>
      </c>
      <c r="B697" s="25" t="s">
        <v>2251</v>
      </c>
      <c r="C697" s="27" t="b">
        <f aca="false">FALSE()</f>
        <v>0</v>
      </c>
      <c r="D697" s="26" t="n">
        <v>44827</v>
      </c>
      <c r="E697" s="25" t="n">
        <v>2022</v>
      </c>
      <c r="F697" s="25" t="n">
        <v>3</v>
      </c>
      <c r="G697" s="25" t="n">
        <v>9</v>
      </c>
    </row>
    <row r="698" customFormat="false" ht="15" hidden="false" customHeight="false" outlineLevel="0" collapsed="false">
      <c r="A698" s="25" t="n">
        <v>20220924</v>
      </c>
      <c r="B698" s="25" t="s">
        <v>2251</v>
      </c>
      <c r="C698" s="27" t="b">
        <f aca="false">TRUE()</f>
        <v>1</v>
      </c>
      <c r="D698" s="26" t="n">
        <v>44828</v>
      </c>
      <c r="E698" s="25" t="n">
        <v>2022</v>
      </c>
      <c r="F698" s="25" t="n">
        <v>3</v>
      </c>
      <c r="G698" s="25" t="n">
        <v>9</v>
      </c>
    </row>
    <row r="699" customFormat="false" ht="15" hidden="false" customHeight="false" outlineLevel="0" collapsed="false">
      <c r="A699" s="25" t="n">
        <v>20220925</v>
      </c>
      <c r="B699" s="25" t="s">
        <v>2251</v>
      </c>
      <c r="C699" s="27" t="b">
        <f aca="false">TRUE()</f>
        <v>1</v>
      </c>
      <c r="D699" s="26" t="n">
        <v>44829</v>
      </c>
      <c r="E699" s="25" t="n">
        <v>2022</v>
      </c>
      <c r="F699" s="25" t="n">
        <v>3</v>
      </c>
      <c r="G699" s="25" t="n">
        <v>9</v>
      </c>
    </row>
    <row r="700" customFormat="false" ht="15" hidden="false" customHeight="false" outlineLevel="0" collapsed="false">
      <c r="A700" s="25" t="n">
        <v>20220926</v>
      </c>
      <c r="B700" s="25" t="s">
        <v>2251</v>
      </c>
      <c r="C700" s="27" t="b">
        <f aca="false">FALSE()</f>
        <v>0</v>
      </c>
      <c r="D700" s="26" t="n">
        <v>44830</v>
      </c>
      <c r="E700" s="25" t="n">
        <v>2022</v>
      </c>
      <c r="F700" s="25" t="n">
        <v>3</v>
      </c>
      <c r="G700" s="25" t="n">
        <v>9</v>
      </c>
    </row>
    <row r="701" customFormat="false" ht="15" hidden="false" customHeight="false" outlineLevel="0" collapsed="false">
      <c r="A701" s="25" t="n">
        <v>20220927</v>
      </c>
      <c r="B701" s="25" t="s">
        <v>2251</v>
      </c>
      <c r="C701" s="27" t="b">
        <f aca="false">FALSE()</f>
        <v>0</v>
      </c>
      <c r="D701" s="26" t="n">
        <v>44831</v>
      </c>
      <c r="E701" s="25" t="n">
        <v>2022</v>
      </c>
      <c r="F701" s="25" t="n">
        <v>3</v>
      </c>
      <c r="G701" s="25" t="n">
        <v>9</v>
      </c>
    </row>
    <row r="702" customFormat="false" ht="15" hidden="false" customHeight="false" outlineLevel="0" collapsed="false">
      <c r="A702" s="25" t="n">
        <v>20220928</v>
      </c>
      <c r="B702" s="25" t="s">
        <v>2251</v>
      </c>
      <c r="C702" s="27" t="b">
        <f aca="false">FALSE()</f>
        <v>0</v>
      </c>
      <c r="D702" s="26" t="n">
        <v>44832</v>
      </c>
      <c r="E702" s="25" t="n">
        <v>2022</v>
      </c>
      <c r="F702" s="25" t="n">
        <v>3</v>
      </c>
      <c r="G702" s="25" t="n">
        <v>9</v>
      </c>
    </row>
    <row r="703" customFormat="false" ht="15" hidden="false" customHeight="false" outlineLevel="0" collapsed="false">
      <c r="A703" s="25" t="n">
        <v>20220929</v>
      </c>
      <c r="B703" s="25" t="s">
        <v>2251</v>
      </c>
      <c r="C703" s="27" t="b">
        <f aca="false">FALSE()</f>
        <v>0</v>
      </c>
      <c r="D703" s="26" t="n">
        <v>44833</v>
      </c>
      <c r="E703" s="25" t="n">
        <v>2022</v>
      </c>
      <c r="F703" s="25" t="n">
        <v>3</v>
      </c>
      <c r="G703" s="25" t="n">
        <v>9</v>
      </c>
    </row>
    <row r="704" customFormat="false" ht="15" hidden="false" customHeight="false" outlineLevel="0" collapsed="false">
      <c r="A704" s="25" t="n">
        <v>20220930</v>
      </c>
      <c r="B704" s="25" t="s">
        <v>2251</v>
      </c>
      <c r="C704" s="27" t="b">
        <f aca="false">FALSE()</f>
        <v>0</v>
      </c>
      <c r="D704" s="26" t="n">
        <v>44834</v>
      </c>
      <c r="E704" s="25" t="n">
        <v>2022</v>
      </c>
      <c r="F704" s="25" t="n">
        <v>3</v>
      </c>
      <c r="G704" s="25" t="n">
        <v>9</v>
      </c>
    </row>
    <row r="705" customFormat="false" ht="15" hidden="false" customHeight="false" outlineLevel="0" collapsed="false">
      <c r="A705" s="25" t="n">
        <v>20221001</v>
      </c>
      <c r="B705" s="25" t="s">
        <v>2240</v>
      </c>
      <c r="C705" s="27" t="b">
        <f aca="false">TRUE()</f>
        <v>1</v>
      </c>
      <c r="D705" s="26" t="n">
        <v>44835</v>
      </c>
      <c r="E705" s="25" t="n">
        <v>2022</v>
      </c>
      <c r="F705" s="25" t="n">
        <v>4</v>
      </c>
      <c r="G705" s="25" t="n">
        <v>10</v>
      </c>
    </row>
    <row r="706" customFormat="false" ht="15" hidden="false" customHeight="false" outlineLevel="0" collapsed="false">
      <c r="A706" s="25" t="n">
        <v>20221002</v>
      </c>
      <c r="B706" s="25" t="s">
        <v>2240</v>
      </c>
      <c r="C706" s="27" t="b">
        <f aca="false">TRUE()</f>
        <v>1</v>
      </c>
      <c r="D706" s="26" t="n">
        <v>44836</v>
      </c>
      <c r="E706" s="25" t="n">
        <v>2022</v>
      </c>
      <c r="F706" s="25" t="n">
        <v>4</v>
      </c>
      <c r="G706" s="25" t="n">
        <v>10</v>
      </c>
    </row>
    <row r="707" customFormat="false" ht="15" hidden="false" customHeight="false" outlineLevel="0" collapsed="false">
      <c r="A707" s="25" t="n">
        <v>20221003</v>
      </c>
      <c r="B707" s="25" t="s">
        <v>2240</v>
      </c>
      <c r="C707" s="27" t="b">
        <f aca="false">FALSE()</f>
        <v>0</v>
      </c>
      <c r="D707" s="26" t="n">
        <v>44837</v>
      </c>
      <c r="E707" s="25" t="n">
        <v>2022</v>
      </c>
      <c r="F707" s="25" t="n">
        <v>4</v>
      </c>
      <c r="G707" s="25" t="n">
        <v>10</v>
      </c>
    </row>
    <row r="708" customFormat="false" ht="15" hidden="false" customHeight="false" outlineLevel="0" collapsed="false">
      <c r="A708" s="25" t="n">
        <v>20221004</v>
      </c>
      <c r="B708" s="25" t="s">
        <v>2240</v>
      </c>
      <c r="C708" s="27" t="b">
        <f aca="false">FALSE()</f>
        <v>0</v>
      </c>
      <c r="D708" s="26" t="n">
        <v>44838</v>
      </c>
      <c r="E708" s="25" t="n">
        <v>2022</v>
      </c>
      <c r="F708" s="25" t="n">
        <v>4</v>
      </c>
      <c r="G708" s="25" t="n">
        <v>10</v>
      </c>
    </row>
    <row r="709" customFormat="false" ht="15" hidden="false" customHeight="false" outlineLevel="0" collapsed="false">
      <c r="A709" s="25" t="n">
        <v>20221005</v>
      </c>
      <c r="B709" s="25" t="s">
        <v>2240</v>
      </c>
      <c r="C709" s="27" t="b">
        <f aca="false">FALSE()</f>
        <v>0</v>
      </c>
      <c r="D709" s="26" t="n">
        <v>44839</v>
      </c>
      <c r="E709" s="25" t="n">
        <v>2022</v>
      </c>
      <c r="F709" s="25" t="n">
        <v>4</v>
      </c>
      <c r="G709" s="25" t="n">
        <v>10</v>
      </c>
    </row>
    <row r="710" customFormat="false" ht="15" hidden="false" customHeight="false" outlineLevel="0" collapsed="false">
      <c r="A710" s="25" t="n">
        <v>20221006</v>
      </c>
      <c r="B710" s="25" t="s">
        <v>2240</v>
      </c>
      <c r="C710" s="27" t="b">
        <f aca="false">FALSE()</f>
        <v>0</v>
      </c>
      <c r="D710" s="26" t="n">
        <v>44840</v>
      </c>
      <c r="E710" s="25" t="n">
        <v>2022</v>
      </c>
      <c r="F710" s="25" t="n">
        <v>4</v>
      </c>
      <c r="G710" s="25" t="n">
        <v>10</v>
      </c>
    </row>
    <row r="711" customFormat="false" ht="15" hidden="false" customHeight="false" outlineLevel="0" collapsed="false">
      <c r="A711" s="25" t="n">
        <v>20221007</v>
      </c>
      <c r="B711" s="25" t="s">
        <v>2240</v>
      </c>
      <c r="C711" s="27" t="b">
        <f aca="false">FALSE()</f>
        <v>0</v>
      </c>
      <c r="D711" s="26" t="n">
        <v>44841</v>
      </c>
      <c r="E711" s="25" t="n">
        <v>2022</v>
      </c>
      <c r="F711" s="25" t="n">
        <v>4</v>
      </c>
      <c r="G711" s="25" t="n">
        <v>10</v>
      </c>
    </row>
    <row r="712" customFormat="false" ht="15" hidden="false" customHeight="false" outlineLevel="0" collapsed="false">
      <c r="A712" s="25" t="n">
        <v>20221008</v>
      </c>
      <c r="B712" s="25" t="s">
        <v>2240</v>
      </c>
      <c r="C712" s="27" t="b">
        <f aca="false">TRUE()</f>
        <v>1</v>
      </c>
      <c r="D712" s="26" t="n">
        <v>44842</v>
      </c>
      <c r="E712" s="25" t="n">
        <v>2022</v>
      </c>
      <c r="F712" s="25" t="n">
        <v>4</v>
      </c>
      <c r="G712" s="25" t="n">
        <v>10</v>
      </c>
    </row>
    <row r="713" customFormat="false" ht="15" hidden="false" customHeight="false" outlineLevel="0" collapsed="false">
      <c r="A713" s="25" t="n">
        <v>20221009</v>
      </c>
      <c r="B713" s="25" t="s">
        <v>2240</v>
      </c>
      <c r="C713" s="27" t="b">
        <f aca="false">TRUE()</f>
        <v>1</v>
      </c>
      <c r="D713" s="26" t="n">
        <v>44843</v>
      </c>
      <c r="E713" s="25" t="n">
        <v>2022</v>
      </c>
      <c r="F713" s="25" t="n">
        <v>4</v>
      </c>
      <c r="G713" s="25" t="n">
        <v>10</v>
      </c>
    </row>
    <row r="714" customFormat="false" ht="15" hidden="false" customHeight="false" outlineLevel="0" collapsed="false">
      <c r="A714" s="25" t="n">
        <v>20221010</v>
      </c>
      <c r="B714" s="25" t="s">
        <v>2240</v>
      </c>
      <c r="C714" s="27" t="b">
        <f aca="false">FALSE()</f>
        <v>0</v>
      </c>
      <c r="D714" s="26" t="n">
        <v>44844</v>
      </c>
      <c r="E714" s="25" t="n">
        <v>2022</v>
      </c>
      <c r="F714" s="25" t="n">
        <v>4</v>
      </c>
      <c r="G714" s="25" t="n">
        <v>10</v>
      </c>
    </row>
    <row r="715" customFormat="false" ht="15" hidden="false" customHeight="false" outlineLevel="0" collapsed="false">
      <c r="A715" s="25" t="n">
        <v>20221011</v>
      </c>
      <c r="B715" s="25" t="s">
        <v>2240</v>
      </c>
      <c r="C715" s="27" t="b">
        <f aca="false">FALSE()</f>
        <v>0</v>
      </c>
      <c r="D715" s="26" t="n">
        <v>44845</v>
      </c>
      <c r="E715" s="25" t="n">
        <v>2022</v>
      </c>
      <c r="F715" s="25" t="n">
        <v>4</v>
      </c>
      <c r="G715" s="25" t="n">
        <v>10</v>
      </c>
    </row>
    <row r="716" customFormat="false" ht="15" hidden="false" customHeight="false" outlineLevel="0" collapsed="false">
      <c r="A716" s="25" t="n">
        <v>20221012</v>
      </c>
      <c r="B716" s="25" t="s">
        <v>2240</v>
      </c>
      <c r="C716" s="27" t="b">
        <f aca="false">FALSE()</f>
        <v>0</v>
      </c>
      <c r="D716" s="26" t="n">
        <v>44846</v>
      </c>
      <c r="E716" s="25" t="n">
        <v>2022</v>
      </c>
      <c r="F716" s="25" t="n">
        <v>4</v>
      </c>
      <c r="G716" s="25" t="n">
        <v>10</v>
      </c>
    </row>
    <row r="717" customFormat="false" ht="15" hidden="false" customHeight="false" outlineLevel="0" collapsed="false">
      <c r="A717" s="25" t="n">
        <v>20221013</v>
      </c>
      <c r="B717" s="25" t="s">
        <v>2240</v>
      </c>
      <c r="C717" s="27" t="b">
        <f aca="false">FALSE()</f>
        <v>0</v>
      </c>
      <c r="D717" s="26" t="n">
        <v>44847</v>
      </c>
      <c r="E717" s="25" t="n">
        <v>2022</v>
      </c>
      <c r="F717" s="25" t="n">
        <v>4</v>
      </c>
      <c r="G717" s="25" t="n">
        <v>10</v>
      </c>
    </row>
    <row r="718" customFormat="false" ht="15" hidden="false" customHeight="false" outlineLevel="0" collapsed="false">
      <c r="A718" s="25" t="n">
        <v>20221014</v>
      </c>
      <c r="B718" s="25" t="s">
        <v>2240</v>
      </c>
      <c r="C718" s="27" t="b">
        <f aca="false">FALSE()</f>
        <v>0</v>
      </c>
      <c r="D718" s="26" t="n">
        <v>44848</v>
      </c>
      <c r="E718" s="25" t="n">
        <v>2022</v>
      </c>
      <c r="F718" s="25" t="n">
        <v>4</v>
      </c>
      <c r="G718" s="25" t="n">
        <v>10</v>
      </c>
    </row>
    <row r="719" customFormat="false" ht="15" hidden="false" customHeight="false" outlineLevel="0" collapsed="false">
      <c r="A719" s="25" t="n">
        <v>20221015</v>
      </c>
      <c r="B719" s="25" t="s">
        <v>2240</v>
      </c>
      <c r="C719" s="27" t="b">
        <f aca="false">TRUE()</f>
        <v>1</v>
      </c>
      <c r="D719" s="26" t="n">
        <v>44849</v>
      </c>
      <c r="E719" s="25" t="n">
        <v>2022</v>
      </c>
      <c r="F719" s="25" t="n">
        <v>4</v>
      </c>
      <c r="G719" s="25" t="n">
        <v>10</v>
      </c>
    </row>
    <row r="720" customFormat="false" ht="15" hidden="false" customHeight="false" outlineLevel="0" collapsed="false">
      <c r="A720" s="25" t="n">
        <v>20221016</v>
      </c>
      <c r="B720" s="25" t="s">
        <v>2240</v>
      </c>
      <c r="C720" s="27" t="b">
        <f aca="false">TRUE()</f>
        <v>1</v>
      </c>
      <c r="D720" s="26" t="n">
        <v>44850</v>
      </c>
      <c r="E720" s="25" t="n">
        <v>2022</v>
      </c>
      <c r="F720" s="25" t="n">
        <v>4</v>
      </c>
      <c r="G720" s="25" t="n">
        <v>10</v>
      </c>
    </row>
    <row r="721" customFormat="false" ht="15" hidden="false" customHeight="false" outlineLevel="0" collapsed="false">
      <c r="A721" s="25" t="n">
        <v>20221017</v>
      </c>
      <c r="B721" s="25" t="s">
        <v>2240</v>
      </c>
      <c r="C721" s="27" t="b">
        <f aca="false">FALSE()</f>
        <v>0</v>
      </c>
      <c r="D721" s="26" t="n">
        <v>44851</v>
      </c>
      <c r="E721" s="25" t="n">
        <v>2022</v>
      </c>
      <c r="F721" s="25" t="n">
        <v>4</v>
      </c>
      <c r="G721" s="25" t="n">
        <v>10</v>
      </c>
    </row>
    <row r="722" customFormat="false" ht="15" hidden="false" customHeight="false" outlineLevel="0" collapsed="false">
      <c r="A722" s="25" t="n">
        <v>20221018</v>
      </c>
      <c r="B722" s="25" t="s">
        <v>2240</v>
      </c>
      <c r="C722" s="27" t="b">
        <f aca="false">FALSE()</f>
        <v>0</v>
      </c>
      <c r="D722" s="26" t="n">
        <v>44852</v>
      </c>
      <c r="E722" s="25" t="n">
        <v>2022</v>
      </c>
      <c r="F722" s="25" t="n">
        <v>4</v>
      </c>
      <c r="G722" s="25" t="n">
        <v>10</v>
      </c>
    </row>
    <row r="723" customFormat="false" ht="15" hidden="false" customHeight="false" outlineLevel="0" collapsed="false">
      <c r="A723" s="25" t="n">
        <v>20221019</v>
      </c>
      <c r="B723" s="25" t="s">
        <v>2240</v>
      </c>
      <c r="C723" s="27" t="b">
        <f aca="false">FALSE()</f>
        <v>0</v>
      </c>
      <c r="D723" s="26" t="n">
        <v>44853</v>
      </c>
      <c r="E723" s="25" t="n">
        <v>2022</v>
      </c>
      <c r="F723" s="25" t="n">
        <v>4</v>
      </c>
      <c r="G723" s="25" t="n">
        <v>10</v>
      </c>
    </row>
    <row r="724" customFormat="false" ht="15" hidden="false" customHeight="false" outlineLevel="0" collapsed="false">
      <c r="A724" s="25" t="n">
        <v>20221020</v>
      </c>
      <c r="B724" s="25" t="s">
        <v>2240</v>
      </c>
      <c r="C724" s="27" t="b">
        <f aca="false">FALSE()</f>
        <v>0</v>
      </c>
      <c r="D724" s="26" t="n">
        <v>44854</v>
      </c>
      <c r="E724" s="25" t="n">
        <v>2022</v>
      </c>
      <c r="F724" s="25" t="n">
        <v>4</v>
      </c>
      <c r="G724" s="25" t="n">
        <v>10</v>
      </c>
    </row>
    <row r="725" customFormat="false" ht="15" hidden="false" customHeight="false" outlineLevel="0" collapsed="false">
      <c r="A725" s="25" t="n">
        <v>20221021</v>
      </c>
      <c r="B725" s="25" t="s">
        <v>2240</v>
      </c>
      <c r="C725" s="27" t="b">
        <f aca="false">FALSE()</f>
        <v>0</v>
      </c>
      <c r="D725" s="26" t="n">
        <v>44855</v>
      </c>
      <c r="E725" s="25" t="n">
        <v>2022</v>
      </c>
      <c r="F725" s="25" t="n">
        <v>4</v>
      </c>
      <c r="G725" s="25" t="n">
        <v>10</v>
      </c>
    </row>
    <row r="726" customFormat="false" ht="15" hidden="false" customHeight="false" outlineLevel="0" collapsed="false">
      <c r="A726" s="25" t="n">
        <v>20221022</v>
      </c>
      <c r="B726" s="25" t="s">
        <v>2240</v>
      </c>
      <c r="C726" s="27" t="b">
        <f aca="false">TRUE()</f>
        <v>1</v>
      </c>
      <c r="D726" s="26" t="n">
        <v>44856</v>
      </c>
      <c r="E726" s="25" t="n">
        <v>2022</v>
      </c>
      <c r="F726" s="25" t="n">
        <v>4</v>
      </c>
      <c r="G726" s="25" t="n">
        <v>10</v>
      </c>
    </row>
    <row r="727" customFormat="false" ht="15" hidden="false" customHeight="false" outlineLevel="0" collapsed="false">
      <c r="A727" s="25" t="n">
        <v>20221023</v>
      </c>
      <c r="B727" s="25" t="s">
        <v>2240</v>
      </c>
      <c r="C727" s="27" t="b">
        <f aca="false">TRUE()</f>
        <v>1</v>
      </c>
      <c r="D727" s="26" t="n">
        <v>44857</v>
      </c>
      <c r="E727" s="25" t="n">
        <v>2022</v>
      </c>
      <c r="F727" s="25" t="n">
        <v>4</v>
      </c>
      <c r="G727" s="25" t="n">
        <v>10</v>
      </c>
    </row>
    <row r="728" customFormat="false" ht="15" hidden="false" customHeight="false" outlineLevel="0" collapsed="false">
      <c r="A728" s="25" t="n">
        <v>20221024</v>
      </c>
      <c r="B728" s="25" t="s">
        <v>2240</v>
      </c>
      <c r="C728" s="27" t="b">
        <f aca="false">FALSE()</f>
        <v>0</v>
      </c>
      <c r="D728" s="26" t="n">
        <v>44858</v>
      </c>
      <c r="E728" s="25" t="n">
        <v>2022</v>
      </c>
      <c r="F728" s="25" t="n">
        <v>4</v>
      </c>
      <c r="G728" s="25" t="n">
        <v>10</v>
      </c>
    </row>
    <row r="729" customFormat="false" ht="15" hidden="false" customHeight="false" outlineLevel="0" collapsed="false">
      <c r="A729" s="25" t="n">
        <v>20221025</v>
      </c>
      <c r="B729" s="25" t="s">
        <v>2240</v>
      </c>
      <c r="C729" s="27" t="b">
        <f aca="false">FALSE()</f>
        <v>0</v>
      </c>
      <c r="D729" s="26" t="n">
        <v>44859</v>
      </c>
      <c r="E729" s="25" t="n">
        <v>2022</v>
      </c>
      <c r="F729" s="25" t="n">
        <v>4</v>
      </c>
      <c r="G729" s="25" t="n">
        <v>10</v>
      </c>
    </row>
    <row r="730" customFormat="false" ht="15" hidden="false" customHeight="false" outlineLevel="0" collapsed="false">
      <c r="A730" s="25" t="n">
        <v>20221026</v>
      </c>
      <c r="B730" s="25" t="s">
        <v>2240</v>
      </c>
      <c r="C730" s="27" t="b">
        <f aca="false">FALSE()</f>
        <v>0</v>
      </c>
      <c r="D730" s="26" t="n">
        <v>44860</v>
      </c>
      <c r="E730" s="25" t="n">
        <v>2022</v>
      </c>
      <c r="F730" s="25" t="n">
        <v>4</v>
      </c>
      <c r="G730" s="25" t="n">
        <v>10</v>
      </c>
    </row>
    <row r="731" customFormat="false" ht="15" hidden="false" customHeight="false" outlineLevel="0" collapsed="false">
      <c r="A731" s="25" t="n">
        <v>20221027</v>
      </c>
      <c r="B731" s="25" t="s">
        <v>2240</v>
      </c>
      <c r="C731" s="27" t="b">
        <f aca="false">FALSE()</f>
        <v>0</v>
      </c>
      <c r="D731" s="26" t="n">
        <v>44861</v>
      </c>
      <c r="E731" s="25" t="n">
        <v>2022</v>
      </c>
      <c r="F731" s="25" t="n">
        <v>4</v>
      </c>
      <c r="G731" s="25" t="n">
        <v>10</v>
      </c>
    </row>
    <row r="732" customFormat="false" ht="15" hidden="false" customHeight="false" outlineLevel="0" collapsed="false">
      <c r="A732" s="25" t="n">
        <v>20221028</v>
      </c>
      <c r="B732" s="25" t="s">
        <v>2240</v>
      </c>
      <c r="C732" s="27" t="b">
        <f aca="false">FALSE()</f>
        <v>0</v>
      </c>
      <c r="D732" s="26" t="n">
        <v>44862</v>
      </c>
      <c r="E732" s="25" t="n">
        <v>2022</v>
      </c>
      <c r="F732" s="25" t="n">
        <v>4</v>
      </c>
      <c r="G732" s="25" t="n">
        <v>10</v>
      </c>
    </row>
    <row r="733" customFormat="false" ht="15" hidden="false" customHeight="false" outlineLevel="0" collapsed="false">
      <c r="A733" s="25" t="n">
        <v>20221029</v>
      </c>
      <c r="B733" s="25" t="s">
        <v>2240</v>
      </c>
      <c r="C733" s="27" t="b">
        <f aca="false">TRUE()</f>
        <v>1</v>
      </c>
      <c r="D733" s="26" t="n">
        <v>44863</v>
      </c>
      <c r="E733" s="25" t="n">
        <v>2022</v>
      </c>
      <c r="F733" s="25" t="n">
        <v>4</v>
      </c>
      <c r="G733" s="25" t="n">
        <v>10</v>
      </c>
    </row>
    <row r="734" customFormat="false" ht="15" hidden="false" customHeight="false" outlineLevel="0" collapsed="false">
      <c r="A734" s="25" t="n">
        <v>20221030</v>
      </c>
      <c r="B734" s="25" t="s">
        <v>2240</v>
      </c>
      <c r="C734" s="27" t="b">
        <f aca="false">TRUE()</f>
        <v>1</v>
      </c>
      <c r="D734" s="26" t="n">
        <v>44864</v>
      </c>
      <c r="E734" s="25" t="n">
        <v>2022</v>
      </c>
      <c r="F734" s="25" t="n">
        <v>4</v>
      </c>
      <c r="G734" s="25" t="n">
        <v>10</v>
      </c>
    </row>
    <row r="735" customFormat="false" ht="15" hidden="false" customHeight="false" outlineLevel="0" collapsed="false">
      <c r="A735" s="25" t="n">
        <v>20221031</v>
      </c>
      <c r="B735" s="25" t="s">
        <v>2240</v>
      </c>
      <c r="C735" s="27" t="b">
        <f aca="false">FALSE()</f>
        <v>0</v>
      </c>
      <c r="D735" s="26" t="n">
        <v>44865</v>
      </c>
      <c r="E735" s="25" t="n">
        <v>2022</v>
      </c>
      <c r="F735" s="25" t="n">
        <v>4</v>
      </c>
      <c r="G735" s="25" t="n">
        <v>10</v>
      </c>
    </row>
    <row r="736" customFormat="false" ht="15" hidden="false" customHeight="false" outlineLevel="0" collapsed="false">
      <c r="A736" s="25" t="n">
        <v>20221101</v>
      </c>
      <c r="B736" s="25" t="s">
        <v>2241</v>
      </c>
      <c r="C736" s="27" t="b">
        <f aca="false">FALSE()</f>
        <v>0</v>
      </c>
      <c r="D736" s="26" t="n">
        <v>44866</v>
      </c>
      <c r="E736" s="25" t="n">
        <v>2022</v>
      </c>
      <c r="F736" s="25" t="n">
        <v>4</v>
      </c>
      <c r="G736" s="25" t="n">
        <v>11</v>
      </c>
    </row>
    <row r="737" customFormat="false" ht="15" hidden="false" customHeight="false" outlineLevel="0" collapsed="false">
      <c r="A737" s="25" t="n">
        <v>20221102</v>
      </c>
      <c r="B737" s="25" t="s">
        <v>2241</v>
      </c>
      <c r="C737" s="27" t="b">
        <f aca="false">FALSE()</f>
        <v>0</v>
      </c>
      <c r="D737" s="26" t="n">
        <v>44867</v>
      </c>
      <c r="E737" s="25" t="n">
        <v>2022</v>
      </c>
      <c r="F737" s="25" t="n">
        <v>4</v>
      </c>
      <c r="G737" s="25" t="n">
        <v>11</v>
      </c>
    </row>
    <row r="738" customFormat="false" ht="15" hidden="false" customHeight="false" outlineLevel="0" collapsed="false">
      <c r="A738" s="25" t="n">
        <v>20221103</v>
      </c>
      <c r="B738" s="25" t="s">
        <v>2241</v>
      </c>
      <c r="C738" s="27" t="b">
        <f aca="false">FALSE()</f>
        <v>0</v>
      </c>
      <c r="D738" s="26" t="n">
        <v>44868</v>
      </c>
      <c r="E738" s="25" t="n">
        <v>2022</v>
      </c>
      <c r="F738" s="25" t="n">
        <v>4</v>
      </c>
      <c r="G738" s="25" t="n">
        <v>11</v>
      </c>
    </row>
    <row r="739" customFormat="false" ht="15" hidden="false" customHeight="false" outlineLevel="0" collapsed="false">
      <c r="A739" s="25" t="n">
        <v>20221104</v>
      </c>
      <c r="B739" s="25" t="s">
        <v>2241</v>
      </c>
      <c r="C739" s="27" t="b">
        <f aca="false">FALSE()</f>
        <v>0</v>
      </c>
      <c r="D739" s="26" t="n">
        <v>44869</v>
      </c>
      <c r="E739" s="25" t="n">
        <v>2022</v>
      </c>
      <c r="F739" s="25" t="n">
        <v>4</v>
      </c>
      <c r="G739" s="25" t="n">
        <v>11</v>
      </c>
    </row>
    <row r="740" customFormat="false" ht="15" hidden="false" customHeight="false" outlineLevel="0" collapsed="false">
      <c r="A740" s="25" t="n">
        <v>20221105</v>
      </c>
      <c r="B740" s="25" t="s">
        <v>2241</v>
      </c>
      <c r="C740" s="27" t="b">
        <f aca="false">TRUE()</f>
        <v>1</v>
      </c>
      <c r="D740" s="26" t="n">
        <v>44870</v>
      </c>
      <c r="E740" s="25" t="n">
        <v>2022</v>
      </c>
      <c r="F740" s="25" t="n">
        <v>4</v>
      </c>
      <c r="G740" s="25" t="n">
        <v>11</v>
      </c>
    </row>
    <row r="741" customFormat="false" ht="15" hidden="false" customHeight="false" outlineLevel="0" collapsed="false">
      <c r="A741" s="25" t="n">
        <v>20221106</v>
      </c>
      <c r="B741" s="25" t="s">
        <v>2241</v>
      </c>
      <c r="C741" s="27" t="b">
        <f aca="false">TRUE()</f>
        <v>1</v>
      </c>
      <c r="D741" s="26" t="n">
        <v>44871</v>
      </c>
      <c r="E741" s="25" t="n">
        <v>2022</v>
      </c>
      <c r="F741" s="25" t="n">
        <v>4</v>
      </c>
      <c r="G741" s="25" t="n">
        <v>11</v>
      </c>
    </row>
    <row r="742" customFormat="false" ht="15" hidden="false" customHeight="false" outlineLevel="0" collapsed="false">
      <c r="A742" s="25" t="n">
        <v>20221107</v>
      </c>
      <c r="B742" s="25" t="s">
        <v>2241</v>
      </c>
      <c r="C742" s="27" t="b">
        <f aca="false">FALSE()</f>
        <v>0</v>
      </c>
      <c r="D742" s="26" t="n">
        <v>44872</v>
      </c>
      <c r="E742" s="25" t="n">
        <v>2022</v>
      </c>
      <c r="F742" s="25" t="n">
        <v>4</v>
      </c>
      <c r="G742" s="25" t="n">
        <v>11</v>
      </c>
    </row>
    <row r="743" customFormat="false" ht="15" hidden="false" customHeight="false" outlineLevel="0" collapsed="false">
      <c r="A743" s="25" t="n">
        <v>20221108</v>
      </c>
      <c r="B743" s="25" t="s">
        <v>2241</v>
      </c>
      <c r="C743" s="27" t="b">
        <f aca="false">FALSE()</f>
        <v>0</v>
      </c>
      <c r="D743" s="26" t="n">
        <v>44873</v>
      </c>
      <c r="E743" s="25" t="n">
        <v>2022</v>
      </c>
      <c r="F743" s="25" t="n">
        <v>4</v>
      </c>
      <c r="G743" s="25" t="n">
        <v>11</v>
      </c>
    </row>
    <row r="744" customFormat="false" ht="15" hidden="false" customHeight="false" outlineLevel="0" collapsed="false">
      <c r="A744" s="25" t="n">
        <v>20221109</v>
      </c>
      <c r="B744" s="25" t="s">
        <v>2241</v>
      </c>
      <c r="C744" s="27" t="b">
        <f aca="false">FALSE()</f>
        <v>0</v>
      </c>
      <c r="D744" s="26" t="n">
        <v>44874</v>
      </c>
      <c r="E744" s="25" t="n">
        <v>2022</v>
      </c>
      <c r="F744" s="25" t="n">
        <v>4</v>
      </c>
      <c r="G744" s="25" t="n">
        <v>11</v>
      </c>
    </row>
    <row r="745" customFormat="false" ht="15" hidden="false" customHeight="false" outlineLevel="0" collapsed="false">
      <c r="A745" s="25" t="n">
        <v>20221110</v>
      </c>
      <c r="B745" s="25" t="s">
        <v>2241</v>
      </c>
      <c r="C745" s="27" t="b">
        <f aca="false">FALSE()</f>
        <v>0</v>
      </c>
      <c r="D745" s="26" t="n">
        <v>44875</v>
      </c>
      <c r="E745" s="25" t="n">
        <v>2022</v>
      </c>
      <c r="F745" s="25" t="n">
        <v>4</v>
      </c>
      <c r="G745" s="25" t="n">
        <v>11</v>
      </c>
    </row>
    <row r="746" customFormat="false" ht="15" hidden="false" customHeight="false" outlineLevel="0" collapsed="false">
      <c r="A746" s="25" t="n">
        <v>20221111</v>
      </c>
      <c r="B746" s="25" t="s">
        <v>2241</v>
      </c>
      <c r="C746" s="27" t="b">
        <f aca="false">FALSE()</f>
        <v>0</v>
      </c>
      <c r="D746" s="26" t="n">
        <v>44876</v>
      </c>
      <c r="E746" s="25" t="n">
        <v>2022</v>
      </c>
      <c r="F746" s="25" t="n">
        <v>4</v>
      </c>
      <c r="G746" s="25" t="n">
        <v>11</v>
      </c>
    </row>
    <row r="747" customFormat="false" ht="15" hidden="false" customHeight="false" outlineLevel="0" collapsed="false">
      <c r="A747" s="25" t="n">
        <v>20221112</v>
      </c>
      <c r="B747" s="25" t="s">
        <v>2241</v>
      </c>
      <c r="C747" s="27" t="b">
        <f aca="false">TRUE()</f>
        <v>1</v>
      </c>
      <c r="D747" s="26" t="n">
        <v>44877</v>
      </c>
      <c r="E747" s="25" t="n">
        <v>2022</v>
      </c>
      <c r="F747" s="25" t="n">
        <v>4</v>
      </c>
      <c r="G747" s="25" t="n">
        <v>11</v>
      </c>
    </row>
    <row r="748" customFormat="false" ht="15" hidden="false" customHeight="false" outlineLevel="0" collapsed="false">
      <c r="A748" s="25" t="n">
        <v>20221113</v>
      </c>
      <c r="B748" s="25" t="s">
        <v>2241</v>
      </c>
      <c r="C748" s="27" t="b">
        <f aca="false">TRUE()</f>
        <v>1</v>
      </c>
      <c r="D748" s="26" t="n">
        <v>44878</v>
      </c>
      <c r="E748" s="25" t="n">
        <v>2022</v>
      </c>
      <c r="F748" s="25" t="n">
        <v>4</v>
      </c>
      <c r="G748" s="25" t="n">
        <v>11</v>
      </c>
    </row>
    <row r="749" customFormat="false" ht="15" hidden="false" customHeight="false" outlineLevel="0" collapsed="false">
      <c r="A749" s="25" t="n">
        <v>20221114</v>
      </c>
      <c r="B749" s="25" t="s">
        <v>2241</v>
      </c>
      <c r="C749" s="27" t="b">
        <f aca="false">FALSE()</f>
        <v>0</v>
      </c>
      <c r="D749" s="26" t="n">
        <v>44879</v>
      </c>
      <c r="E749" s="25" t="n">
        <v>2022</v>
      </c>
      <c r="F749" s="25" t="n">
        <v>4</v>
      </c>
      <c r="G749" s="25" t="n">
        <v>11</v>
      </c>
    </row>
    <row r="750" customFormat="false" ht="15" hidden="false" customHeight="false" outlineLevel="0" collapsed="false">
      <c r="A750" s="25" t="n">
        <v>20221115</v>
      </c>
      <c r="B750" s="25" t="s">
        <v>2241</v>
      </c>
      <c r="C750" s="27" t="b">
        <f aca="false">FALSE()</f>
        <v>0</v>
      </c>
      <c r="D750" s="26" t="n">
        <v>44880</v>
      </c>
      <c r="E750" s="25" t="n">
        <v>2022</v>
      </c>
      <c r="F750" s="25" t="n">
        <v>4</v>
      </c>
      <c r="G750" s="25" t="n">
        <v>11</v>
      </c>
    </row>
    <row r="751" customFormat="false" ht="15" hidden="false" customHeight="false" outlineLevel="0" collapsed="false">
      <c r="A751" s="25" t="n">
        <v>20221116</v>
      </c>
      <c r="B751" s="25" t="s">
        <v>2241</v>
      </c>
      <c r="C751" s="27" t="b">
        <f aca="false">FALSE()</f>
        <v>0</v>
      </c>
      <c r="D751" s="26" t="n">
        <v>44881</v>
      </c>
      <c r="E751" s="25" t="n">
        <v>2022</v>
      </c>
      <c r="F751" s="25" t="n">
        <v>4</v>
      </c>
      <c r="G751" s="25" t="n">
        <v>11</v>
      </c>
    </row>
    <row r="752" customFormat="false" ht="15" hidden="false" customHeight="false" outlineLevel="0" collapsed="false">
      <c r="A752" s="25" t="n">
        <v>20221117</v>
      </c>
      <c r="B752" s="25" t="s">
        <v>2241</v>
      </c>
      <c r="C752" s="27" t="b">
        <f aca="false">FALSE()</f>
        <v>0</v>
      </c>
      <c r="D752" s="26" t="n">
        <v>44882</v>
      </c>
      <c r="E752" s="25" t="n">
        <v>2022</v>
      </c>
      <c r="F752" s="25" t="n">
        <v>4</v>
      </c>
      <c r="G752" s="25" t="n">
        <v>11</v>
      </c>
    </row>
    <row r="753" customFormat="false" ht="15" hidden="false" customHeight="false" outlineLevel="0" collapsed="false">
      <c r="A753" s="25" t="n">
        <v>20221118</v>
      </c>
      <c r="B753" s="25" t="s">
        <v>2241</v>
      </c>
      <c r="C753" s="27" t="b">
        <f aca="false">FALSE()</f>
        <v>0</v>
      </c>
      <c r="D753" s="26" t="n">
        <v>44883</v>
      </c>
      <c r="E753" s="25" t="n">
        <v>2022</v>
      </c>
      <c r="F753" s="25" t="n">
        <v>4</v>
      </c>
      <c r="G753" s="25" t="n">
        <v>11</v>
      </c>
    </row>
    <row r="754" customFormat="false" ht="15" hidden="false" customHeight="false" outlineLevel="0" collapsed="false">
      <c r="A754" s="25" t="n">
        <v>20221119</v>
      </c>
      <c r="B754" s="25" t="s">
        <v>2241</v>
      </c>
      <c r="C754" s="27" t="b">
        <f aca="false">TRUE()</f>
        <v>1</v>
      </c>
      <c r="D754" s="26" t="n">
        <v>44884</v>
      </c>
      <c r="E754" s="25" t="n">
        <v>2022</v>
      </c>
      <c r="F754" s="25" t="n">
        <v>4</v>
      </c>
      <c r="G754" s="25" t="n">
        <v>11</v>
      </c>
    </row>
    <row r="755" customFormat="false" ht="15" hidden="false" customHeight="false" outlineLevel="0" collapsed="false">
      <c r="A755" s="25" t="n">
        <v>20221120</v>
      </c>
      <c r="B755" s="25" t="s">
        <v>2241</v>
      </c>
      <c r="C755" s="27" t="b">
        <f aca="false">TRUE()</f>
        <v>1</v>
      </c>
      <c r="D755" s="26" t="n">
        <v>44885</v>
      </c>
      <c r="E755" s="25" t="n">
        <v>2022</v>
      </c>
      <c r="F755" s="25" t="n">
        <v>4</v>
      </c>
      <c r="G755" s="25" t="n">
        <v>11</v>
      </c>
    </row>
    <row r="756" customFormat="false" ht="15" hidden="false" customHeight="false" outlineLevel="0" collapsed="false">
      <c r="A756" s="25" t="n">
        <v>20221121</v>
      </c>
      <c r="B756" s="25" t="s">
        <v>2241</v>
      </c>
      <c r="C756" s="27" t="b">
        <f aca="false">FALSE()</f>
        <v>0</v>
      </c>
      <c r="D756" s="26" t="n">
        <v>44886</v>
      </c>
      <c r="E756" s="25" t="n">
        <v>2022</v>
      </c>
      <c r="F756" s="25" t="n">
        <v>4</v>
      </c>
      <c r="G756" s="25" t="n">
        <v>11</v>
      </c>
    </row>
    <row r="757" customFormat="false" ht="15" hidden="false" customHeight="false" outlineLevel="0" collapsed="false">
      <c r="A757" s="25" t="n">
        <v>20221122</v>
      </c>
      <c r="B757" s="25" t="s">
        <v>2241</v>
      </c>
      <c r="C757" s="27" t="b">
        <f aca="false">FALSE()</f>
        <v>0</v>
      </c>
      <c r="D757" s="26" t="n">
        <v>44887</v>
      </c>
      <c r="E757" s="25" t="n">
        <v>2022</v>
      </c>
      <c r="F757" s="25" t="n">
        <v>4</v>
      </c>
      <c r="G757" s="25" t="n">
        <v>11</v>
      </c>
    </row>
    <row r="758" customFormat="false" ht="15" hidden="false" customHeight="false" outlineLevel="0" collapsed="false">
      <c r="A758" s="25" t="n">
        <v>20221123</v>
      </c>
      <c r="B758" s="25" t="s">
        <v>2241</v>
      </c>
      <c r="C758" s="27" t="b">
        <f aca="false">FALSE()</f>
        <v>0</v>
      </c>
      <c r="D758" s="26" t="n">
        <v>44888</v>
      </c>
      <c r="E758" s="25" t="n">
        <v>2022</v>
      </c>
      <c r="F758" s="25" t="n">
        <v>4</v>
      </c>
      <c r="G758" s="25" t="n">
        <v>11</v>
      </c>
    </row>
    <row r="759" customFormat="false" ht="15" hidden="false" customHeight="false" outlineLevel="0" collapsed="false">
      <c r="A759" s="25" t="n">
        <v>20221124</v>
      </c>
      <c r="B759" s="25" t="s">
        <v>2241</v>
      </c>
      <c r="C759" s="27" t="b">
        <f aca="false">FALSE()</f>
        <v>0</v>
      </c>
      <c r="D759" s="26" t="n">
        <v>44889</v>
      </c>
      <c r="E759" s="25" t="n">
        <v>2022</v>
      </c>
      <c r="F759" s="25" t="n">
        <v>4</v>
      </c>
      <c r="G759" s="25" t="n">
        <v>11</v>
      </c>
    </row>
    <row r="760" customFormat="false" ht="15" hidden="false" customHeight="false" outlineLevel="0" collapsed="false">
      <c r="A760" s="25" t="n">
        <v>20221125</v>
      </c>
      <c r="B760" s="25" t="s">
        <v>2241</v>
      </c>
      <c r="C760" s="27" t="b">
        <f aca="false">FALSE()</f>
        <v>0</v>
      </c>
      <c r="D760" s="26" t="n">
        <v>44890</v>
      </c>
      <c r="E760" s="25" t="n">
        <v>2022</v>
      </c>
      <c r="F760" s="25" t="n">
        <v>4</v>
      </c>
      <c r="G760" s="25" t="n">
        <v>11</v>
      </c>
    </row>
    <row r="761" customFormat="false" ht="15" hidden="false" customHeight="false" outlineLevel="0" collapsed="false">
      <c r="A761" s="25" t="n">
        <v>20221126</v>
      </c>
      <c r="B761" s="25" t="s">
        <v>2241</v>
      </c>
      <c r="C761" s="27" t="b">
        <f aca="false">TRUE()</f>
        <v>1</v>
      </c>
      <c r="D761" s="26" t="n">
        <v>44891</v>
      </c>
      <c r="E761" s="25" t="n">
        <v>2022</v>
      </c>
      <c r="F761" s="25" t="n">
        <v>4</v>
      </c>
      <c r="G761" s="25" t="n">
        <v>11</v>
      </c>
    </row>
    <row r="762" customFormat="false" ht="15" hidden="false" customHeight="false" outlineLevel="0" collapsed="false">
      <c r="A762" s="25" t="n">
        <v>20221127</v>
      </c>
      <c r="B762" s="25" t="s">
        <v>2241</v>
      </c>
      <c r="C762" s="27" t="b">
        <f aca="false">TRUE()</f>
        <v>1</v>
      </c>
      <c r="D762" s="26" t="n">
        <v>44892</v>
      </c>
      <c r="E762" s="25" t="n">
        <v>2022</v>
      </c>
      <c r="F762" s="25" t="n">
        <v>4</v>
      </c>
      <c r="G762" s="25" t="n">
        <v>11</v>
      </c>
    </row>
    <row r="763" customFormat="false" ht="15" hidden="false" customHeight="false" outlineLevel="0" collapsed="false">
      <c r="A763" s="25" t="n">
        <v>20221128</v>
      </c>
      <c r="B763" s="25" t="s">
        <v>2241</v>
      </c>
      <c r="C763" s="27" t="b">
        <f aca="false">FALSE()</f>
        <v>0</v>
      </c>
      <c r="D763" s="26" t="n">
        <v>44893</v>
      </c>
      <c r="E763" s="25" t="n">
        <v>2022</v>
      </c>
      <c r="F763" s="25" t="n">
        <v>4</v>
      </c>
      <c r="G763" s="25" t="n">
        <v>11</v>
      </c>
    </row>
    <row r="764" customFormat="false" ht="15" hidden="false" customHeight="false" outlineLevel="0" collapsed="false">
      <c r="A764" s="25" t="n">
        <v>20221129</v>
      </c>
      <c r="B764" s="25" t="s">
        <v>2241</v>
      </c>
      <c r="C764" s="27" t="b">
        <f aca="false">FALSE()</f>
        <v>0</v>
      </c>
      <c r="D764" s="26" t="n">
        <v>44894</v>
      </c>
      <c r="E764" s="25" t="n">
        <v>2022</v>
      </c>
      <c r="F764" s="25" t="n">
        <v>4</v>
      </c>
      <c r="G764" s="25" t="n">
        <v>11</v>
      </c>
    </row>
    <row r="765" customFormat="false" ht="15" hidden="false" customHeight="false" outlineLevel="0" collapsed="false">
      <c r="A765" s="25" t="n">
        <v>20221130</v>
      </c>
      <c r="B765" s="25" t="s">
        <v>2241</v>
      </c>
      <c r="C765" s="27" t="b">
        <f aca="false">FALSE()</f>
        <v>0</v>
      </c>
      <c r="D765" s="26" t="n">
        <v>44895</v>
      </c>
      <c r="E765" s="25" t="n">
        <v>2022</v>
      </c>
      <c r="F765" s="25" t="n">
        <v>4</v>
      </c>
      <c r="G765" s="25" t="n">
        <v>11</v>
      </c>
    </row>
    <row r="766" customFormat="false" ht="15" hidden="false" customHeight="false" outlineLevel="0" collapsed="false">
      <c r="A766" s="25" t="n">
        <v>20221201</v>
      </c>
      <c r="B766" s="25" t="s">
        <v>2242</v>
      </c>
      <c r="C766" s="27" t="b">
        <f aca="false">FALSE()</f>
        <v>0</v>
      </c>
      <c r="D766" s="26" t="n">
        <v>44896</v>
      </c>
      <c r="E766" s="25" t="n">
        <v>2022</v>
      </c>
      <c r="F766" s="25" t="n">
        <v>4</v>
      </c>
      <c r="G766" s="25" t="n">
        <v>12</v>
      </c>
    </row>
    <row r="767" customFormat="false" ht="15" hidden="false" customHeight="false" outlineLevel="0" collapsed="false">
      <c r="A767" s="25" t="n">
        <v>20221202</v>
      </c>
      <c r="B767" s="25" t="s">
        <v>2242</v>
      </c>
      <c r="C767" s="27" t="b">
        <f aca="false">FALSE()</f>
        <v>0</v>
      </c>
      <c r="D767" s="26" t="n">
        <v>44897</v>
      </c>
      <c r="E767" s="25" t="n">
        <v>2022</v>
      </c>
      <c r="F767" s="25" t="n">
        <v>4</v>
      </c>
      <c r="G767" s="25" t="n">
        <v>12</v>
      </c>
    </row>
    <row r="768" customFormat="false" ht="15" hidden="false" customHeight="false" outlineLevel="0" collapsed="false">
      <c r="A768" s="25" t="n">
        <v>20221203</v>
      </c>
      <c r="B768" s="25" t="s">
        <v>2242</v>
      </c>
      <c r="C768" s="27" t="b">
        <f aca="false">TRUE()</f>
        <v>1</v>
      </c>
      <c r="D768" s="26" t="n">
        <v>44898</v>
      </c>
      <c r="E768" s="25" t="n">
        <v>2022</v>
      </c>
      <c r="F768" s="25" t="n">
        <v>4</v>
      </c>
      <c r="G768" s="25" t="n">
        <v>12</v>
      </c>
    </row>
    <row r="769" customFormat="false" ht="15" hidden="false" customHeight="false" outlineLevel="0" collapsed="false">
      <c r="A769" s="25" t="n">
        <v>20221204</v>
      </c>
      <c r="B769" s="25" t="s">
        <v>2242</v>
      </c>
      <c r="C769" s="27" t="b">
        <f aca="false">TRUE()</f>
        <v>1</v>
      </c>
      <c r="D769" s="26" t="n">
        <v>44899</v>
      </c>
      <c r="E769" s="25" t="n">
        <v>2022</v>
      </c>
      <c r="F769" s="25" t="n">
        <v>4</v>
      </c>
      <c r="G769" s="25" t="n">
        <v>12</v>
      </c>
    </row>
    <row r="770" customFormat="false" ht="15" hidden="false" customHeight="false" outlineLevel="0" collapsed="false">
      <c r="A770" s="25" t="n">
        <v>20221205</v>
      </c>
      <c r="B770" s="25" t="s">
        <v>2242</v>
      </c>
      <c r="C770" s="27" t="b">
        <f aca="false">FALSE()</f>
        <v>0</v>
      </c>
      <c r="D770" s="26" t="n">
        <v>44900</v>
      </c>
      <c r="E770" s="25" t="n">
        <v>2022</v>
      </c>
      <c r="F770" s="25" t="n">
        <v>4</v>
      </c>
      <c r="G770" s="25" t="n">
        <v>12</v>
      </c>
    </row>
    <row r="771" customFormat="false" ht="15" hidden="false" customHeight="false" outlineLevel="0" collapsed="false">
      <c r="A771" s="25" t="n">
        <v>20221206</v>
      </c>
      <c r="B771" s="25" t="s">
        <v>2242</v>
      </c>
      <c r="C771" s="27" t="b">
        <f aca="false">FALSE()</f>
        <v>0</v>
      </c>
      <c r="D771" s="26" t="n">
        <v>44901</v>
      </c>
      <c r="E771" s="25" t="n">
        <v>2022</v>
      </c>
      <c r="F771" s="25" t="n">
        <v>4</v>
      </c>
      <c r="G771" s="25" t="n">
        <v>12</v>
      </c>
    </row>
    <row r="772" customFormat="false" ht="15" hidden="false" customHeight="false" outlineLevel="0" collapsed="false">
      <c r="A772" s="25" t="n">
        <v>20221207</v>
      </c>
      <c r="B772" s="25" t="s">
        <v>2242</v>
      </c>
      <c r="C772" s="27" t="b">
        <f aca="false">FALSE()</f>
        <v>0</v>
      </c>
      <c r="D772" s="26" t="n">
        <v>44902</v>
      </c>
      <c r="E772" s="25" t="n">
        <v>2022</v>
      </c>
      <c r="F772" s="25" t="n">
        <v>4</v>
      </c>
      <c r="G772" s="25" t="n">
        <v>12</v>
      </c>
    </row>
    <row r="773" customFormat="false" ht="15" hidden="false" customHeight="false" outlineLevel="0" collapsed="false">
      <c r="A773" s="25" t="n">
        <v>20221208</v>
      </c>
      <c r="B773" s="25" t="s">
        <v>2242</v>
      </c>
      <c r="C773" s="27" t="b">
        <f aca="false">FALSE()</f>
        <v>0</v>
      </c>
      <c r="D773" s="26" t="n">
        <v>44903</v>
      </c>
      <c r="E773" s="25" t="n">
        <v>2022</v>
      </c>
      <c r="F773" s="25" t="n">
        <v>4</v>
      </c>
      <c r="G773" s="25" t="n">
        <v>12</v>
      </c>
    </row>
    <row r="774" customFormat="false" ht="15" hidden="false" customHeight="false" outlineLevel="0" collapsed="false">
      <c r="A774" s="25" t="n">
        <v>20221209</v>
      </c>
      <c r="B774" s="25" t="s">
        <v>2242</v>
      </c>
      <c r="C774" s="27" t="b">
        <f aca="false">FALSE()</f>
        <v>0</v>
      </c>
      <c r="D774" s="26" t="n">
        <v>44904</v>
      </c>
      <c r="E774" s="25" t="n">
        <v>2022</v>
      </c>
      <c r="F774" s="25" t="n">
        <v>4</v>
      </c>
      <c r="G774" s="25" t="n">
        <v>12</v>
      </c>
    </row>
    <row r="775" customFormat="false" ht="15" hidden="false" customHeight="false" outlineLevel="0" collapsed="false">
      <c r="A775" s="25" t="n">
        <v>20221210</v>
      </c>
      <c r="B775" s="25" t="s">
        <v>2242</v>
      </c>
      <c r="C775" s="27" t="b">
        <f aca="false">TRUE()</f>
        <v>1</v>
      </c>
      <c r="D775" s="26" t="n">
        <v>44905</v>
      </c>
      <c r="E775" s="25" t="n">
        <v>2022</v>
      </c>
      <c r="F775" s="25" t="n">
        <v>4</v>
      </c>
      <c r="G775" s="25" t="n">
        <v>12</v>
      </c>
    </row>
    <row r="776" customFormat="false" ht="15" hidden="false" customHeight="false" outlineLevel="0" collapsed="false">
      <c r="A776" s="25" t="n">
        <v>20221211</v>
      </c>
      <c r="B776" s="25" t="s">
        <v>2242</v>
      </c>
      <c r="C776" s="27" t="b">
        <f aca="false">TRUE()</f>
        <v>1</v>
      </c>
      <c r="D776" s="26" t="n">
        <v>44906</v>
      </c>
      <c r="E776" s="25" t="n">
        <v>2022</v>
      </c>
      <c r="F776" s="25" t="n">
        <v>4</v>
      </c>
      <c r="G776" s="25" t="n">
        <v>12</v>
      </c>
    </row>
    <row r="777" customFormat="false" ht="15" hidden="false" customHeight="false" outlineLevel="0" collapsed="false">
      <c r="A777" s="25" t="n">
        <v>20221212</v>
      </c>
      <c r="B777" s="25" t="s">
        <v>2242</v>
      </c>
      <c r="C777" s="27" t="b">
        <f aca="false">FALSE()</f>
        <v>0</v>
      </c>
      <c r="D777" s="26" t="n">
        <v>44907</v>
      </c>
      <c r="E777" s="25" t="n">
        <v>2022</v>
      </c>
      <c r="F777" s="25" t="n">
        <v>4</v>
      </c>
      <c r="G777" s="25" t="n">
        <v>12</v>
      </c>
    </row>
    <row r="778" customFormat="false" ht="15" hidden="false" customHeight="false" outlineLevel="0" collapsed="false">
      <c r="A778" s="25" t="n">
        <v>20221213</v>
      </c>
      <c r="B778" s="25" t="s">
        <v>2242</v>
      </c>
      <c r="C778" s="27" t="b">
        <f aca="false">FALSE()</f>
        <v>0</v>
      </c>
      <c r="D778" s="26" t="n">
        <v>44908</v>
      </c>
      <c r="E778" s="25" t="n">
        <v>2022</v>
      </c>
      <c r="F778" s="25" t="n">
        <v>4</v>
      </c>
      <c r="G778" s="25" t="n">
        <v>12</v>
      </c>
    </row>
    <row r="779" customFormat="false" ht="15" hidden="false" customHeight="false" outlineLevel="0" collapsed="false">
      <c r="A779" s="25" t="n">
        <v>20221214</v>
      </c>
      <c r="B779" s="25" t="s">
        <v>2242</v>
      </c>
      <c r="C779" s="27" t="b">
        <f aca="false">FALSE()</f>
        <v>0</v>
      </c>
      <c r="D779" s="26" t="n">
        <v>44909</v>
      </c>
      <c r="E779" s="25" t="n">
        <v>2022</v>
      </c>
      <c r="F779" s="25" t="n">
        <v>4</v>
      </c>
      <c r="G779" s="25" t="n">
        <v>12</v>
      </c>
    </row>
    <row r="780" customFormat="false" ht="15" hidden="false" customHeight="false" outlineLevel="0" collapsed="false">
      <c r="A780" s="25" t="n">
        <v>20221215</v>
      </c>
      <c r="B780" s="25" t="s">
        <v>2242</v>
      </c>
      <c r="C780" s="27" t="b">
        <f aca="false">FALSE()</f>
        <v>0</v>
      </c>
      <c r="D780" s="26" t="n">
        <v>44910</v>
      </c>
      <c r="E780" s="25" t="n">
        <v>2022</v>
      </c>
      <c r="F780" s="25" t="n">
        <v>4</v>
      </c>
      <c r="G780" s="25" t="n">
        <v>12</v>
      </c>
    </row>
    <row r="781" customFormat="false" ht="15" hidden="false" customHeight="false" outlineLevel="0" collapsed="false">
      <c r="A781" s="25" t="n">
        <v>20221216</v>
      </c>
      <c r="B781" s="25" t="s">
        <v>2242</v>
      </c>
      <c r="C781" s="27" t="b">
        <f aca="false">FALSE()</f>
        <v>0</v>
      </c>
      <c r="D781" s="26" t="n">
        <v>44911</v>
      </c>
      <c r="E781" s="25" t="n">
        <v>2022</v>
      </c>
      <c r="F781" s="25" t="n">
        <v>4</v>
      </c>
      <c r="G781" s="25" t="n">
        <v>12</v>
      </c>
    </row>
    <row r="782" customFormat="false" ht="15" hidden="false" customHeight="false" outlineLevel="0" collapsed="false">
      <c r="A782" s="25" t="n">
        <v>20221217</v>
      </c>
      <c r="B782" s="25" t="s">
        <v>2242</v>
      </c>
      <c r="C782" s="27" t="b">
        <f aca="false">TRUE()</f>
        <v>1</v>
      </c>
      <c r="D782" s="26" t="n">
        <v>44912</v>
      </c>
      <c r="E782" s="25" t="n">
        <v>2022</v>
      </c>
      <c r="F782" s="25" t="n">
        <v>4</v>
      </c>
      <c r="G782" s="25" t="n">
        <v>12</v>
      </c>
    </row>
    <row r="783" customFormat="false" ht="15" hidden="false" customHeight="false" outlineLevel="0" collapsed="false">
      <c r="A783" s="25" t="n">
        <v>20221218</v>
      </c>
      <c r="B783" s="25" t="s">
        <v>2242</v>
      </c>
      <c r="C783" s="27" t="b">
        <f aca="false">TRUE()</f>
        <v>1</v>
      </c>
      <c r="D783" s="26" t="n">
        <v>44913</v>
      </c>
      <c r="E783" s="25" t="n">
        <v>2022</v>
      </c>
      <c r="F783" s="25" t="n">
        <v>4</v>
      </c>
      <c r="G783" s="25" t="n">
        <v>12</v>
      </c>
    </row>
    <row r="784" customFormat="false" ht="15" hidden="false" customHeight="false" outlineLevel="0" collapsed="false">
      <c r="A784" s="25" t="n">
        <v>20221219</v>
      </c>
      <c r="B784" s="25" t="s">
        <v>2242</v>
      </c>
      <c r="C784" s="27" t="b">
        <f aca="false">FALSE()</f>
        <v>0</v>
      </c>
      <c r="D784" s="26" t="n">
        <v>44914</v>
      </c>
      <c r="E784" s="25" t="n">
        <v>2022</v>
      </c>
      <c r="F784" s="25" t="n">
        <v>4</v>
      </c>
      <c r="G784" s="25" t="n">
        <v>12</v>
      </c>
    </row>
    <row r="785" customFormat="false" ht="15" hidden="false" customHeight="false" outlineLevel="0" collapsed="false">
      <c r="A785" s="25" t="n">
        <v>20221220</v>
      </c>
      <c r="B785" s="25" t="s">
        <v>2242</v>
      </c>
      <c r="C785" s="27" t="b">
        <f aca="false">FALSE()</f>
        <v>0</v>
      </c>
      <c r="D785" s="26" t="n">
        <v>44915</v>
      </c>
      <c r="E785" s="25" t="n">
        <v>2022</v>
      </c>
      <c r="F785" s="25" t="n">
        <v>4</v>
      </c>
      <c r="G785" s="25" t="n">
        <v>12</v>
      </c>
    </row>
    <row r="786" customFormat="false" ht="15" hidden="false" customHeight="false" outlineLevel="0" collapsed="false">
      <c r="A786" s="25" t="n">
        <v>20221221</v>
      </c>
      <c r="B786" s="25" t="s">
        <v>2242</v>
      </c>
      <c r="C786" s="27" t="b">
        <f aca="false">FALSE()</f>
        <v>0</v>
      </c>
      <c r="D786" s="26" t="n">
        <v>44916</v>
      </c>
      <c r="E786" s="25" t="n">
        <v>2022</v>
      </c>
      <c r="F786" s="25" t="n">
        <v>4</v>
      </c>
      <c r="G786" s="25" t="n">
        <v>12</v>
      </c>
    </row>
    <row r="787" customFormat="false" ht="15" hidden="false" customHeight="false" outlineLevel="0" collapsed="false">
      <c r="A787" s="25" t="n">
        <v>20221222</v>
      </c>
      <c r="B787" s="25" t="s">
        <v>2242</v>
      </c>
      <c r="C787" s="27" t="b">
        <f aca="false">FALSE()</f>
        <v>0</v>
      </c>
      <c r="D787" s="26" t="n">
        <v>44917</v>
      </c>
      <c r="E787" s="25" t="n">
        <v>2022</v>
      </c>
      <c r="F787" s="25" t="n">
        <v>4</v>
      </c>
      <c r="G787" s="25" t="n">
        <v>12</v>
      </c>
    </row>
    <row r="788" customFormat="false" ht="15" hidden="false" customHeight="false" outlineLevel="0" collapsed="false">
      <c r="A788" s="25" t="n">
        <v>20221223</v>
      </c>
      <c r="B788" s="25" t="s">
        <v>2242</v>
      </c>
      <c r="C788" s="27" t="b">
        <f aca="false">FALSE()</f>
        <v>0</v>
      </c>
      <c r="D788" s="26" t="n">
        <v>44918</v>
      </c>
      <c r="E788" s="25" t="n">
        <v>2022</v>
      </c>
      <c r="F788" s="25" t="n">
        <v>4</v>
      </c>
      <c r="G788" s="25" t="n">
        <v>12</v>
      </c>
    </row>
    <row r="789" customFormat="false" ht="15" hidden="false" customHeight="false" outlineLevel="0" collapsed="false">
      <c r="A789" s="25" t="n">
        <v>20221224</v>
      </c>
      <c r="B789" s="25" t="s">
        <v>2242</v>
      </c>
      <c r="C789" s="27" t="b">
        <f aca="false">TRUE()</f>
        <v>1</v>
      </c>
      <c r="D789" s="26" t="n">
        <v>44919</v>
      </c>
      <c r="E789" s="25" t="n">
        <v>2022</v>
      </c>
      <c r="F789" s="25" t="n">
        <v>4</v>
      </c>
      <c r="G789" s="25" t="n">
        <v>12</v>
      </c>
    </row>
    <row r="790" customFormat="false" ht="15" hidden="false" customHeight="false" outlineLevel="0" collapsed="false">
      <c r="A790" s="25" t="n">
        <v>20221225</v>
      </c>
      <c r="B790" s="25" t="s">
        <v>2242</v>
      </c>
      <c r="C790" s="27" t="b">
        <f aca="false">TRUE()</f>
        <v>1</v>
      </c>
      <c r="D790" s="26" t="n">
        <v>44920</v>
      </c>
      <c r="E790" s="25" t="n">
        <v>2022</v>
      </c>
      <c r="F790" s="25" t="n">
        <v>4</v>
      </c>
      <c r="G790" s="25" t="n">
        <v>12</v>
      </c>
    </row>
    <row r="791" customFormat="false" ht="15" hidden="false" customHeight="false" outlineLevel="0" collapsed="false">
      <c r="A791" s="25" t="n">
        <v>20221226</v>
      </c>
      <c r="B791" s="25" t="s">
        <v>2242</v>
      </c>
      <c r="C791" s="27" t="b">
        <f aca="false">FALSE()</f>
        <v>0</v>
      </c>
      <c r="D791" s="26" t="n">
        <v>44921</v>
      </c>
      <c r="E791" s="25" t="n">
        <v>2022</v>
      </c>
      <c r="F791" s="25" t="n">
        <v>4</v>
      </c>
      <c r="G791" s="25" t="n">
        <v>12</v>
      </c>
    </row>
    <row r="792" customFormat="false" ht="15" hidden="false" customHeight="false" outlineLevel="0" collapsed="false">
      <c r="A792" s="25" t="n">
        <v>20221227</v>
      </c>
      <c r="B792" s="25" t="s">
        <v>2242</v>
      </c>
      <c r="C792" s="27" t="b">
        <f aca="false">FALSE()</f>
        <v>0</v>
      </c>
      <c r="D792" s="26" t="n">
        <v>44922</v>
      </c>
      <c r="E792" s="25" t="n">
        <v>2022</v>
      </c>
      <c r="F792" s="25" t="n">
        <v>4</v>
      </c>
      <c r="G792" s="25" t="n">
        <v>12</v>
      </c>
    </row>
    <row r="793" customFormat="false" ht="15" hidden="false" customHeight="false" outlineLevel="0" collapsed="false">
      <c r="A793" s="25" t="n">
        <v>20221228</v>
      </c>
      <c r="B793" s="25" t="s">
        <v>2242</v>
      </c>
      <c r="C793" s="27" t="b">
        <f aca="false">FALSE()</f>
        <v>0</v>
      </c>
      <c r="D793" s="26" t="n">
        <v>44923</v>
      </c>
      <c r="E793" s="25" t="n">
        <v>2022</v>
      </c>
      <c r="F793" s="25" t="n">
        <v>4</v>
      </c>
      <c r="G793" s="25" t="n">
        <v>12</v>
      </c>
    </row>
    <row r="794" customFormat="false" ht="15" hidden="false" customHeight="false" outlineLevel="0" collapsed="false">
      <c r="A794" s="25" t="n">
        <v>20221229</v>
      </c>
      <c r="B794" s="25" t="s">
        <v>2242</v>
      </c>
      <c r="C794" s="27" t="b">
        <f aca="false">FALSE()</f>
        <v>0</v>
      </c>
      <c r="D794" s="26" t="n">
        <v>44924</v>
      </c>
      <c r="E794" s="25" t="n">
        <v>2022</v>
      </c>
      <c r="F794" s="25" t="n">
        <v>4</v>
      </c>
      <c r="G794" s="25" t="n">
        <v>12</v>
      </c>
    </row>
    <row r="795" customFormat="false" ht="15" hidden="false" customHeight="false" outlineLevel="0" collapsed="false">
      <c r="A795" s="25" t="n">
        <v>20221230</v>
      </c>
      <c r="B795" s="25" t="s">
        <v>2242</v>
      </c>
      <c r="C795" s="27" t="b">
        <f aca="false">FALSE()</f>
        <v>0</v>
      </c>
      <c r="D795" s="26" t="n">
        <v>44925</v>
      </c>
      <c r="E795" s="25" t="n">
        <v>2022</v>
      </c>
      <c r="F795" s="25" t="n">
        <v>4</v>
      </c>
      <c r="G795" s="25" t="n">
        <v>12</v>
      </c>
    </row>
    <row r="796" customFormat="false" ht="15" hidden="false" customHeight="false" outlineLevel="0" collapsed="false">
      <c r="A796" s="25" t="n">
        <v>20221231</v>
      </c>
      <c r="B796" s="25" t="s">
        <v>2242</v>
      </c>
      <c r="C796" s="27" t="b">
        <f aca="false">TRUE()</f>
        <v>1</v>
      </c>
      <c r="D796" s="26" t="n">
        <v>44926</v>
      </c>
      <c r="E796" s="25" t="n">
        <v>2022</v>
      </c>
      <c r="F796" s="25" t="n">
        <v>4</v>
      </c>
      <c r="G796" s="25" t="n">
        <v>12</v>
      </c>
    </row>
    <row r="797" customFormat="false" ht="15" hidden="false" customHeight="false" outlineLevel="0" collapsed="false">
      <c r="A797" s="25" t="n">
        <v>20230101</v>
      </c>
      <c r="B797" s="25" t="s">
        <v>2243</v>
      </c>
      <c r="C797" s="27" t="b">
        <f aca="false">TRUE()</f>
        <v>1</v>
      </c>
      <c r="D797" s="26" t="n">
        <v>44927</v>
      </c>
      <c r="E797" s="25" t="n">
        <v>2023</v>
      </c>
      <c r="F797" s="25" t="n">
        <v>1</v>
      </c>
      <c r="G797" s="25" t="n">
        <v>1</v>
      </c>
    </row>
    <row r="798" customFormat="false" ht="15" hidden="false" customHeight="false" outlineLevel="0" collapsed="false">
      <c r="A798" s="25" t="n">
        <v>20230102</v>
      </c>
      <c r="B798" s="25" t="s">
        <v>2243</v>
      </c>
      <c r="C798" s="27" t="b">
        <f aca="false">FALSE()</f>
        <v>0</v>
      </c>
      <c r="D798" s="26" t="n">
        <v>44928</v>
      </c>
      <c r="E798" s="25" t="n">
        <v>2023</v>
      </c>
      <c r="F798" s="25" t="n">
        <v>1</v>
      </c>
      <c r="G798" s="25" t="n">
        <v>1</v>
      </c>
    </row>
    <row r="799" customFormat="false" ht="15" hidden="false" customHeight="false" outlineLevel="0" collapsed="false">
      <c r="A799" s="25" t="n">
        <v>20230103</v>
      </c>
      <c r="B799" s="25" t="s">
        <v>2243</v>
      </c>
      <c r="C799" s="27" t="b">
        <f aca="false">FALSE()</f>
        <v>0</v>
      </c>
      <c r="D799" s="26" t="n">
        <v>44929</v>
      </c>
      <c r="E799" s="25" t="n">
        <v>2023</v>
      </c>
      <c r="F799" s="25" t="n">
        <v>1</v>
      </c>
      <c r="G799" s="25" t="n">
        <v>1</v>
      </c>
    </row>
    <row r="800" customFormat="false" ht="15" hidden="false" customHeight="false" outlineLevel="0" collapsed="false">
      <c r="A800" s="25" t="n">
        <v>20230104</v>
      </c>
      <c r="B800" s="25" t="s">
        <v>2243</v>
      </c>
      <c r="C800" s="27" t="b">
        <f aca="false">FALSE()</f>
        <v>0</v>
      </c>
      <c r="D800" s="26" t="n">
        <v>44930</v>
      </c>
      <c r="E800" s="25" t="n">
        <v>2023</v>
      </c>
      <c r="F800" s="25" t="n">
        <v>1</v>
      </c>
      <c r="G800" s="25" t="n">
        <v>1</v>
      </c>
    </row>
    <row r="801" customFormat="false" ht="15" hidden="false" customHeight="false" outlineLevel="0" collapsed="false">
      <c r="A801" s="25" t="n">
        <v>20230105</v>
      </c>
      <c r="B801" s="25" t="s">
        <v>2243</v>
      </c>
      <c r="C801" s="27" t="b">
        <f aca="false">FALSE()</f>
        <v>0</v>
      </c>
      <c r="D801" s="26" t="n">
        <v>44931</v>
      </c>
      <c r="E801" s="25" t="n">
        <v>2023</v>
      </c>
      <c r="F801" s="25" t="n">
        <v>1</v>
      </c>
      <c r="G801" s="25" t="n">
        <v>1</v>
      </c>
    </row>
    <row r="802" customFormat="false" ht="15" hidden="false" customHeight="false" outlineLevel="0" collapsed="false">
      <c r="A802" s="25" t="n">
        <v>20230106</v>
      </c>
      <c r="B802" s="25" t="s">
        <v>2243</v>
      </c>
      <c r="C802" s="27" t="b">
        <f aca="false">FALSE()</f>
        <v>0</v>
      </c>
      <c r="D802" s="26" t="n">
        <v>44932</v>
      </c>
      <c r="E802" s="25" t="n">
        <v>2023</v>
      </c>
      <c r="F802" s="25" t="n">
        <v>1</v>
      </c>
      <c r="G802" s="25" t="n">
        <v>1</v>
      </c>
    </row>
    <row r="803" customFormat="false" ht="15" hidden="false" customHeight="false" outlineLevel="0" collapsed="false">
      <c r="A803" s="25" t="n">
        <v>20230107</v>
      </c>
      <c r="B803" s="25" t="s">
        <v>2243</v>
      </c>
      <c r="C803" s="27" t="b">
        <f aca="false">TRUE()</f>
        <v>1</v>
      </c>
      <c r="D803" s="26" t="n">
        <v>44933</v>
      </c>
      <c r="E803" s="25" t="n">
        <v>2023</v>
      </c>
      <c r="F803" s="25" t="n">
        <v>1</v>
      </c>
      <c r="G803" s="25" t="n">
        <v>1</v>
      </c>
    </row>
    <row r="804" customFormat="false" ht="15" hidden="false" customHeight="false" outlineLevel="0" collapsed="false">
      <c r="A804" s="25" t="n">
        <v>20230108</v>
      </c>
      <c r="B804" s="25" t="s">
        <v>2243</v>
      </c>
      <c r="C804" s="27" t="b">
        <f aca="false">TRUE()</f>
        <v>1</v>
      </c>
      <c r="D804" s="26" t="n">
        <v>44934</v>
      </c>
      <c r="E804" s="25" t="n">
        <v>2023</v>
      </c>
      <c r="F804" s="25" t="n">
        <v>1</v>
      </c>
      <c r="G804" s="25" t="n">
        <v>1</v>
      </c>
    </row>
    <row r="805" customFormat="false" ht="15" hidden="false" customHeight="false" outlineLevel="0" collapsed="false">
      <c r="A805" s="25" t="n">
        <v>20230109</v>
      </c>
      <c r="B805" s="25" t="s">
        <v>2243</v>
      </c>
      <c r="C805" s="27" t="b">
        <f aca="false">FALSE()</f>
        <v>0</v>
      </c>
      <c r="D805" s="26" t="n">
        <v>44935</v>
      </c>
      <c r="E805" s="25" t="n">
        <v>2023</v>
      </c>
      <c r="F805" s="25" t="n">
        <v>1</v>
      </c>
      <c r="G805" s="25" t="n">
        <v>1</v>
      </c>
    </row>
    <row r="806" customFormat="false" ht="15" hidden="false" customHeight="false" outlineLevel="0" collapsed="false">
      <c r="A806" s="25" t="n">
        <v>20230110</v>
      </c>
      <c r="B806" s="25" t="s">
        <v>2243</v>
      </c>
      <c r="C806" s="27" t="b">
        <f aca="false">FALSE()</f>
        <v>0</v>
      </c>
      <c r="D806" s="26" t="n">
        <v>44936</v>
      </c>
      <c r="E806" s="25" t="n">
        <v>2023</v>
      </c>
      <c r="F806" s="25" t="n">
        <v>1</v>
      </c>
      <c r="G806" s="25" t="n">
        <v>1</v>
      </c>
    </row>
    <row r="807" customFormat="false" ht="15" hidden="false" customHeight="false" outlineLevel="0" collapsed="false">
      <c r="A807" s="25" t="n">
        <v>20230111</v>
      </c>
      <c r="B807" s="25" t="s">
        <v>2243</v>
      </c>
      <c r="C807" s="27" t="b">
        <f aca="false">FALSE()</f>
        <v>0</v>
      </c>
      <c r="D807" s="26" t="n">
        <v>44937</v>
      </c>
      <c r="E807" s="25" t="n">
        <v>2023</v>
      </c>
      <c r="F807" s="25" t="n">
        <v>1</v>
      </c>
      <c r="G807" s="25" t="n">
        <v>1</v>
      </c>
    </row>
    <row r="808" customFormat="false" ht="15" hidden="false" customHeight="false" outlineLevel="0" collapsed="false">
      <c r="A808" s="25" t="n">
        <v>20230112</v>
      </c>
      <c r="B808" s="25" t="s">
        <v>2243</v>
      </c>
      <c r="C808" s="27" t="b">
        <f aca="false">FALSE()</f>
        <v>0</v>
      </c>
      <c r="D808" s="26" t="n">
        <v>44938</v>
      </c>
      <c r="E808" s="25" t="n">
        <v>2023</v>
      </c>
      <c r="F808" s="25" t="n">
        <v>1</v>
      </c>
      <c r="G808" s="25" t="n">
        <v>1</v>
      </c>
    </row>
    <row r="809" customFormat="false" ht="15" hidden="false" customHeight="false" outlineLevel="0" collapsed="false">
      <c r="A809" s="25" t="n">
        <v>20230113</v>
      </c>
      <c r="B809" s="25" t="s">
        <v>2243</v>
      </c>
      <c r="C809" s="27" t="b">
        <f aca="false">FALSE()</f>
        <v>0</v>
      </c>
      <c r="D809" s="26" t="n">
        <v>44939</v>
      </c>
      <c r="E809" s="25" t="n">
        <v>2023</v>
      </c>
      <c r="F809" s="25" t="n">
        <v>1</v>
      </c>
      <c r="G809" s="25" t="n">
        <v>1</v>
      </c>
    </row>
    <row r="810" customFormat="false" ht="15" hidden="false" customHeight="false" outlineLevel="0" collapsed="false">
      <c r="A810" s="25" t="n">
        <v>20230114</v>
      </c>
      <c r="B810" s="25" t="s">
        <v>2243</v>
      </c>
      <c r="C810" s="27" t="b">
        <f aca="false">TRUE()</f>
        <v>1</v>
      </c>
      <c r="D810" s="26" t="n">
        <v>44940</v>
      </c>
      <c r="E810" s="25" t="n">
        <v>2023</v>
      </c>
      <c r="F810" s="25" t="n">
        <v>1</v>
      </c>
      <c r="G810" s="25" t="n">
        <v>1</v>
      </c>
    </row>
    <row r="811" customFormat="false" ht="15" hidden="false" customHeight="false" outlineLevel="0" collapsed="false">
      <c r="A811" s="25" t="n">
        <v>20230115</v>
      </c>
      <c r="B811" s="25" t="s">
        <v>2243</v>
      </c>
      <c r="C811" s="27" t="b">
        <f aca="false">TRUE()</f>
        <v>1</v>
      </c>
      <c r="D811" s="26" t="n">
        <v>44941</v>
      </c>
      <c r="E811" s="25" t="n">
        <v>2023</v>
      </c>
      <c r="F811" s="25" t="n">
        <v>1</v>
      </c>
      <c r="G811" s="25" t="n">
        <v>1</v>
      </c>
    </row>
    <row r="812" customFormat="false" ht="15" hidden="false" customHeight="false" outlineLevel="0" collapsed="false">
      <c r="A812" s="25" t="n">
        <v>20230116</v>
      </c>
      <c r="B812" s="25" t="s">
        <v>2243</v>
      </c>
      <c r="C812" s="27" t="b">
        <f aca="false">FALSE()</f>
        <v>0</v>
      </c>
      <c r="D812" s="26" t="n">
        <v>44942</v>
      </c>
      <c r="E812" s="25" t="n">
        <v>2023</v>
      </c>
      <c r="F812" s="25" t="n">
        <v>1</v>
      </c>
      <c r="G812" s="25" t="n">
        <v>1</v>
      </c>
    </row>
    <row r="813" customFormat="false" ht="15" hidden="false" customHeight="false" outlineLevel="0" collapsed="false">
      <c r="A813" s="25" t="n">
        <v>20230117</v>
      </c>
      <c r="B813" s="25" t="s">
        <v>2243</v>
      </c>
      <c r="C813" s="27" t="b">
        <f aca="false">FALSE()</f>
        <v>0</v>
      </c>
      <c r="D813" s="26" t="n">
        <v>44943</v>
      </c>
      <c r="E813" s="25" t="n">
        <v>2023</v>
      </c>
      <c r="F813" s="25" t="n">
        <v>1</v>
      </c>
      <c r="G813" s="25" t="n">
        <v>1</v>
      </c>
    </row>
    <row r="814" customFormat="false" ht="15" hidden="false" customHeight="false" outlineLevel="0" collapsed="false">
      <c r="A814" s="25" t="n">
        <v>20230118</v>
      </c>
      <c r="B814" s="25" t="s">
        <v>2243</v>
      </c>
      <c r="C814" s="27" t="b">
        <f aca="false">FALSE()</f>
        <v>0</v>
      </c>
      <c r="D814" s="26" t="n">
        <v>44944</v>
      </c>
      <c r="E814" s="25" t="n">
        <v>2023</v>
      </c>
      <c r="F814" s="25" t="n">
        <v>1</v>
      </c>
      <c r="G814" s="25" t="n">
        <v>1</v>
      </c>
    </row>
    <row r="815" customFormat="false" ht="15" hidden="false" customHeight="false" outlineLevel="0" collapsed="false">
      <c r="A815" s="25" t="n">
        <v>20230119</v>
      </c>
      <c r="B815" s="25" t="s">
        <v>2243</v>
      </c>
      <c r="C815" s="27" t="b">
        <f aca="false">FALSE()</f>
        <v>0</v>
      </c>
      <c r="D815" s="26" t="n">
        <v>44945</v>
      </c>
      <c r="E815" s="25" t="n">
        <v>2023</v>
      </c>
      <c r="F815" s="25" t="n">
        <v>1</v>
      </c>
      <c r="G815" s="25" t="n">
        <v>1</v>
      </c>
    </row>
    <row r="816" customFormat="false" ht="15" hidden="false" customHeight="false" outlineLevel="0" collapsed="false">
      <c r="A816" s="25" t="n">
        <v>20230120</v>
      </c>
      <c r="B816" s="25" t="s">
        <v>2243</v>
      </c>
      <c r="C816" s="27" t="b">
        <f aca="false">FALSE()</f>
        <v>0</v>
      </c>
      <c r="D816" s="26" t="n">
        <v>44946</v>
      </c>
      <c r="E816" s="25" t="n">
        <v>2023</v>
      </c>
      <c r="F816" s="25" t="n">
        <v>1</v>
      </c>
      <c r="G816" s="25" t="n">
        <v>1</v>
      </c>
    </row>
    <row r="817" customFormat="false" ht="15" hidden="false" customHeight="false" outlineLevel="0" collapsed="false">
      <c r="A817" s="25" t="n">
        <v>20230121</v>
      </c>
      <c r="B817" s="25" t="s">
        <v>2243</v>
      </c>
      <c r="C817" s="27" t="b">
        <f aca="false">TRUE()</f>
        <v>1</v>
      </c>
      <c r="D817" s="26" t="n">
        <v>44947</v>
      </c>
      <c r="E817" s="25" t="n">
        <v>2023</v>
      </c>
      <c r="F817" s="25" t="n">
        <v>1</v>
      </c>
      <c r="G817" s="25" t="n">
        <v>1</v>
      </c>
    </row>
    <row r="818" customFormat="false" ht="15" hidden="false" customHeight="false" outlineLevel="0" collapsed="false">
      <c r="A818" s="25" t="n">
        <v>20230122</v>
      </c>
      <c r="B818" s="25" t="s">
        <v>2243</v>
      </c>
      <c r="C818" s="27" t="b">
        <f aca="false">TRUE()</f>
        <v>1</v>
      </c>
      <c r="D818" s="26" t="n">
        <v>44948</v>
      </c>
      <c r="E818" s="25" t="n">
        <v>2023</v>
      </c>
      <c r="F818" s="25" t="n">
        <v>1</v>
      </c>
      <c r="G818" s="25" t="n">
        <v>1</v>
      </c>
    </row>
    <row r="819" customFormat="false" ht="15" hidden="false" customHeight="false" outlineLevel="0" collapsed="false">
      <c r="A819" s="25" t="n">
        <v>20230123</v>
      </c>
      <c r="B819" s="25" t="s">
        <v>2243</v>
      </c>
      <c r="C819" s="27" t="b">
        <f aca="false">FALSE()</f>
        <v>0</v>
      </c>
      <c r="D819" s="26" t="n">
        <v>44949</v>
      </c>
      <c r="E819" s="25" t="n">
        <v>2023</v>
      </c>
      <c r="F819" s="25" t="n">
        <v>1</v>
      </c>
      <c r="G819" s="25" t="n">
        <v>1</v>
      </c>
    </row>
    <row r="820" customFormat="false" ht="15" hidden="false" customHeight="false" outlineLevel="0" collapsed="false">
      <c r="A820" s="25" t="n">
        <v>20230124</v>
      </c>
      <c r="B820" s="25" t="s">
        <v>2243</v>
      </c>
      <c r="C820" s="27" t="b">
        <f aca="false">FALSE()</f>
        <v>0</v>
      </c>
      <c r="D820" s="26" t="n">
        <v>44950</v>
      </c>
      <c r="E820" s="25" t="n">
        <v>2023</v>
      </c>
      <c r="F820" s="25" t="n">
        <v>1</v>
      </c>
      <c r="G820" s="25" t="n">
        <v>1</v>
      </c>
    </row>
    <row r="821" customFormat="false" ht="15" hidden="false" customHeight="false" outlineLevel="0" collapsed="false">
      <c r="A821" s="25" t="n">
        <v>20230125</v>
      </c>
      <c r="B821" s="25" t="s">
        <v>2243</v>
      </c>
      <c r="C821" s="27" t="b">
        <f aca="false">FALSE()</f>
        <v>0</v>
      </c>
      <c r="D821" s="26" t="n">
        <v>44951</v>
      </c>
      <c r="E821" s="25" t="n">
        <v>2023</v>
      </c>
      <c r="F821" s="25" t="n">
        <v>1</v>
      </c>
      <c r="G821" s="25" t="n">
        <v>1</v>
      </c>
    </row>
    <row r="822" customFormat="false" ht="15" hidden="false" customHeight="false" outlineLevel="0" collapsed="false">
      <c r="A822" s="25" t="n">
        <v>20230126</v>
      </c>
      <c r="B822" s="25" t="s">
        <v>2243</v>
      </c>
      <c r="C822" s="27" t="b">
        <f aca="false">FALSE()</f>
        <v>0</v>
      </c>
      <c r="D822" s="26" t="n">
        <v>44952</v>
      </c>
      <c r="E822" s="25" t="n">
        <v>2023</v>
      </c>
      <c r="F822" s="25" t="n">
        <v>1</v>
      </c>
      <c r="G822" s="25" t="n">
        <v>1</v>
      </c>
    </row>
    <row r="823" customFormat="false" ht="15" hidden="false" customHeight="false" outlineLevel="0" collapsed="false">
      <c r="A823" s="25" t="n">
        <v>20230127</v>
      </c>
      <c r="B823" s="25" t="s">
        <v>2243</v>
      </c>
      <c r="C823" s="27" t="b">
        <f aca="false">FALSE()</f>
        <v>0</v>
      </c>
      <c r="D823" s="26" t="n">
        <v>44953</v>
      </c>
      <c r="E823" s="25" t="n">
        <v>2023</v>
      </c>
      <c r="F823" s="25" t="n">
        <v>1</v>
      </c>
      <c r="G823" s="25" t="n">
        <v>1</v>
      </c>
    </row>
    <row r="824" customFormat="false" ht="15" hidden="false" customHeight="false" outlineLevel="0" collapsed="false">
      <c r="A824" s="25" t="n">
        <v>20230128</v>
      </c>
      <c r="B824" s="25" t="s">
        <v>2243</v>
      </c>
      <c r="C824" s="27" t="b">
        <f aca="false">TRUE()</f>
        <v>1</v>
      </c>
      <c r="D824" s="26" t="n">
        <v>44954</v>
      </c>
      <c r="E824" s="25" t="n">
        <v>2023</v>
      </c>
      <c r="F824" s="25" t="n">
        <v>1</v>
      </c>
      <c r="G824" s="25" t="n">
        <v>1</v>
      </c>
    </row>
    <row r="825" customFormat="false" ht="15" hidden="false" customHeight="false" outlineLevel="0" collapsed="false">
      <c r="A825" s="25" t="n">
        <v>20230129</v>
      </c>
      <c r="B825" s="25" t="s">
        <v>2243</v>
      </c>
      <c r="C825" s="27" t="b">
        <f aca="false">TRUE()</f>
        <v>1</v>
      </c>
      <c r="D825" s="26" t="n">
        <v>44955</v>
      </c>
      <c r="E825" s="25" t="n">
        <v>2023</v>
      </c>
      <c r="F825" s="25" t="n">
        <v>1</v>
      </c>
      <c r="G825" s="25" t="n">
        <v>1</v>
      </c>
    </row>
    <row r="826" customFormat="false" ht="15" hidden="false" customHeight="false" outlineLevel="0" collapsed="false">
      <c r="A826" s="25" t="n">
        <v>20230130</v>
      </c>
      <c r="B826" s="25" t="s">
        <v>2243</v>
      </c>
      <c r="C826" s="27" t="b">
        <f aca="false">FALSE()</f>
        <v>0</v>
      </c>
      <c r="D826" s="26" t="n">
        <v>44956</v>
      </c>
      <c r="E826" s="25" t="n">
        <v>2023</v>
      </c>
      <c r="F826" s="25" t="n">
        <v>1</v>
      </c>
      <c r="G826" s="25" t="n">
        <v>1</v>
      </c>
    </row>
    <row r="827" customFormat="false" ht="15" hidden="false" customHeight="false" outlineLevel="0" collapsed="false">
      <c r="A827" s="25" t="n">
        <v>20230131</v>
      </c>
      <c r="B827" s="25" t="s">
        <v>2243</v>
      </c>
      <c r="C827" s="27" t="b">
        <f aca="false">FALSE()</f>
        <v>0</v>
      </c>
      <c r="D827" s="26" t="n">
        <v>44957</v>
      </c>
      <c r="E827" s="25" t="n">
        <v>2023</v>
      </c>
      <c r="F827" s="25" t="n">
        <v>1</v>
      </c>
      <c r="G827" s="25" t="n">
        <v>1</v>
      </c>
    </row>
    <row r="828" customFormat="false" ht="15" hidden="false" customHeight="false" outlineLevel="0" collapsed="false">
      <c r="A828" s="25" t="n">
        <v>20230201</v>
      </c>
      <c r="B828" s="25" t="s">
        <v>2244</v>
      </c>
      <c r="C828" s="27" t="b">
        <f aca="false">FALSE()</f>
        <v>0</v>
      </c>
      <c r="D828" s="26" t="n">
        <v>44958</v>
      </c>
      <c r="E828" s="25" t="n">
        <v>2023</v>
      </c>
      <c r="F828" s="25" t="n">
        <v>1</v>
      </c>
      <c r="G828" s="25" t="n">
        <v>2</v>
      </c>
    </row>
    <row r="829" customFormat="false" ht="15" hidden="false" customHeight="false" outlineLevel="0" collapsed="false">
      <c r="A829" s="25" t="n">
        <v>20230202</v>
      </c>
      <c r="B829" s="25" t="s">
        <v>2244</v>
      </c>
      <c r="C829" s="27" t="b">
        <f aca="false">FALSE()</f>
        <v>0</v>
      </c>
      <c r="D829" s="26" t="n">
        <v>44959</v>
      </c>
      <c r="E829" s="25" t="n">
        <v>2023</v>
      </c>
      <c r="F829" s="25" t="n">
        <v>1</v>
      </c>
      <c r="G829" s="25" t="n">
        <v>2</v>
      </c>
    </row>
    <row r="830" customFormat="false" ht="15" hidden="false" customHeight="false" outlineLevel="0" collapsed="false">
      <c r="A830" s="25" t="n">
        <v>20230203</v>
      </c>
      <c r="B830" s="25" t="s">
        <v>2244</v>
      </c>
      <c r="C830" s="27" t="b">
        <f aca="false">FALSE()</f>
        <v>0</v>
      </c>
      <c r="D830" s="26" t="n">
        <v>44960</v>
      </c>
      <c r="E830" s="25" t="n">
        <v>2023</v>
      </c>
      <c r="F830" s="25" t="n">
        <v>1</v>
      </c>
      <c r="G830" s="25" t="n">
        <v>2</v>
      </c>
    </row>
    <row r="831" customFormat="false" ht="15" hidden="false" customHeight="false" outlineLevel="0" collapsed="false">
      <c r="A831" s="25" t="n">
        <v>20230204</v>
      </c>
      <c r="B831" s="25" t="s">
        <v>2244</v>
      </c>
      <c r="C831" s="27" t="b">
        <f aca="false">TRUE()</f>
        <v>1</v>
      </c>
      <c r="D831" s="26" t="n">
        <v>44961</v>
      </c>
      <c r="E831" s="25" t="n">
        <v>2023</v>
      </c>
      <c r="F831" s="25" t="n">
        <v>1</v>
      </c>
      <c r="G831" s="25" t="n">
        <v>2</v>
      </c>
    </row>
    <row r="832" customFormat="false" ht="15" hidden="false" customHeight="false" outlineLevel="0" collapsed="false">
      <c r="A832" s="25" t="n">
        <v>20230205</v>
      </c>
      <c r="B832" s="25" t="s">
        <v>2244</v>
      </c>
      <c r="C832" s="27" t="b">
        <f aca="false">TRUE()</f>
        <v>1</v>
      </c>
      <c r="D832" s="26" t="n">
        <v>44962</v>
      </c>
      <c r="E832" s="25" t="n">
        <v>2023</v>
      </c>
      <c r="F832" s="25" t="n">
        <v>1</v>
      </c>
      <c r="G832" s="25" t="n">
        <v>2</v>
      </c>
    </row>
    <row r="833" customFormat="false" ht="15" hidden="false" customHeight="false" outlineLevel="0" collapsed="false">
      <c r="A833" s="25" t="n">
        <v>20230206</v>
      </c>
      <c r="B833" s="25" t="s">
        <v>2244</v>
      </c>
      <c r="C833" s="27" t="b">
        <f aca="false">FALSE()</f>
        <v>0</v>
      </c>
      <c r="D833" s="26" t="n">
        <v>44963</v>
      </c>
      <c r="E833" s="25" t="n">
        <v>2023</v>
      </c>
      <c r="F833" s="25" t="n">
        <v>1</v>
      </c>
      <c r="G833" s="25" t="n">
        <v>2</v>
      </c>
    </row>
    <row r="834" customFormat="false" ht="15" hidden="false" customHeight="false" outlineLevel="0" collapsed="false">
      <c r="A834" s="25" t="n">
        <v>20230207</v>
      </c>
      <c r="B834" s="25" t="s">
        <v>2244</v>
      </c>
      <c r="C834" s="27" t="b">
        <f aca="false">FALSE()</f>
        <v>0</v>
      </c>
      <c r="D834" s="26" t="n">
        <v>44964</v>
      </c>
      <c r="E834" s="25" t="n">
        <v>2023</v>
      </c>
      <c r="F834" s="25" t="n">
        <v>1</v>
      </c>
      <c r="G834" s="25" t="n">
        <v>2</v>
      </c>
    </row>
    <row r="835" customFormat="false" ht="15" hidden="false" customHeight="false" outlineLevel="0" collapsed="false">
      <c r="A835" s="25" t="n">
        <v>20230208</v>
      </c>
      <c r="B835" s="25" t="s">
        <v>2244</v>
      </c>
      <c r="C835" s="27" t="b">
        <f aca="false">FALSE()</f>
        <v>0</v>
      </c>
      <c r="D835" s="26" t="n">
        <v>44965</v>
      </c>
      <c r="E835" s="25" t="n">
        <v>2023</v>
      </c>
      <c r="F835" s="25" t="n">
        <v>1</v>
      </c>
      <c r="G835" s="25" t="n">
        <v>2</v>
      </c>
    </row>
    <row r="836" customFormat="false" ht="15" hidden="false" customHeight="false" outlineLevel="0" collapsed="false">
      <c r="A836" s="25" t="n">
        <v>20230209</v>
      </c>
      <c r="B836" s="25" t="s">
        <v>2244</v>
      </c>
      <c r="C836" s="27" t="b">
        <f aca="false">FALSE()</f>
        <v>0</v>
      </c>
      <c r="D836" s="26" t="n">
        <v>44966</v>
      </c>
      <c r="E836" s="25" t="n">
        <v>2023</v>
      </c>
      <c r="F836" s="25" t="n">
        <v>1</v>
      </c>
      <c r="G836" s="25" t="n">
        <v>2</v>
      </c>
    </row>
    <row r="837" customFormat="false" ht="15" hidden="false" customHeight="false" outlineLevel="0" collapsed="false">
      <c r="A837" s="25" t="n">
        <v>20230210</v>
      </c>
      <c r="B837" s="25" t="s">
        <v>2244</v>
      </c>
      <c r="C837" s="27" t="b">
        <f aca="false">FALSE()</f>
        <v>0</v>
      </c>
      <c r="D837" s="26" t="n">
        <v>44967</v>
      </c>
      <c r="E837" s="25" t="n">
        <v>2023</v>
      </c>
      <c r="F837" s="25" t="n">
        <v>1</v>
      </c>
      <c r="G837" s="25" t="n">
        <v>2</v>
      </c>
    </row>
    <row r="838" customFormat="false" ht="15" hidden="false" customHeight="false" outlineLevel="0" collapsed="false">
      <c r="A838" s="25" t="n">
        <v>20230211</v>
      </c>
      <c r="B838" s="25" t="s">
        <v>2244</v>
      </c>
      <c r="C838" s="27" t="b">
        <f aca="false">TRUE()</f>
        <v>1</v>
      </c>
      <c r="D838" s="26" t="n">
        <v>44968</v>
      </c>
      <c r="E838" s="25" t="n">
        <v>2023</v>
      </c>
      <c r="F838" s="25" t="n">
        <v>1</v>
      </c>
      <c r="G838" s="25" t="n">
        <v>2</v>
      </c>
    </row>
    <row r="839" customFormat="false" ht="15" hidden="false" customHeight="false" outlineLevel="0" collapsed="false">
      <c r="A839" s="25" t="n">
        <v>20230212</v>
      </c>
      <c r="B839" s="25" t="s">
        <v>2244</v>
      </c>
      <c r="C839" s="27" t="b">
        <f aca="false">TRUE()</f>
        <v>1</v>
      </c>
      <c r="D839" s="26" t="n">
        <v>44969</v>
      </c>
      <c r="E839" s="25" t="n">
        <v>2023</v>
      </c>
      <c r="F839" s="25" t="n">
        <v>1</v>
      </c>
      <c r="G839" s="25" t="n">
        <v>2</v>
      </c>
    </row>
    <row r="840" customFormat="false" ht="15" hidden="false" customHeight="false" outlineLevel="0" collapsed="false">
      <c r="A840" s="25" t="n">
        <v>20230213</v>
      </c>
      <c r="B840" s="25" t="s">
        <v>2244</v>
      </c>
      <c r="C840" s="27" t="b">
        <f aca="false">FALSE()</f>
        <v>0</v>
      </c>
      <c r="D840" s="26" t="n">
        <v>44970</v>
      </c>
      <c r="E840" s="25" t="n">
        <v>2023</v>
      </c>
      <c r="F840" s="25" t="n">
        <v>1</v>
      </c>
      <c r="G840" s="25" t="n">
        <v>2</v>
      </c>
    </row>
    <row r="841" customFormat="false" ht="15" hidden="false" customHeight="false" outlineLevel="0" collapsed="false">
      <c r="A841" s="25" t="n">
        <v>20230214</v>
      </c>
      <c r="B841" s="25" t="s">
        <v>2244</v>
      </c>
      <c r="C841" s="27" t="b">
        <f aca="false">FALSE()</f>
        <v>0</v>
      </c>
      <c r="D841" s="26" t="n">
        <v>44971</v>
      </c>
      <c r="E841" s="25" t="n">
        <v>2023</v>
      </c>
      <c r="F841" s="25" t="n">
        <v>1</v>
      </c>
      <c r="G841" s="25" t="n">
        <v>2</v>
      </c>
    </row>
    <row r="842" customFormat="false" ht="15" hidden="false" customHeight="false" outlineLevel="0" collapsed="false">
      <c r="A842" s="25" t="n">
        <v>20230215</v>
      </c>
      <c r="B842" s="25" t="s">
        <v>2244</v>
      </c>
      <c r="C842" s="27" t="b">
        <f aca="false">FALSE()</f>
        <v>0</v>
      </c>
      <c r="D842" s="26" t="n">
        <v>44972</v>
      </c>
      <c r="E842" s="25" t="n">
        <v>2023</v>
      </c>
      <c r="F842" s="25" t="n">
        <v>1</v>
      </c>
      <c r="G842" s="25" t="n">
        <v>2</v>
      </c>
    </row>
    <row r="843" customFormat="false" ht="15" hidden="false" customHeight="false" outlineLevel="0" collapsed="false">
      <c r="A843" s="25" t="n">
        <v>20230216</v>
      </c>
      <c r="B843" s="25" t="s">
        <v>2244</v>
      </c>
      <c r="C843" s="27" t="b">
        <f aca="false">FALSE()</f>
        <v>0</v>
      </c>
      <c r="D843" s="26" t="n">
        <v>44973</v>
      </c>
      <c r="E843" s="25" t="n">
        <v>2023</v>
      </c>
      <c r="F843" s="25" t="n">
        <v>1</v>
      </c>
      <c r="G843" s="25" t="n">
        <v>2</v>
      </c>
    </row>
    <row r="844" customFormat="false" ht="15" hidden="false" customHeight="false" outlineLevel="0" collapsed="false">
      <c r="A844" s="25" t="n">
        <v>20230217</v>
      </c>
      <c r="B844" s="25" t="s">
        <v>2244</v>
      </c>
      <c r="C844" s="27" t="b">
        <f aca="false">FALSE()</f>
        <v>0</v>
      </c>
      <c r="D844" s="26" t="n">
        <v>44974</v>
      </c>
      <c r="E844" s="25" t="n">
        <v>2023</v>
      </c>
      <c r="F844" s="25" t="n">
        <v>1</v>
      </c>
      <c r="G844" s="25" t="n">
        <v>2</v>
      </c>
    </row>
    <row r="845" customFormat="false" ht="15" hidden="false" customHeight="false" outlineLevel="0" collapsed="false">
      <c r="A845" s="25" t="n">
        <v>20230218</v>
      </c>
      <c r="B845" s="25" t="s">
        <v>2244</v>
      </c>
      <c r="C845" s="27" t="b">
        <f aca="false">TRUE()</f>
        <v>1</v>
      </c>
      <c r="D845" s="26" t="n">
        <v>44975</v>
      </c>
      <c r="E845" s="25" t="n">
        <v>2023</v>
      </c>
      <c r="F845" s="25" t="n">
        <v>1</v>
      </c>
      <c r="G845" s="25" t="n">
        <v>2</v>
      </c>
    </row>
    <row r="846" customFormat="false" ht="15" hidden="false" customHeight="false" outlineLevel="0" collapsed="false">
      <c r="A846" s="25" t="n">
        <v>20230219</v>
      </c>
      <c r="B846" s="25" t="s">
        <v>2244</v>
      </c>
      <c r="C846" s="27" t="b">
        <f aca="false">TRUE()</f>
        <v>1</v>
      </c>
      <c r="D846" s="26" t="n">
        <v>44976</v>
      </c>
      <c r="E846" s="25" t="n">
        <v>2023</v>
      </c>
      <c r="F846" s="25" t="n">
        <v>1</v>
      </c>
      <c r="G846" s="25" t="n">
        <v>2</v>
      </c>
    </row>
    <row r="847" customFormat="false" ht="15" hidden="false" customHeight="false" outlineLevel="0" collapsed="false">
      <c r="A847" s="25" t="n">
        <v>20230220</v>
      </c>
      <c r="B847" s="25" t="s">
        <v>2244</v>
      </c>
      <c r="C847" s="27" t="b">
        <f aca="false">FALSE()</f>
        <v>0</v>
      </c>
      <c r="D847" s="26" t="n">
        <v>44977</v>
      </c>
      <c r="E847" s="25" t="n">
        <v>2023</v>
      </c>
      <c r="F847" s="25" t="n">
        <v>1</v>
      </c>
      <c r="G847" s="25" t="n">
        <v>2</v>
      </c>
    </row>
    <row r="848" customFormat="false" ht="15" hidden="false" customHeight="false" outlineLevel="0" collapsed="false">
      <c r="A848" s="25" t="n">
        <v>20230221</v>
      </c>
      <c r="B848" s="25" t="s">
        <v>2244</v>
      </c>
      <c r="C848" s="27" t="b">
        <f aca="false">FALSE()</f>
        <v>0</v>
      </c>
      <c r="D848" s="26" t="n">
        <v>44978</v>
      </c>
      <c r="E848" s="25" t="n">
        <v>2023</v>
      </c>
      <c r="F848" s="25" t="n">
        <v>1</v>
      </c>
      <c r="G848" s="25" t="n">
        <v>2</v>
      </c>
    </row>
    <row r="849" customFormat="false" ht="15" hidden="false" customHeight="false" outlineLevel="0" collapsed="false">
      <c r="A849" s="25" t="n">
        <v>20230222</v>
      </c>
      <c r="B849" s="25" t="s">
        <v>2244</v>
      </c>
      <c r="C849" s="27" t="b">
        <f aca="false">FALSE()</f>
        <v>0</v>
      </c>
      <c r="D849" s="26" t="n">
        <v>44979</v>
      </c>
      <c r="E849" s="25" t="n">
        <v>2023</v>
      </c>
      <c r="F849" s="25" t="n">
        <v>1</v>
      </c>
      <c r="G849" s="25" t="n">
        <v>2</v>
      </c>
    </row>
    <row r="850" customFormat="false" ht="15" hidden="false" customHeight="false" outlineLevel="0" collapsed="false">
      <c r="A850" s="25" t="n">
        <v>20230223</v>
      </c>
      <c r="B850" s="25" t="s">
        <v>2244</v>
      </c>
      <c r="C850" s="27" t="b">
        <f aca="false">FALSE()</f>
        <v>0</v>
      </c>
      <c r="D850" s="26" t="n">
        <v>44980</v>
      </c>
      <c r="E850" s="25" t="n">
        <v>2023</v>
      </c>
      <c r="F850" s="25" t="n">
        <v>1</v>
      </c>
      <c r="G850" s="25" t="n">
        <v>2</v>
      </c>
    </row>
    <row r="851" customFormat="false" ht="15" hidden="false" customHeight="false" outlineLevel="0" collapsed="false">
      <c r="A851" s="25" t="n">
        <v>20230224</v>
      </c>
      <c r="B851" s="25" t="s">
        <v>2244</v>
      </c>
      <c r="C851" s="27" t="b">
        <f aca="false">FALSE()</f>
        <v>0</v>
      </c>
      <c r="D851" s="26" t="n">
        <v>44981</v>
      </c>
      <c r="E851" s="25" t="n">
        <v>2023</v>
      </c>
      <c r="F851" s="25" t="n">
        <v>1</v>
      </c>
      <c r="G851" s="25" t="n">
        <v>2</v>
      </c>
    </row>
    <row r="852" customFormat="false" ht="15" hidden="false" customHeight="false" outlineLevel="0" collapsed="false">
      <c r="A852" s="25" t="n">
        <v>20230225</v>
      </c>
      <c r="B852" s="25" t="s">
        <v>2244</v>
      </c>
      <c r="C852" s="27" t="b">
        <f aca="false">TRUE()</f>
        <v>1</v>
      </c>
      <c r="D852" s="26" t="n">
        <v>44982</v>
      </c>
      <c r="E852" s="25" t="n">
        <v>2023</v>
      </c>
      <c r="F852" s="25" t="n">
        <v>1</v>
      </c>
      <c r="G852" s="25" t="n">
        <v>2</v>
      </c>
    </row>
    <row r="853" customFormat="false" ht="15" hidden="false" customHeight="false" outlineLevel="0" collapsed="false">
      <c r="A853" s="25" t="n">
        <v>20230226</v>
      </c>
      <c r="B853" s="25" t="s">
        <v>2244</v>
      </c>
      <c r="C853" s="27" t="b">
        <f aca="false">TRUE()</f>
        <v>1</v>
      </c>
      <c r="D853" s="26" t="n">
        <v>44983</v>
      </c>
      <c r="E853" s="25" t="n">
        <v>2023</v>
      </c>
      <c r="F853" s="25" t="n">
        <v>1</v>
      </c>
      <c r="G853" s="25" t="n">
        <v>2</v>
      </c>
    </row>
    <row r="854" customFormat="false" ht="15" hidden="false" customHeight="false" outlineLevel="0" collapsed="false">
      <c r="A854" s="25" t="n">
        <v>20230227</v>
      </c>
      <c r="B854" s="25" t="s">
        <v>2244</v>
      </c>
      <c r="C854" s="27" t="b">
        <f aca="false">FALSE()</f>
        <v>0</v>
      </c>
      <c r="D854" s="26" t="n">
        <v>44984</v>
      </c>
      <c r="E854" s="25" t="n">
        <v>2023</v>
      </c>
      <c r="F854" s="25" t="n">
        <v>1</v>
      </c>
      <c r="G854" s="25" t="n">
        <v>2</v>
      </c>
    </row>
    <row r="855" customFormat="false" ht="15" hidden="false" customHeight="false" outlineLevel="0" collapsed="false">
      <c r="A855" s="25" t="n">
        <v>20230228</v>
      </c>
      <c r="B855" s="25" t="s">
        <v>2244</v>
      </c>
      <c r="C855" s="27" t="b">
        <f aca="false">FALSE()</f>
        <v>0</v>
      </c>
      <c r="D855" s="26" t="n">
        <v>44985</v>
      </c>
      <c r="E855" s="25" t="n">
        <v>2023</v>
      </c>
      <c r="F855" s="25" t="n">
        <v>1</v>
      </c>
      <c r="G855" s="25" t="n">
        <v>2</v>
      </c>
    </row>
    <row r="856" customFormat="false" ht="15" hidden="false" customHeight="false" outlineLevel="0" collapsed="false">
      <c r="A856" s="25" t="n">
        <v>20230301</v>
      </c>
      <c r="B856" s="25" t="s">
        <v>2245</v>
      </c>
      <c r="C856" s="27" t="b">
        <f aca="false">FALSE()</f>
        <v>0</v>
      </c>
      <c r="D856" s="26" t="n">
        <v>44986</v>
      </c>
      <c r="E856" s="25" t="n">
        <v>2023</v>
      </c>
      <c r="F856" s="25" t="n">
        <v>1</v>
      </c>
      <c r="G856" s="25" t="n">
        <v>3</v>
      </c>
    </row>
    <row r="857" customFormat="false" ht="15" hidden="false" customHeight="false" outlineLevel="0" collapsed="false">
      <c r="A857" s="25" t="n">
        <v>20230302</v>
      </c>
      <c r="B857" s="25" t="s">
        <v>2245</v>
      </c>
      <c r="C857" s="27" t="b">
        <f aca="false">FALSE()</f>
        <v>0</v>
      </c>
      <c r="D857" s="26" t="n">
        <v>44987</v>
      </c>
      <c r="E857" s="25" t="n">
        <v>2023</v>
      </c>
      <c r="F857" s="25" t="n">
        <v>1</v>
      </c>
      <c r="G857" s="25" t="n">
        <v>3</v>
      </c>
    </row>
    <row r="858" customFormat="false" ht="15" hidden="false" customHeight="false" outlineLevel="0" collapsed="false">
      <c r="A858" s="25" t="n">
        <v>20230303</v>
      </c>
      <c r="B858" s="25" t="s">
        <v>2245</v>
      </c>
      <c r="C858" s="27" t="b">
        <f aca="false">FALSE()</f>
        <v>0</v>
      </c>
      <c r="D858" s="26" t="n">
        <v>44988</v>
      </c>
      <c r="E858" s="25" t="n">
        <v>2023</v>
      </c>
      <c r="F858" s="25" t="n">
        <v>1</v>
      </c>
      <c r="G858" s="25" t="n">
        <v>3</v>
      </c>
    </row>
    <row r="859" customFormat="false" ht="15" hidden="false" customHeight="false" outlineLevel="0" collapsed="false">
      <c r="A859" s="25" t="n">
        <v>20230304</v>
      </c>
      <c r="B859" s="25" t="s">
        <v>2245</v>
      </c>
      <c r="C859" s="27" t="b">
        <f aca="false">TRUE()</f>
        <v>1</v>
      </c>
      <c r="D859" s="26" t="n">
        <v>44989</v>
      </c>
      <c r="E859" s="25" t="n">
        <v>2023</v>
      </c>
      <c r="F859" s="25" t="n">
        <v>1</v>
      </c>
      <c r="G859" s="25" t="n">
        <v>3</v>
      </c>
    </row>
    <row r="860" customFormat="false" ht="15" hidden="false" customHeight="false" outlineLevel="0" collapsed="false">
      <c r="A860" s="25" t="n">
        <v>20230305</v>
      </c>
      <c r="B860" s="25" t="s">
        <v>2245</v>
      </c>
      <c r="C860" s="27" t="b">
        <f aca="false">TRUE()</f>
        <v>1</v>
      </c>
      <c r="D860" s="26" t="n">
        <v>44990</v>
      </c>
      <c r="E860" s="25" t="n">
        <v>2023</v>
      </c>
      <c r="F860" s="25" t="n">
        <v>1</v>
      </c>
      <c r="G860" s="25" t="n">
        <v>3</v>
      </c>
    </row>
    <row r="861" customFormat="false" ht="15" hidden="false" customHeight="false" outlineLevel="0" collapsed="false">
      <c r="A861" s="25" t="n">
        <v>20230306</v>
      </c>
      <c r="B861" s="25" t="s">
        <v>2245</v>
      </c>
      <c r="C861" s="27" t="b">
        <f aca="false">FALSE()</f>
        <v>0</v>
      </c>
      <c r="D861" s="26" t="n">
        <v>44991</v>
      </c>
      <c r="E861" s="25" t="n">
        <v>2023</v>
      </c>
      <c r="F861" s="25" t="n">
        <v>1</v>
      </c>
      <c r="G861" s="25" t="n">
        <v>3</v>
      </c>
    </row>
    <row r="862" customFormat="false" ht="15" hidden="false" customHeight="false" outlineLevel="0" collapsed="false">
      <c r="A862" s="25" t="n">
        <v>20230307</v>
      </c>
      <c r="B862" s="25" t="s">
        <v>2245</v>
      </c>
      <c r="C862" s="27" t="b">
        <f aca="false">FALSE()</f>
        <v>0</v>
      </c>
      <c r="D862" s="26" t="n">
        <v>44992</v>
      </c>
      <c r="E862" s="25" t="n">
        <v>2023</v>
      </c>
      <c r="F862" s="25" t="n">
        <v>1</v>
      </c>
      <c r="G862" s="25" t="n">
        <v>3</v>
      </c>
    </row>
    <row r="863" customFormat="false" ht="15" hidden="false" customHeight="false" outlineLevel="0" collapsed="false">
      <c r="A863" s="25" t="n">
        <v>20230308</v>
      </c>
      <c r="B863" s="25" t="s">
        <v>2245</v>
      </c>
      <c r="C863" s="27" t="b">
        <f aca="false">FALSE()</f>
        <v>0</v>
      </c>
      <c r="D863" s="26" t="n">
        <v>44993</v>
      </c>
      <c r="E863" s="25" t="n">
        <v>2023</v>
      </c>
      <c r="F863" s="25" t="n">
        <v>1</v>
      </c>
      <c r="G863" s="25" t="n">
        <v>3</v>
      </c>
    </row>
    <row r="864" customFormat="false" ht="15" hidden="false" customHeight="false" outlineLevel="0" collapsed="false">
      <c r="A864" s="25" t="n">
        <v>20230309</v>
      </c>
      <c r="B864" s="25" t="s">
        <v>2245</v>
      </c>
      <c r="C864" s="27" t="b">
        <f aca="false">FALSE()</f>
        <v>0</v>
      </c>
      <c r="D864" s="26" t="n">
        <v>44994</v>
      </c>
      <c r="E864" s="25" t="n">
        <v>2023</v>
      </c>
      <c r="F864" s="25" t="n">
        <v>1</v>
      </c>
      <c r="G864" s="25" t="n">
        <v>3</v>
      </c>
    </row>
    <row r="865" customFormat="false" ht="15" hidden="false" customHeight="false" outlineLevel="0" collapsed="false">
      <c r="A865" s="25" t="n">
        <v>20230310</v>
      </c>
      <c r="B865" s="25" t="s">
        <v>2245</v>
      </c>
      <c r="C865" s="27" t="b">
        <f aca="false">FALSE()</f>
        <v>0</v>
      </c>
      <c r="D865" s="26" t="n">
        <v>44995</v>
      </c>
      <c r="E865" s="25" t="n">
        <v>2023</v>
      </c>
      <c r="F865" s="25" t="n">
        <v>1</v>
      </c>
      <c r="G865" s="25" t="n">
        <v>3</v>
      </c>
    </row>
    <row r="866" customFormat="false" ht="15" hidden="false" customHeight="false" outlineLevel="0" collapsed="false">
      <c r="A866" s="25" t="n">
        <v>20230311</v>
      </c>
      <c r="B866" s="25" t="s">
        <v>2245</v>
      </c>
      <c r="C866" s="27" t="b">
        <f aca="false">TRUE()</f>
        <v>1</v>
      </c>
      <c r="D866" s="26" t="n">
        <v>44996</v>
      </c>
      <c r="E866" s="25" t="n">
        <v>2023</v>
      </c>
      <c r="F866" s="25" t="n">
        <v>1</v>
      </c>
      <c r="G866" s="25" t="n">
        <v>3</v>
      </c>
    </row>
    <row r="867" customFormat="false" ht="15" hidden="false" customHeight="false" outlineLevel="0" collapsed="false">
      <c r="A867" s="25" t="n">
        <v>20230312</v>
      </c>
      <c r="B867" s="25" t="s">
        <v>2245</v>
      </c>
      <c r="C867" s="27" t="b">
        <f aca="false">TRUE()</f>
        <v>1</v>
      </c>
      <c r="D867" s="26" t="n">
        <v>44997</v>
      </c>
      <c r="E867" s="25" t="n">
        <v>2023</v>
      </c>
      <c r="F867" s="25" t="n">
        <v>1</v>
      </c>
      <c r="G867" s="25" t="n">
        <v>3</v>
      </c>
    </row>
    <row r="868" customFormat="false" ht="15" hidden="false" customHeight="false" outlineLevel="0" collapsed="false">
      <c r="A868" s="25" t="n">
        <v>20230313</v>
      </c>
      <c r="B868" s="25" t="s">
        <v>2245</v>
      </c>
      <c r="C868" s="27" t="b">
        <f aca="false">FALSE()</f>
        <v>0</v>
      </c>
      <c r="D868" s="26" t="n">
        <v>44998</v>
      </c>
      <c r="E868" s="25" t="n">
        <v>2023</v>
      </c>
      <c r="F868" s="25" t="n">
        <v>1</v>
      </c>
      <c r="G868" s="25" t="n">
        <v>3</v>
      </c>
    </row>
    <row r="869" customFormat="false" ht="15" hidden="false" customHeight="false" outlineLevel="0" collapsed="false">
      <c r="A869" s="25" t="n">
        <v>20230314</v>
      </c>
      <c r="B869" s="25" t="s">
        <v>2245</v>
      </c>
      <c r="C869" s="27" t="b">
        <f aca="false">FALSE()</f>
        <v>0</v>
      </c>
      <c r="D869" s="26" t="n">
        <v>44999</v>
      </c>
      <c r="E869" s="25" t="n">
        <v>2023</v>
      </c>
      <c r="F869" s="25" t="n">
        <v>1</v>
      </c>
      <c r="G869" s="25" t="n">
        <v>3</v>
      </c>
    </row>
    <row r="870" customFormat="false" ht="15" hidden="false" customHeight="false" outlineLevel="0" collapsed="false">
      <c r="A870" s="25" t="n">
        <v>20230315</v>
      </c>
      <c r="B870" s="25" t="s">
        <v>2245</v>
      </c>
      <c r="C870" s="27" t="b">
        <f aca="false">FALSE()</f>
        <v>0</v>
      </c>
      <c r="D870" s="26" t="n">
        <v>45000</v>
      </c>
      <c r="E870" s="25" t="n">
        <v>2023</v>
      </c>
      <c r="F870" s="25" t="n">
        <v>1</v>
      </c>
      <c r="G870" s="25" t="n">
        <v>3</v>
      </c>
    </row>
    <row r="871" customFormat="false" ht="15" hidden="false" customHeight="false" outlineLevel="0" collapsed="false">
      <c r="A871" s="25" t="n">
        <v>20230316</v>
      </c>
      <c r="B871" s="25" t="s">
        <v>2245</v>
      </c>
      <c r="C871" s="27" t="b">
        <f aca="false">FALSE()</f>
        <v>0</v>
      </c>
      <c r="D871" s="26" t="n">
        <v>45001</v>
      </c>
      <c r="E871" s="25" t="n">
        <v>2023</v>
      </c>
      <c r="F871" s="25" t="n">
        <v>1</v>
      </c>
      <c r="G871" s="25" t="n">
        <v>3</v>
      </c>
    </row>
    <row r="872" customFormat="false" ht="15" hidden="false" customHeight="false" outlineLevel="0" collapsed="false">
      <c r="A872" s="25" t="n">
        <v>20230317</v>
      </c>
      <c r="B872" s="25" t="s">
        <v>2245</v>
      </c>
      <c r="C872" s="27" t="b">
        <f aca="false">FALSE()</f>
        <v>0</v>
      </c>
      <c r="D872" s="26" t="n">
        <v>45002</v>
      </c>
      <c r="E872" s="25" t="n">
        <v>2023</v>
      </c>
      <c r="F872" s="25" t="n">
        <v>1</v>
      </c>
      <c r="G872" s="25" t="n">
        <v>3</v>
      </c>
    </row>
    <row r="873" customFormat="false" ht="15" hidden="false" customHeight="false" outlineLevel="0" collapsed="false">
      <c r="A873" s="25" t="n">
        <v>20230318</v>
      </c>
      <c r="B873" s="25" t="s">
        <v>2245</v>
      </c>
      <c r="C873" s="27" t="b">
        <f aca="false">TRUE()</f>
        <v>1</v>
      </c>
      <c r="D873" s="26" t="n">
        <v>45003</v>
      </c>
      <c r="E873" s="25" t="n">
        <v>2023</v>
      </c>
      <c r="F873" s="25" t="n">
        <v>1</v>
      </c>
      <c r="G873" s="25" t="n">
        <v>3</v>
      </c>
    </row>
    <row r="874" customFormat="false" ht="15" hidden="false" customHeight="false" outlineLevel="0" collapsed="false">
      <c r="A874" s="25" t="n">
        <v>20230319</v>
      </c>
      <c r="B874" s="25" t="s">
        <v>2245</v>
      </c>
      <c r="C874" s="27" t="b">
        <f aca="false">TRUE()</f>
        <v>1</v>
      </c>
      <c r="D874" s="26" t="n">
        <v>45004</v>
      </c>
      <c r="E874" s="25" t="n">
        <v>2023</v>
      </c>
      <c r="F874" s="25" t="n">
        <v>1</v>
      </c>
      <c r="G874" s="25" t="n">
        <v>3</v>
      </c>
    </row>
    <row r="875" customFormat="false" ht="15" hidden="false" customHeight="false" outlineLevel="0" collapsed="false">
      <c r="A875" s="25" t="n">
        <v>20230320</v>
      </c>
      <c r="B875" s="25" t="s">
        <v>2245</v>
      </c>
      <c r="C875" s="27" t="b">
        <f aca="false">FALSE()</f>
        <v>0</v>
      </c>
      <c r="D875" s="26" t="n">
        <v>45005</v>
      </c>
      <c r="E875" s="25" t="n">
        <v>2023</v>
      </c>
      <c r="F875" s="25" t="n">
        <v>1</v>
      </c>
      <c r="G875" s="25" t="n">
        <v>3</v>
      </c>
    </row>
    <row r="876" customFormat="false" ht="15" hidden="false" customHeight="false" outlineLevel="0" collapsed="false">
      <c r="A876" s="25" t="n">
        <v>20230321</v>
      </c>
      <c r="B876" s="25" t="s">
        <v>2245</v>
      </c>
      <c r="C876" s="27" t="b">
        <f aca="false">FALSE()</f>
        <v>0</v>
      </c>
      <c r="D876" s="26" t="n">
        <v>45006</v>
      </c>
      <c r="E876" s="25" t="n">
        <v>2023</v>
      </c>
      <c r="F876" s="25" t="n">
        <v>1</v>
      </c>
      <c r="G876" s="25" t="n">
        <v>3</v>
      </c>
    </row>
    <row r="877" customFormat="false" ht="15" hidden="false" customHeight="false" outlineLevel="0" collapsed="false">
      <c r="A877" s="25" t="n">
        <v>20230322</v>
      </c>
      <c r="B877" s="25" t="s">
        <v>2245</v>
      </c>
      <c r="C877" s="27" t="b">
        <f aca="false">FALSE()</f>
        <v>0</v>
      </c>
      <c r="D877" s="26" t="n">
        <v>45007</v>
      </c>
      <c r="E877" s="25" t="n">
        <v>2023</v>
      </c>
      <c r="F877" s="25" t="n">
        <v>1</v>
      </c>
      <c r="G877" s="25" t="n">
        <v>3</v>
      </c>
    </row>
    <row r="878" customFormat="false" ht="15" hidden="false" customHeight="false" outlineLevel="0" collapsed="false">
      <c r="A878" s="25" t="n">
        <v>20230323</v>
      </c>
      <c r="B878" s="25" t="s">
        <v>2245</v>
      </c>
      <c r="C878" s="27" t="b">
        <f aca="false">FALSE()</f>
        <v>0</v>
      </c>
      <c r="D878" s="26" t="n">
        <v>45008</v>
      </c>
      <c r="E878" s="25" t="n">
        <v>2023</v>
      </c>
      <c r="F878" s="25" t="n">
        <v>1</v>
      </c>
      <c r="G878" s="25" t="n">
        <v>3</v>
      </c>
    </row>
    <row r="879" customFormat="false" ht="15" hidden="false" customHeight="false" outlineLevel="0" collapsed="false">
      <c r="A879" s="25" t="n">
        <v>20230324</v>
      </c>
      <c r="B879" s="25" t="s">
        <v>2245</v>
      </c>
      <c r="C879" s="27" t="b">
        <f aca="false">FALSE()</f>
        <v>0</v>
      </c>
      <c r="D879" s="26" t="n">
        <v>45009</v>
      </c>
      <c r="E879" s="25" t="n">
        <v>2023</v>
      </c>
      <c r="F879" s="25" t="n">
        <v>1</v>
      </c>
      <c r="G879" s="25" t="n">
        <v>3</v>
      </c>
    </row>
    <row r="880" customFormat="false" ht="15" hidden="false" customHeight="false" outlineLevel="0" collapsed="false">
      <c r="A880" s="25" t="n">
        <v>20230325</v>
      </c>
      <c r="B880" s="25" t="s">
        <v>2245</v>
      </c>
      <c r="C880" s="27" t="b">
        <f aca="false">TRUE()</f>
        <v>1</v>
      </c>
      <c r="D880" s="26" t="n">
        <v>45010</v>
      </c>
      <c r="E880" s="25" t="n">
        <v>2023</v>
      </c>
      <c r="F880" s="25" t="n">
        <v>1</v>
      </c>
      <c r="G880" s="25" t="n">
        <v>3</v>
      </c>
    </row>
    <row r="881" customFormat="false" ht="15" hidden="false" customHeight="false" outlineLevel="0" collapsed="false">
      <c r="A881" s="25" t="n">
        <v>20230326</v>
      </c>
      <c r="B881" s="25" t="s">
        <v>2245</v>
      </c>
      <c r="C881" s="27" t="b">
        <f aca="false">TRUE()</f>
        <v>1</v>
      </c>
      <c r="D881" s="26" t="n">
        <v>45011</v>
      </c>
      <c r="E881" s="25" t="n">
        <v>2023</v>
      </c>
      <c r="F881" s="25" t="n">
        <v>1</v>
      </c>
      <c r="G881" s="25" t="n">
        <v>3</v>
      </c>
    </row>
    <row r="882" customFormat="false" ht="15" hidden="false" customHeight="false" outlineLevel="0" collapsed="false">
      <c r="A882" s="25" t="n">
        <v>20230327</v>
      </c>
      <c r="B882" s="25" t="s">
        <v>2245</v>
      </c>
      <c r="C882" s="27" t="b">
        <f aca="false">FALSE()</f>
        <v>0</v>
      </c>
      <c r="D882" s="26" t="n">
        <v>45012</v>
      </c>
      <c r="E882" s="25" t="n">
        <v>2023</v>
      </c>
      <c r="F882" s="25" t="n">
        <v>1</v>
      </c>
      <c r="G882" s="25" t="n">
        <v>3</v>
      </c>
    </row>
    <row r="883" customFormat="false" ht="15" hidden="false" customHeight="false" outlineLevel="0" collapsed="false">
      <c r="A883" s="25" t="n">
        <v>20230328</v>
      </c>
      <c r="B883" s="25" t="s">
        <v>2245</v>
      </c>
      <c r="C883" s="27" t="b">
        <f aca="false">FALSE()</f>
        <v>0</v>
      </c>
      <c r="D883" s="26" t="n">
        <v>45013</v>
      </c>
      <c r="E883" s="25" t="n">
        <v>2023</v>
      </c>
      <c r="F883" s="25" t="n">
        <v>1</v>
      </c>
      <c r="G883" s="25" t="n">
        <v>3</v>
      </c>
    </row>
    <row r="884" customFormat="false" ht="15" hidden="false" customHeight="false" outlineLevel="0" collapsed="false">
      <c r="A884" s="25" t="n">
        <v>20230329</v>
      </c>
      <c r="B884" s="25" t="s">
        <v>2245</v>
      </c>
      <c r="C884" s="27" t="b">
        <f aca="false">FALSE()</f>
        <v>0</v>
      </c>
      <c r="D884" s="26" t="n">
        <v>45014</v>
      </c>
      <c r="E884" s="25" t="n">
        <v>2023</v>
      </c>
      <c r="F884" s="25" t="n">
        <v>1</v>
      </c>
      <c r="G884" s="25" t="n">
        <v>3</v>
      </c>
    </row>
    <row r="885" customFormat="false" ht="15" hidden="false" customHeight="false" outlineLevel="0" collapsed="false">
      <c r="A885" s="25" t="n">
        <v>20230330</v>
      </c>
      <c r="B885" s="25" t="s">
        <v>2245</v>
      </c>
      <c r="C885" s="27" t="b">
        <f aca="false">FALSE()</f>
        <v>0</v>
      </c>
      <c r="D885" s="26" t="n">
        <v>45015</v>
      </c>
      <c r="E885" s="25" t="n">
        <v>2023</v>
      </c>
      <c r="F885" s="25" t="n">
        <v>1</v>
      </c>
      <c r="G885" s="25" t="n">
        <v>3</v>
      </c>
    </row>
    <row r="886" customFormat="false" ht="15" hidden="false" customHeight="false" outlineLevel="0" collapsed="false">
      <c r="A886" s="25" t="n">
        <v>20230331</v>
      </c>
      <c r="B886" s="25" t="s">
        <v>2245</v>
      </c>
      <c r="C886" s="27" t="b">
        <f aca="false">FALSE()</f>
        <v>0</v>
      </c>
      <c r="D886" s="26" t="n">
        <v>45016</v>
      </c>
      <c r="E886" s="25" t="n">
        <v>2023</v>
      </c>
      <c r="F886" s="25" t="n">
        <v>1</v>
      </c>
      <c r="G886" s="25" t="n">
        <v>3</v>
      </c>
    </row>
    <row r="887" customFormat="false" ht="15" hidden="false" customHeight="false" outlineLevel="0" collapsed="false">
      <c r="A887" s="25" t="n">
        <v>20230401</v>
      </c>
      <c r="B887" s="25" t="s">
        <v>2246</v>
      </c>
      <c r="C887" s="27" t="b">
        <f aca="false">TRUE()</f>
        <v>1</v>
      </c>
      <c r="D887" s="26" t="n">
        <v>45017</v>
      </c>
      <c r="E887" s="25" t="n">
        <v>2023</v>
      </c>
      <c r="F887" s="25" t="n">
        <v>2</v>
      </c>
      <c r="G887" s="25" t="n">
        <v>4</v>
      </c>
    </row>
    <row r="888" customFormat="false" ht="15" hidden="false" customHeight="false" outlineLevel="0" collapsed="false">
      <c r="A888" s="25" t="n">
        <v>20230402</v>
      </c>
      <c r="B888" s="25" t="s">
        <v>2246</v>
      </c>
      <c r="C888" s="27" t="b">
        <f aca="false">TRUE()</f>
        <v>1</v>
      </c>
      <c r="D888" s="26" t="n">
        <v>45018</v>
      </c>
      <c r="E888" s="25" t="n">
        <v>2023</v>
      </c>
      <c r="F888" s="25" t="n">
        <v>2</v>
      </c>
      <c r="G888" s="25" t="n">
        <v>4</v>
      </c>
    </row>
    <row r="889" customFormat="false" ht="15" hidden="false" customHeight="false" outlineLevel="0" collapsed="false">
      <c r="A889" s="25" t="n">
        <v>20230403</v>
      </c>
      <c r="B889" s="25" t="s">
        <v>2246</v>
      </c>
      <c r="C889" s="27" t="b">
        <f aca="false">FALSE()</f>
        <v>0</v>
      </c>
      <c r="D889" s="26" t="n">
        <v>45019</v>
      </c>
      <c r="E889" s="25" t="n">
        <v>2023</v>
      </c>
      <c r="F889" s="25" t="n">
        <v>2</v>
      </c>
      <c r="G889" s="25" t="n">
        <v>4</v>
      </c>
    </row>
    <row r="890" customFormat="false" ht="15" hidden="false" customHeight="false" outlineLevel="0" collapsed="false">
      <c r="A890" s="25" t="n">
        <v>20230404</v>
      </c>
      <c r="B890" s="25" t="s">
        <v>2246</v>
      </c>
      <c r="C890" s="27" t="b">
        <f aca="false">FALSE()</f>
        <v>0</v>
      </c>
      <c r="D890" s="26" t="n">
        <v>45020</v>
      </c>
      <c r="E890" s="25" t="n">
        <v>2023</v>
      </c>
      <c r="F890" s="25" t="n">
        <v>2</v>
      </c>
      <c r="G890" s="25" t="n">
        <v>4</v>
      </c>
    </row>
    <row r="891" customFormat="false" ht="15" hidden="false" customHeight="false" outlineLevel="0" collapsed="false">
      <c r="A891" s="25" t="n">
        <v>20230405</v>
      </c>
      <c r="B891" s="25" t="s">
        <v>2246</v>
      </c>
      <c r="C891" s="27" t="b">
        <f aca="false">FALSE()</f>
        <v>0</v>
      </c>
      <c r="D891" s="26" t="n">
        <v>45021</v>
      </c>
      <c r="E891" s="25" t="n">
        <v>2023</v>
      </c>
      <c r="F891" s="25" t="n">
        <v>2</v>
      </c>
      <c r="G891" s="25" t="n">
        <v>4</v>
      </c>
    </row>
    <row r="892" customFormat="false" ht="15" hidden="false" customHeight="false" outlineLevel="0" collapsed="false">
      <c r="A892" s="25" t="n">
        <v>20230406</v>
      </c>
      <c r="B892" s="25" t="s">
        <v>2246</v>
      </c>
      <c r="C892" s="27" t="b">
        <f aca="false">FALSE()</f>
        <v>0</v>
      </c>
      <c r="D892" s="26" t="n">
        <v>45022</v>
      </c>
      <c r="E892" s="25" t="n">
        <v>2023</v>
      </c>
      <c r="F892" s="25" t="n">
        <v>2</v>
      </c>
      <c r="G892" s="25" t="n">
        <v>4</v>
      </c>
    </row>
    <row r="893" customFormat="false" ht="15" hidden="false" customHeight="false" outlineLevel="0" collapsed="false">
      <c r="A893" s="25" t="n">
        <v>20230407</v>
      </c>
      <c r="B893" s="25" t="s">
        <v>2246</v>
      </c>
      <c r="C893" s="27" t="b">
        <f aca="false">FALSE()</f>
        <v>0</v>
      </c>
      <c r="D893" s="26" t="n">
        <v>45023</v>
      </c>
      <c r="E893" s="25" t="n">
        <v>2023</v>
      </c>
      <c r="F893" s="25" t="n">
        <v>2</v>
      </c>
      <c r="G893" s="25" t="n">
        <v>4</v>
      </c>
    </row>
    <row r="894" customFormat="false" ht="15" hidden="false" customHeight="false" outlineLevel="0" collapsed="false">
      <c r="A894" s="25" t="n">
        <v>20230408</v>
      </c>
      <c r="B894" s="25" t="s">
        <v>2246</v>
      </c>
      <c r="C894" s="27" t="b">
        <f aca="false">TRUE()</f>
        <v>1</v>
      </c>
      <c r="D894" s="26" t="n">
        <v>45024</v>
      </c>
      <c r="E894" s="25" t="n">
        <v>2023</v>
      </c>
      <c r="F894" s="25" t="n">
        <v>2</v>
      </c>
      <c r="G894" s="25" t="n">
        <v>4</v>
      </c>
    </row>
    <row r="895" customFormat="false" ht="15" hidden="false" customHeight="false" outlineLevel="0" collapsed="false">
      <c r="A895" s="25" t="n">
        <v>20230409</v>
      </c>
      <c r="B895" s="25" t="s">
        <v>2246</v>
      </c>
      <c r="C895" s="27" t="b">
        <f aca="false">TRUE()</f>
        <v>1</v>
      </c>
      <c r="D895" s="26" t="n">
        <v>45025</v>
      </c>
      <c r="E895" s="25" t="n">
        <v>2023</v>
      </c>
      <c r="F895" s="25" t="n">
        <v>2</v>
      </c>
      <c r="G895" s="25" t="n">
        <v>4</v>
      </c>
    </row>
    <row r="896" customFormat="false" ht="15" hidden="false" customHeight="false" outlineLevel="0" collapsed="false">
      <c r="A896" s="25" t="n">
        <v>20230410</v>
      </c>
      <c r="B896" s="25" t="s">
        <v>2246</v>
      </c>
      <c r="C896" s="27" t="b">
        <f aca="false">FALSE()</f>
        <v>0</v>
      </c>
      <c r="D896" s="26" t="n">
        <v>45026</v>
      </c>
      <c r="E896" s="25" t="n">
        <v>2023</v>
      </c>
      <c r="F896" s="25" t="n">
        <v>2</v>
      </c>
      <c r="G896" s="25" t="n">
        <v>4</v>
      </c>
    </row>
    <row r="897" customFormat="false" ht="15" hidden="false" customHeight="false" outlineLevel="0" collapsed="false">
      <c r="A897" s="25" t="n">
        <v>20230411</v>
      </c>
      <c r="B897" s="25" t="s">
        <v>2246</v>
      </c>
      <c r="C897" s="27" t="b">
        <f aca="false">FALSE()</f>
        <v>0</v>
      </c>
      <c r="D897" s="26" t="n">
        <v>45027</v>
      </c>
      <c r="E897" s="25" t="n">
        <v>2023</v>
      </c>
      <c r="F897" s="25" t="n">
        <v>2</v>
      </c>
      <c r="G897" s="25" t="n">
        <v>4</v>
      </c>
    </row>
    <row r="898" customFormat="false" ht="15" hidden="false" customHeight="false" outlineLevel="0" collapsed="false">
      <c r="A898" s="25" t="n">
        <v>20230412</v>
      </c>
      <c r="B898" s="25" t="s">
        <v>2246</v>
      </c>
      <c r="C898" s="27" t="b">
        <f aca="false">FALSE()</f>
        <v>0</v>
      </c>
      <c r="D898" s="26" t="n">
        <v>45028</v>
      </c>
      <c r="E898" s="25" t="n">
        <v>2023</v>
      </c>
      <c r="F898" s="25" t="n">
        <v>2</v>
      </c>
      <c r="G898" s="25" t="n">
        <v>4</v>
      </c>
    </row>
    <row r="899" customFormat="false" ht="15" hidden="false" customHeight="false" outlineLevel="0" collapsed="false">
      <c r="A899" s="25" t="n">
        <v>20230413</v>
      </c>
      <c r="B899" s="25" t="s">
        <v>2246</v>
      </c>
      <c r="C899" s="27" t="b">
        <f aca="false">FALSE()</f>
        <v>0</v>
      </c>
      <c r="D899" s="26" t="n">
        <v>45029</v>
      </c>
      <c r="E899" s="25" t="n">
        <v>2023</v>
      </c>
      <c r="F899" s="25" t="n">
        <v>2</v>
      </c>
      <c r="G899" s="25" t="n">
        <v>4</v>
      </c>
    </row>
    <row r="900" customFormat="false" ht="15" hidden="false" customHeight="false" outlineLevel="0" collapsed="false">
      <c r="A900" s="25" t="n">
        <v>20230414</v>
      </c>
      <c r="B900" s="25" t="s">
        <v>2246</v>
      </c>
      <c r="C900" s="27" t="b">
        <f aca="false">FALSE()</f>
        <v>0</v>
      </c>
      <c r="D900" s="26" t="n">
        <v>45030</v>
      </c>
      <c r="E900" s="25" t="n">
        <v>2023</v>
      </c>
      <c r="F900" s="25" t="n">
        <v>2</v>
      </c>
      <c r="G900" s="25" t="n">
        <v>4</v>
      </c>
    </row>
    <row r="901" customFormat="false" ht="15" hidden="false" customHeight="false" outlineLevel="0" collapsed="false">
      <c r="A901" s="25" t="n">
        <v>20230415</v>
      </c>
      <c r="B901" s="25" t="s">
        <v>2246</v>
      </c>
      <c r="C901" s="27" t="b">
        <f aca="false">TRUE()</f>
        <v>1</v>
      </c>
      <c r="D901" s="26" t="n">
        <v>45031</v>
      </c>
      <c r="E901" s="25" t="n">
        <v>2023</v>
      </c>
      <c r="F901" s="25" t="n">
        <v>2</v>
      </c>
      <c r="G901" s="25" t="n">
        <v>4</v>
      </c>
    </row>
    <row r="902" customFormat="false" ht="15" hidden="false" customHeight="false" outlineLevel="0" collapsed="false">
      <c r="A902" s="25" t="n">
        <v>20230416</v>
      </c>
      <c r="B902" s="25" t="s">
        <v>2246</v>
      </c>
      <c r="C902" s="27" t="b">
        <f aca="false">TRUE()</f>
        <v>1</v>
      </c>
      <c r="D902" s="26" t="n">
        <v>45032</v>
      </c>
      <c r="E902" s="25" t="n">
        <v>2023</v>
      </c>
      <c r="F902" s="25" t="n">
        <v>2</v>
      </c>
      <c r="G902" s="25" t="n">
        <v>4</v>
      </c>
    </row>
    <row r="903" customFormat="false" ht="15" hidden="false" customHeight="false" outlineLevel="0" collapsed="false">
      <c r="A903" s="25" t="n">
        <v>20230417</v>
      </c>
      <c r="B903" s="25" t="s">
        <v>2246</v>
      </c>
      <c r="C903" s="27" t="b">
        <f aca="false">FALSE()</f>
        <v>0</v>
      </c>
      <c r="D903" s="26" t="n">
        <v>45033</v>
      </c>
      <c r="E903" s="25" t="n">
        <v>2023</v>
      </c>
      <c r="F903" s="25" t="n">
        <v>2</v>
      </c>
      <c r="G903" s="25" t="n">
        <v>4</v>
      </c>
    </row>
    <row r="904" customFormat="false" ht="15" hidden="false" customHeight="false" outlineLevel="0" collapsed="false">
      <c r="A904" s="25" t="n">
        <v>20230418</v>
      </c>
      <c r="B904" s="25" t="s">
        <v>2246</v>
      </c>
      <c r="C904" s="27" t="b">
        <f aca="false">FALSE()</f>
        <v>0</v>
      </c>
      <c r="D904" s="26" t="n">
        <v>45034</v>
      </c>
      <c r="E904" s="25" t="n">
        <v>2023</v>
      </c>
      <c r="F904" s="25" t="n">
        <v>2</v>
      </c>
      <c r="G904" s="25" t="n">
        <v>4</v>
      </c>
    </row>
    <row r="905" customFormat="false" ht="15" hidden="false" customHeight="false" outlineLevel="0" collapsed="false">
      <c r="A905" s="25" t="n">
        <v>20230419</v>
      </c>
      <c r="B905" s="25" t="s">
        <v>2246</v>
      </c>
      <c r="C905" s="27" t="b">
        <f aca="false">FALSE()</f>
        <v>0</v>
      </c>
      <c r="D905" s="26" t="n">
        <v>45035</v>
      </c>
      <c r="E905" s="25" t="n">
        <v>2023</v>
      </c>
      <c r="F905" s="25" t="n">
        <v>2</v>
      </c>
      <c r="G905" s="25" t="n">
        <v>4</v>
      </c>
    </row>
    <row r="906" customFormat="false" ht="15" hidden="false" customHeight="false" outlineLevel="0" collapsed="false">
      <c r="A906" s="25" t="n">
        <v>20230420</v>
      </c>
      <c r="B906" s="25" t="s">
        <v>2246</v>
      </c>
      <c r="C906" s="27" t="b">
        <f aca="false">FALSE()</f>
        <v>0</v>
      </c>
      <c r="D906" s="26" t="n">
        <v>45036</v>
      </c>
      <c r="E906" s="25" t="n">
        <v>2023</v>
      </c>
      <c r="F906" s="25" t="n">
        <v>2</v>
      </c>
      <c r="G906" s="25" t="n">
        <v>4</v>
      </c>
    </row>
    <row r="907" customFormat="false" ht="15" hidden="false" customHeight="false" outlineLevel="0" collapsed="false">
      <c r="A907" s="25" t="n">
        <v>20230421</v>
      </c>
      <c r="B907" s="25" t="s">
        <v>2246</v>
      </c>
      <c r="C907" s="27" t="b">
        <f aca="false">FALSE()</f>
        <v>0</v>
      </c>
      <c r="D907" s="26" t="n">
        <v>45037</v>
      </c>
      <c r="E907" s="25" t="n">
        <v>2023</v>
      </c>
      <c r="F907" s="25" t="n">
        <v>2</v>
      </c>
      <c r="G907" s="25" t="n">
        <v>4</v>
      </c>
    </row>
    <row r="908" customFormat="false" ht="15" hidden="false" customHeight="false" outlineLevel="0" collapsed="false">
      <c r="A908" s="25" t="n">
        <v>20230422</v>
      </c>
      <c r="B908" s="25" t="s">
        <v>2246</v>
      </c>
      <c r="C908" s="27" t="b">
        <f aca="false">TRUE()</f>
        <v>1</v>
      </c>
      <c r="D908" s="26" t="n">
        <v>45038</v>
      </c>
      <c r="E908" s="25" t="n">
        <v>2023</v>
      </c>
      <c r="F908" s="25" t="n">
        <v>2</v>
      </c>
      <c r="G908" s="25" t="n">
        <v>4</v>
      </c>
    </row>
    <row r="909" customFormat="false" ht="15" hidden="false" customHeight="false" outlineLevel="0" collapsed="false">
      <c r="A909" s="25" t="n">
        <v>20230423</v>
      </c>
      <c r="B909" s="25" t="s">
        <v>2246</v>
      </c>
      <c r="C909" s="27" t="b">
        <f aca="false">TRUE()</f>
        <v>1</v>
      </c>
      <c r="D909" s="26" t="n">
        <v>45039</v>
      </c>
      <c r="E909" s="25" t="n">
        <v>2023</v>
      </c>
      <c r="F909" s="25" t="n">
        <v>2</v>
      </c>
      <c r="G909" s="25" t="n">
        <v>4</v>
      </c>
    </row>
    <row r="910" customFormat="false" ht="15" hidden="false" customHeight="false" outlineLevel="0" collapsed="false">
      <c r="A910" s="25" t="n">
        <v>20230424</v>
      </c>
      <c r="B910" s="25" t="s">
        <v>2246</v>
      </c>
      <c r="C910" s="27" t="b">
        <f aca="false">FALSE()</f>
        <v>0</v>
      </c>
      <c r="D910" s="26" t="n">
        <v>45040</v>
      </c>
      <c r="E910" s="25" t="n">
        <v>2023</v>
      </c>
      <c r="F910" s="25" t="n">
        <v>2</v>
      </c>
      <c r="G910" s="25" t="n">
        <v>4</v>
      </c>
    </row>
    <row r="911" customFormat="false" ht="15" hidden="false" customHeight="false" outlineLevel="0" collapsed="false">
      <c r="A911" s="25" t="n">
        <v>20230425</v>
      </c>
      <c r="B911" s="25" t="s">
        <v>2246</v>
      </c>
      <c r="C911" s="27" t="b">
        <f aca="false">FALSE()</f>
        <v>0</v>
      </c>
      <c r="D911" s="26" t="n">
        <v>45041</v>
      </c>
      <c r="E911" s="25" t="n">
        <v>2023</v>
      </c>
      <c r="F911" s="25" t="n">
        <v>2</v>
      </c>
      <c r="G911" s="25" t="n">
        <v>4</v>
      </c>
    </row>
    <row r="912" customFormat="false" ht="15" hidden="false" customHeight="false" outlineLevel="0" collapsed="false">
      <c r="A912" s="25" t="n">
        <v>20230426</v>
      </c>
      <c r="B912" s="25" t="s">
        <v>2246</v>
      </c>
      <c r="C912" s="27" t="b">
        <f aca="false">FALSE()</f>
        <v>0</v>
      </c>
      <c r="D912" s="26" t="n">
        <v>45042</v>
      </c>
      <c r="E912" s="25" t="n">
        <v>2023</v>
      </c>
      <c r="F912" s="25" t="n">
        <v>2</v>
      </c>
      <c r="G912" s="25" t="n">
        <v>4</v>
      </c>
    </row>
    <row r="913" customFormat="false" ht="15" hidden="false" customHeight="false" outlineLevel="0" collapsed="false">
      <c r="A913" s="25" t="n">
        <v>20230427</v>
      </c>
      <c r="B913" s="25" t="s">
        <v>2246</v>
      </c>
      <c r="C913" s="27" t="b">
        <f aca="false">FALSE()</f>
        <v>0</v>
      </c>
      <c r="D913" s="26" t="n">
        <v>45043</v>
      </c>
      <c r="E913" s="25" t="n">
        <v>2023</v>
      </c>
      <c r="F913" s="25" t="n">
        <v>2</v>
      </c>
      <c r="G913" s="25" t="n">
        <v>4</v>
      </c>
    </row>
    <row r="914" customFormat="false" ht="15" hidden="false" customHeight="false" outlineLevel="0" collapsed="false">
      <c r="A914" s="25" t="n">
        <v>20230428</v>
      </c>
      <c r="B914" s="25" t="s">
        <v>2246</v>
      </c>
      <c r="C914" s="27" t="b">
        <f aca="false">FALSE()</f>
        <v>0</v>
      </c>
      <c r="D914" s="26" t="n">
        <v>45044</v>
      </c>
      <c r="E914" s="25" t="n">
        <v>2023</v>
      </c>
      <c r="F914" s="25" t="n">
        <v>2</v>
      </c>
      <c r="G914" s="25" t="n">
        <v>4</v>
      </c>
    </row>
    <row r="915" customFormat="false" ht="15" hidden="false" customHeight="false" outlineLevel="0" collapsed="false">
      <c r="A915" s="25" t="n">
        <v>20230429</v>
      </c>
      <c r="B915" s="25" t="s">
        <v>2246</v>
      </c>
      <c r="C915" s="27" t="b">
        <f aca="false">TRUE()</f>
        <v>1</v>
      </c>
      <c r="D915" s="26" t="n">
        <v>45045</v>
      </c>
      <c r="E915" s="25" t="n">
        <v>2023</v>
      </c>
      <c r="F915" s="25" t="n">
        <v>2</v>
      </c>
      <c r="G915" s="25" t="n">
        <v>4</v>
      </c>
    </row>
    <row r="916" customFormat="false" ht="15" hidden="false" customHeight="false" outlineLevel="0" collapsed="false">
      <c r="A916" s="25" t="n">
        <v>20230430</v>
      </c>
      <c r="B916" s="25" t="s">
        <v>2246</v>
      </c>
      <c r="C916" s="27" t="b">
        <f aca="false">TRUE()</f>
        <v>1</v>
      </c>
      <c r="D916" s="26" t="n">
        <v>45046</v>
      </c>
      <c r="E916" s="25" t="n">
        <v>2023</v>
      </c>
      <c r="F916" s="25" t="n">
        <v>2</v>
      </c>
      <c r="G916" s="25" t="n">
        <v>4</v>
      </c>
    </row>
    <row r="917" customFormat="false" ht="15" hidden="false" customHeight="false" outlineLevel="0" collapsed="false">
      <c r="A917" s="25" t="n">
        <v>20230501</v>
      </c>
      <c r="B917" s="25" t="s">
        <v>2247</v>
      </c>
      <c r="C917" s="27" t="b">
        <f aca="false">FALSE()</f>
        <v>0</v>
      </c>
      <c r="D917" s="26" t="n">
        <v>45047</v>
      </c>
      <c r="E917" s="25" t="n">
        <v>2023</v>
      </c>
      <c r="F917" s="25" t="n">
        <v>2</v>
      </c>
      <c r="G917" s="25" t="n">
        <v>5</v>
      </c>
    </row>
    <row r="918" customFormat="false" ht="15" hidden="false" customHeight="false" outlineLevel="0" collapsed="false">
      <c r="A918" s="25" t="n">
        <v>20230502</v>
      </c>
      <c r="B918" s="25" t="s">
        <v>2247</v>
      </c>
      <c r="C918" s="27" t="b">
        <f aca="false">FALSE()</f>
        <v>0</v>
      </c>
      <c r="D918" s="26" t="n">
        <v>45048</v>
      </c>
      <c r="E918" s="25" t="n">
        <v>2023</v>
      </c>
      <c r="F918" s="25" t="n">
        <v>2</v>
      </c>
      <c r="G918" s="25" t="n">
        <v>5</v>
      </c>
    </row>
    <row r="919" customFormat="false" ht="15" hidden="false" customHeight="false" outlineLevel="0" collapsed="false">
      <c r="A919" s="25" t="n">
        <v>20230503</v>
      </c>
      <c r="B919" s="25" t="s">
        <v>2247</v>
      </c>
      <c r="C919" s="27" t="b">
        <f aca="false">FALSE()</f>
        <v>0</v>
      </c>
      <c r="D919" s="26" t="n">
        <v>45049</v>
      </c>
      <c r="E919" s="25" t="n">
        <v>2023</v>
      </c>
      <c r="F919" s="25" t="n">
        <v>2</v>
      </c>
      <c r="G919" s="25" t="n">
        <v>5</v>
      </c>
    </row>
    <row r="920" customFormat="false" ht="15" hidden="false" customHeight="false" outlineLevel="0" collapsed="false">
      <c r="A920" s="25" t="n">
        <v>20230504</v>
      </c>
      <c r="B920" s="25" t="s">
        <v>2247</v>
      </c>
      <c r="C920" s="27" t="b">
        <f aca="false">FALSE()</f>
        <v>0</v>
      </c>
      <c r="D920" s="26" t="n">
        <v>45050</v>
      </c>
      <c r="E920" s="25" t="n">
        <v>2023</v>
      </c>
      <c r="F920" s="25" t="n">
        <v>2</v>
      </c>
      <c r="G920" s="25" t="n">
        <v>5</v>
      </c>
    </row>
    <row r="921" customFormat="false" ht="15" hidden="false" customHeight="false" outlineLevel="0" collapsed="false">
      <c r="A921" s="25" t="n">
        <v>20230505</v>
      </c>
      <c r="B921" s="25" t="s">
        <v>2247</v>
      </c>
      <c r="C921" s="27" t="b">
        <f aca="false">FALSE()</f>
        <v>0</v>
      </c>
      <c r="D921" s="26" t="n">
        <v>45051</v>
      </c>
      <c r="E921" s="25" t="n">
        <v>2023</v>
      </c>
      <c r="F921" s="25" t="n">
        <v>2</v>
      </c>
      <c r="G921" s="25" t="n">
        <v>5</v>
      </c>
    </row>
    <row r="922" customFormat="false" ht="15" hidden="false" customHeight="false" outlineLevel="0" collapsed="false">
      <c r="A922" s="25" t="n">
        <v>20230506</v>
      </c>
      <c r="B922" s="25" t="s">
        <v>2247</v>
      </c>
      <c r="C922" s="27" t="b">
        <f aca="false">TRUE()</f>
        <v>1</v>
      </c>
      <c r="D922" s="26" t="n">
        <v>45052</v>
      </c>
      <c r="E922" s="25" t="n">
        <v>2023</v>
      </c>
      <c r="F922" s="25" t="n">
        <v>2</v>
      </c>
      <c r="G922" s="25" t="n">
        <v>5</v>
      </c>
    </row>
    <row r="923" customFormat="false" ht="15" hidden="false" customHeight="false" outlineLevel="0" collapsed="false">
      <c r="A923" s="25" t="n">
        <v>20230507</v>
      </c>
      <c r="B923" s="25" t="s">
        <v>2247</v>
      </c>
      <c r="C923" s="27" t="b">
        <f aca="false">TRUE()</f>
        <v>1</v>
      </c>
      <c r="D923" s="26" t="n">
        <v>45053</v>
      </c>
      <c r="E923" s="25" t="n">
        <v>2023</v>
      </c>
      <c r="F923" s="25" t="n">
        <v>2</v>
      </c>
      <c r="G923" s="25" t="n">
        <v>5</v>
      </c>
    </row>
    <row r="924" customFormat="false" ht="15" hidden="false" customHeight="false" outlineLevel="0" collapsed="false">
      <c r="A924" s="25" t="n">
        <v>20230508</v>
      </c>
      <c r="B924" s="25" t="s">
        <v>2247</v>
      </c>
      <c r="C924" s="27" t="b">
        <f aca="false">FALSE()</f>
        <v>0</v>
      </c>
      <c r="D924" s="26" t="n">
        <v>45054</v>
      </c>
      <c r="E924" s="25" t="n">
        <v>2023</v>
      </c>
      <c r="F924" s="25" t="n">
        <v>2</v>
      </c>
      <c r="G924" s="25" t="n">
        <v>5</v>
      </c>
    </row>
    <row r="925" customFormat="false" ht="15" hidden="false" customHeight="false" outlineLevel="0" collapsed="false">
      <c r="A925" s="25" t="n">
        <v>20230509</v>
      </c>
      <c r="B925" s="25" t="s">
        <v>2247</v>
      </c>
      <c r="C925" s="27" t="b">
        <f aca="false">FALSE()</f>
        <v>0</v>
      </c>
      <c r="D925" s="26" t="n">
        <v>45055</v>
      </c>
      <c r="E925" s="25" t="n">
        <v>2023</v>
      </c>
      <c r="F925" s="25" t="n">
        <v>2</v>
      </c>
      <c r="G925" s="25" t="n">
        <v>5</v>
      </c>
    </row>
    <row r="926" customFormat="false" ht="15" hidden="false" customHeight="false" outlineLevel="0" collapsed="false">
      <c r="A926" s="25" t="n">
        <v>20230510</v>
      </c>
      <c r="B926" s="25" t="s">
        <v>2247</v>
      </c>
      <c r="C926" s="27" t="b">
        <f aca="false">FALSE()</f>
        <v>0</v>
      </c>
      <c r="D926" s="26" t="n">
        <v>45056</v>
      </c>
      <c r="E926" s="25" t="n">
        <v>2023</v>
      </c>
      <c r="F926" s="25" t="n">
        <v>2</v>
      </c>
      <c r="G926" s="25" t="n">
        <v>5</v>
      </c>
    </row>
    <row r="927" customFormat="false" ht="15" hidden="false" customHeight="false" outlineLevel="0" collapsed="false">
      <c r="A927" s="25" t="n">
        <v>20230511</v>
      </c>
      <c r="B927" s="25" t="s">
        <v>2247</v>
      </c>
      <c r="C927" s="27" t="b">
        <f aca="false">FALSE()</f>
        <v>0</v>
      </c>
      <c r="D927" s="26" t="n">
        <v>45057</v>
      </c>
      <c r="E927" s="25" t="n">
        <v>2023</v>
      </c>
      <c r="F927" s="25" t="n">
        <v>2</v>
      </c>
      <c r="G927" s="25" t="n">
        <v>5</v>
      </c>
    </row>
    <row r="928" customFormat="false" ht="15" hidden="false" customHeight="false" outlineLevel="0" collapsed="false">
      <c r="A928" s="25" t="n">
        <v>20230512</v>
      </c>
      <c r="B928" s="25" t="s">
        <v>2247</v>
      </c>
      <c r="C928" s="27" t="b">
        <f aca="false">FALSE()</f>
        <v>0</v>
      </c>
      <c r="D928" s="26" t="n">
        <v>45058</v>
      </c>
      <c r="E928" s="25" t="n">
        <v>2023</v>
      </c>
      <c r="F928" s="25" t="n">
        <v>2</v>
      </c>
      <c r="G928" s="25" t="n">
        <v>5</v>
      </c>
    </row>
    <row r="929" customFormat="false" ht="15" hidden="false" customHeight="false" outlineLevel="0" collapsed="false">
      <c r="A929" s="25" t="n">
        <v>20230513</v>
      </c>
      <c r="B929" s="25" t="s">
        <v>2247</v>
      </c>
      <c r="C929" s="27" t="b">
        <f aca="false">TRUE()</f>
        <v>1</v>
      </c>
      <c r="D929" s="26" t="n">
        <v>45059</v>
      </c>
      <c r="E929" s="25" t="n">
        <v>2023</v>
      </c>
      <c r="F929" s="25" t="n">
        <v>2</v>
      </c>
      <c r="G929" s="25" t="n">
        <v>5</v>
      </c>
    </row>
    <row r="930" customFormat="false" ht="15" hidden="false" customHeight="false" outlineLevel="0" collapsed="false">
      <c r="A930" s="25" t="n">
        <v>20230514</v>
      </c>
      <c r="B930" s="25" t="s">
        <v>2247</v>
      </c>
      <c r="C930" s="27" t="b">
        <f aca="false">TRUE()</f>
        <v>1</v>
      </c>
      <c r="D930" s="26" t="n">
        <v>45060</v>
      </c>
      <c r="E930" s="25" t="n">
        <v>2023</v>
      </c>
      <c r="F930" s="25" t="n">
        <v>2</v>
      </c>
      <c r="G930" s="25" t="n">
        <v>5</v>
      </c>
    </row>
    <row r="931" customFormat="false" ht="15" hidden="false" customHeight="false" outlineLevel="0" collapsed="false">
      <c r="A931" s="25" t="n">
        <v>20230515</v>
      </c>
      <c r="B931" s="25" t="s">
        <v>2247</v>
      </c>
      <c r="C931" s="27" t="b">
        <f aca="false">FALSE()</f>
        <v>0</v>
      </c>
      <c r="D931" s="26" t="n">
        <v>45061</v>
      </c>
      <c r="E931" s="25" t="n">
        <v>2023</v>
      </c>
      <c r="F931" s="25" t="n">
        <v>2</v>
      </c>
      <c r="G931" s="25" t="n">
        <v>5</v>
      </c>
    </row>
    <row r="932" customFormat="false" ht="15" hidden="false" customHeight="false" outlineLevel="0" collapsed="false">
      <c r="A932" s="25" t="n">
        <v>20230516</v>
      </c>
      <c r="B932" s="25" t="s">
        <v>2247</v>
      </c>
      <c r="C932" s="27" t="b">
        <f aca="false">FALSE()</f>
        <v>0</v>
      </c>
      <c r="D932" s="26" t="n">
        <v>45062</v>
      </c>
      <c r="E932" s="25" t="n">
        <v>2023</v>
      </c>
      <c r="F932" s="25" t="n">
        <v>2</v>
      </c>
      <c r="G932" s="25" t="n">
        <v>5</v>
      </c>
    </row>
    <row r="933" customFormat="false" ht="15" hidden="false" customHeight="false" outlineLevel="0" collapsed="false">
      <c r="A933" s="25" t="n">
        <v>20230517</v>
      </c>
      <c r="B933" s="25" t="s">
        <v>2247</v>
      </c>
      <c r="C933" s="27" t="b">
        <f aca="false">FALSE()</f>
        <v>0</v>
      </c>
      <c r="D933" s="26" t="n">
        <v>45063</v>
      </c>
      <c r="E933" s="25" t="n">
        <v>2023</v>
      </c>
      <c r="F933" s="25" t="n">
        <v>2</v>
      </c>
      <c r="G933" s="25" t="n">
        <v>5</v>
      </c>
    </row>
    <row r="934" customFormat="false" ht="15" hidden="false" customHeight="false" outlineLevel="0" collapsed="false">
      <c r="A934" s="25" t="n">
        <v>20230518</v>
      </c>
      <c r="B934" s="25" t="s">
        <v>2247</v>
      </c>
      <c r="C934" s="27" t="b">
        <f aca="false">FALSE()</f>
        <v>0</v>
      </c>
      <c r="D934" s="26" t="n">
        <v>45064</v>
      </c>
      <c r="E934" s="25" t="n">
        <v>2023</v>
      </c>
      <c r="F934" s="25" t="n">
        <v>2</v>
      </c>
      <c r="G934" s="25" t="n">
        <v>5</v>
      </c>
    </row>
    <row r="935" customFormat="false" ht="15" hidden="false" customHeight="false" outlineLevel="0" collapsed="false">
      <c r="A935" s="25" t="n">
        <v>20230519</v>
      </c>
      <c r="B935" s="25" t="s">
        <v>2247</v>
      </c>
      <c r="C935" s="27" t="b">
        <f aca="false">FALSE()</f>
        <v>0</v>
      </c>
      <c r="D935" s="26" t="n">
        <v>45065</v>
      </c>
      <c r="E935" s="25" t="n">
        <v>2023</v>
      </c>
      <c r="F935" s="25" t="n">
        <v>2</v>
      </c>
      <c r="G935" s="25" t="n">
        <v>5</v>
      </c>
    </row>
    <row r="936" customFormat="false" ht="15" hidden="false" customHeight="false" outlineLevel="0" collapsed="false">
      <c r="A936" s="25" t="n">
        <v>20230520</v>
      </c>
      <c r="B936" s="25" t="s">
        <v>2247</v>
      </c>
      <c r="C936" s="27" t="b">
        <f aca="false">TRUE()</f>
        <v>1</v>
      </c>
      <c r="D936" s="26" t="n">
        <v>45066</v>
      </c>
      <c r="E936" s="25" t="n">
        <v>2023</v>
      </c>
      <c r="F936" s="25" t="n">
        <v>2</v>
      </c>
      <c r="G936" s="25" t="n">
        <v>5</v>
      </c>
    </row>
    <row r="937" customFormat="false" ht="15" hidden="false" customHeight="false" outlineLevel="0" collapsed="false">
      <c r="A937" s="25" t="n">
        <v>20230521</v>
      </c>
      <c r="B937" s="25" t="s">
        <v>2247</v>
      </c>
      <c r="C937" s="27" t="b">
        <f aca="false">TRUE()</f>
        <v>1</v>
      </c>
      <c r="D937" s="26" t="n">
        <v>45067</v>
      </c>
      <c r="E937" s="25" t="n">
        <v>2023</v>
      </c>
      <c r="F937" s="25" t="n">
        <v>2</v>
      </c>
      <c r="G937" s="25" t="n">
        <v>5</v>
      </c>
    </row>
    <row r="938" customFormat="false" ht="15" hidden="false" customHeight="false" outlineLevel="0" collapsed="false">
      <c r="A938" s="25" t="n">
        <v>20230522</v>
      </c>
      <c r="B938" s="25" t="s">
        <v>2247</v>
      </c>
      <c r="C938" s="27" t="b">
        <f aca="false">FALSE()</f>
        <v>0</v>
      </c>
      <c r="D938" s="26" t="n">
        <v>45068</v>
      </c>
      <c r="E938" s="25" t="n">
        <v>2023</v>
      </c>
      <c r="F938" s="25" t="n">
        <v>2</v>
      </c>
      <c r="G938" s="25" t="n">
        <v>5</v>
      </c>
    </row>
    <row r="939" customFormat="false" ht="15" hidden="false" customHeight="false" outlineLevel="0" collapsed="false">
      <c r="A939" s="25" t="n">
        <v>20230523</v>
      </c>
      <c r="B939" s="25" t="s">
        <v>2247</v>
      </c>
      <c r="C939" s="27" t="b">
        <f aca="false">FALSE()</f>
        <v>0</v>
      </c>
      <c r="D939" s="26" t="n">
        <v>45069</v>
      </c>
      <c r="E939" s="25" t="n">
        <v>2023</v>
      </c>
      <c r="F939" s="25" t="n">
        <v>2</v>
      </c>
      <c r="G939" s="25" t="n">
        <v>5</v>
      </c>
    </row>
    <row r="940" customFormat="false" ht="15" hidden="false" customHeight="false" outlineLevel="0" collapsed="false">
      <c r="A940" s="25" t="n">
        <v>20230524</v>
      </c>
      <c r="B940" s="25" t="s">
        <v>2247</v>
      </c>
      <c r="C940" s="27" t="b">
        <f aca="false">FALSE()</f>
        <v>0</v>
      </c>
      <c r="D940" s="26" t="n">
        <v>45070</v>
      </c>
      <c r="E940" s="25" t="n">
        <v>2023</v>
      </c>
      <c r="F940" s="25" t="n">
        <v>2</v>
      </c>
      <c r="G940" s="25" t="n">
        <v>5</v>
      </c>
    </row>
    <row r="941" customFormat="false" ht="15" hidden="false" customHeight="false" outlineLevel="0" collapsed="false">
      <c r="A941" s="25" t="n">
        <v>20230525</v>
      </c>
      <c r="B941" s="25" t="s">
        <v>2247</v>
      </c>
      <c r="C941" s="27" t="b">
        <f aca="false">FALSE()</f>
        <v>0</v>
      </c>
      <c r="D941" s="26" t="n">
        <v>45071</v>
      </c>
      <c r="E941" s="25" t="n">
        <v>2023</v>
      </c>
      <c r="F941" s="25" t="n">
        <v>2</v>
      </c>
      <c r="G941" s="25" t="n">
        <v>5</v>
      </c>
    </row>
    <row r="942" customFormat="false" ht="15" hidden="false" customHeight="false" outlineLevel="0" collapsed="false">
      <c r="A942" s="25" t="n">
        <v>20230526</v>
      </c>
      <c r="B942" s="25" t="s">
        <v>2247</v>
      </c>
      <c r="C942" s="27" t="b">
        <f aca="false">FALSE()</f>
        <v>0</v>
      </c>
      <c r="D942" s="26" t="n">
        <v>45072</v>
      </c>
      <c r="E942" s="25" t="n">
        <v>2023</v>
      </c>
      <c r="F942" s="25" t="n">
        <v>2</v>
      </c>
      <c r="G942" s="25" t="n">
        <v>5</v>
      </c>
    </row>
    <row r="943" customFormat="false" ht="15" hidden="false" customHeight="false" outlineLevel="0" collapsed="false">
      <c r="A943" s="25" t="n">
        <v>20230527</v>
      </c>
      <c r="B943" s="25" t="s">
        <v>2247</v>
      </c>
      <c r="C943" s="27" t="b">
        <f aca="false">TRUE()</f>
        <v>1</v>
      </c>
      <c r="D943" s="26" t="n">
        <v>45073</v>
      </c>
      <c r="E943" s="25" t="n">
        <v>2023</v>
      </c>
      <c r="F943" s="25" t="n">
        <v>2</v>
      </c>
      <c r="G943" s="25" t="n">
        <v>5</v>
      </c>
    </row>
    <row r="944" customFormat="false" ht="15" hidden="false" customHeight="false" outlineLevel="0" collapsed="false">
      <c r="A944" s="25" t="n">
        <v>20230528</v>
      </c>
      <c r="B944" s="25" t="s">
        <v>2247</v>
      </c>
      <c r="C944" s="27" t="b">
        <f aca="false">TRUE()</f>
        <v>1</v>
      </c>
      <c r="D944" s="26" t="n">
        <v>45074</v>
      </c>
      <c r="E944" s="25" t="n">
        <v>2023</v>
      </c>
      <c r="F944" s="25" t="n">
        <v>2</v>
      </c>
      <c r="G944" s="25" t="n">
        <v>5</v>
      </c>
    </row>
    <row r="945" customFormat="false" ht="15" hidden="false" customHeight="false" outlineLevel="0" collapsed="false">
      <c r="A945" s="25" t="n">
        <v>20230529</v>
      </c>
      <c r="B945" s="25" t="s">
        <v>2247</v>
      </c>
      <c r="C945" s="27" t="b">
        <f aca="false">FALSE()</f>
        <v>0</v>
      </c>
      <c r="D945" s="26" t="n">
        <v>45075</v>
      </c>
      <c r="E945" s="25" t="n">
        <v>2023</v>
      </c>
      <c r="F945" s="25" t="n">
        <v>2</v>
      </c>
      <c r="G945" s="25" t="n">
        <v>5</v>
      </c>
    </row>
    <row r="946" customFormat="false" ht="15" hidden="false" customHeight="false" outlineLevel="0" collapsed="false">
      <c r="A946" s="25" t="n">
        <v>20230530</v>
      </c>
      <c r="B946" s="25" t="s">
        <v>2247</v>
      </c>
      <c r="C946" s="27" t="b">
        <f aca="false">FALSE()</f>
        <v>0</v>
      </c>
      <c r="D946" s="26" t="n">
        <v>45076</v>
      </c>
      <c r="E946" s="25" t="n">
        <v>2023</v>
      </c>
      <c r="F946" s="25" t="n">
        <v>2</v>
      </c>
      <c r="G946" s="25" t="n">
        <v>5</v>
      </c>
    </row>
    <row r="947" customFormat="false" ht="15" hidden="false" customHeight="false" outlineLevel="0" collapsed="false">
      <c r="A947" s="25" t="n">
        <v>20230531</v>
      </c>
      <c r="B947" s="25" t="s">
        <v>2247</v>
      </c>
      <c r="C947" s="27" t="b">
        <f aca="false">FALSE()</f>
        <v>0</v>
      </c>
      <c r="D947" s="26" t="n">
        <v>45077</v>
      </c>
      <c r="E947" s="25" t="n">
        <v>2023</v>
      </c>
      <c r="F947" s="25" t="n">
        <v>2</v>
      </c>
      <c r="G947" s="25" t="n">
        <v>5</v>
      </c>
    </row>
    <row r="948" customFormat="false" ht="15" hidden="false" customHeight="false" outlineLevel="0" collapsed="false">
      <c r="A948" s="25" t="n">
        <v>20230601</v>
      </c>
      <c r="B948" s="25" t="s">
        <v>2248</v>
      </c>
      <c r="C948" s="27" t="b">
        <f aca="false">FALSE()</f>
        <v>0</v>
      </c>
      <c r="D948" s="26" t="n">
        <v>45078</v>
      </c>
      <c r="E948" s="25" t="n">
        <v>2023</v>
      </c>
      <c r="F948" s="25" t="n">
        <v>2</v>
      </c>
      <c r="G948" s="25" t="n">
        <v>6</v>
      </c>
    </row>
    <row r="949" customFormat="false" ht="15" hidden="false" customHeight="false" outlineLevel="0" collapsed="false">
      <c r="A949" s="25" t="n">
        <v>20230602</v>
      </c>
      <c r="B949" s="25" t="s">
        <v>2248</v>
      </c>
      <c r="C949" s="27" t="b">
        <f aca="false">FALSE()</f>
        <v>0</v>
      </c>
      <c r="D949" s="26" t="n">
        <v>45079</v>
      </c>
      <c r="E949" s="25" t="n">
        <v>2023</v>
      </c>
      <c r="F949" s="25" t="n">
        <v>2</v>
      </c>
      <c r="G949" s="25" t="n">
        <v>6</v>
      </c>
    </row>
    <row r="950" customFormat="false" ht="15" hidden="false" customHeight="false" outlineLevel="0" collapsed="false">
      <c r="A950" s="25" t="n">
        <v>20230603</v>
      </c>
      <c r="B950" s="25" t="s">
        <v>2248</v>
      </c>
      <c r="C950" s="27" t="b">
        <f aca="false">TRUE()</f>
        <v>1</v>
      </c>
      <c r="D950" s="26" t="n">
        <v>45080</v>
      </c>
      <c r="E950" s="25" t="n">
        <v>2023</v>
      </c>
      <c r="F950" s="25" t="n">
        <v>2</v>
      </c>
      <c r="G950" s="25" t="n">
        <v>6</v>
      </c>
    </row>
    <row r="951" customFormat="false" ht="15" hidden="false" customHeight="false" outlineLevel="0" collapsed="false">
      <c r="A951" s="25" t="n">
        <v>20230604</v>
      </c>
      <c r="B951" s="25" t="s">
        <v>2248</v>
      </c>
      <c r="C951" s="27" t="b">
        <f aca="false">TRUE()</f>
        <v>1</v>
      </c>
      <c r="D951" s="26" t="n">
        <v>45081</v>
      </c>
      <c r="E951" s="25" t="n">
        <v>2023</v>
      </c>
      <c r="F951" s="25" t="n">
        <v>2</v>
      </c>
      <c r="G951" s="25" t="n">
        <v>6</v>
      </c>
    </row>
    <row r="952" customFormat="false" ht="15" hidden="false" customHeight="false" outlineLevel="0" collapsed="false">
      <c r="A952" s="25" t="n">
        <v>20230605</v>
      </c>
      <c r="B952" s="25" t="s">
        <v>2248</v>
      </c>
      <c r="C952" s="27" t="b">
        <f aca="false">FALSE()</f>
        <v>0</v>
      </c>
      <c r="D952" s="26" t="n">
        <v>45082</v>
      </c>
      <c r="E952" s="25" t="n">
        <v>2023</v>
      </c>
      <c r="F952" s="25" t="n">
        <v>2</v>
      </c>
      <c r="G952" s="25" t="n">
        <v>6</v>
      </c>
    </row>
    <row r="953" customFormat="false" ht="15" hidden="false" customHeight="false" outlineLevel="0" collapsed="false">
      <c r="A953" s="25" t="n">
        <v>20230606</v>
      </c>
      <c r="B953" s="25" t="s">
        <v>2248</v>
      </c>
      <c r="C953" s="27" t="b">
        <f aca="false">FALSE()</f>
        <v>0</v>
      </c>
      <c r="D953" s="26" t="n">
        <v>45083</v>
      </c>
      <c r="E953" s="25" t="n">
        <v>2023</v>
      </c>
      <c r="F953" s="25" t="n">
        <v>2</v>
      </c>
      <c r="G953" s="25" t="n">
        <v>6</v>
      </c>
    </row>
    <row r="954" customFormat="false" ht="15" hidden="false" customHeight="false" outlineLevel="0" collapsed="false">
      <c r="A954" s="25" t="n">
        <v>20230607</v>
      </c>
      <c r="B954" s="25" t="s">
        <v>2248</v>
      </c>
      <c r="C954" s="27" t="b">
        <f aca="false">FALSE()</f>
        <v>0</v>
      </c>
      <c r="D954" s="26" t="n">
        <v>45084</v>
      </c>
      <c r="E954" s="25" t="n">
        <v>2023</v>
      </c>
      <c r="F954" s="25" t="n">
        <v>2</v>
      </c>
      <c r="G954" s="25" t="n">
        <v>6</v>
      </c>
    </row>
    <row r="955" customFormat="false" ht="15" hidden="false" customHeight="false" outlineLevel="0" collapsed="false">
      <c r="A955" s="25" t="n">
        <v>20230608</v>
      </c>
      <c r="B955" s="25" t="s">
        <v>2248</v>
      </c>
      <c r="C955" s="27" t="b">
        <f aca="false">FALSE()</f>
        <v>0</v>
      </c>
      <c r="D955" s="26" t="n">
        <v>45085</v>
      </c>
      <c r="E955" s="25" t="n">
        <v>2023</v>
      </c>
      <c r="F955" s="25" t="n">
        <v>2</v>
      </c>
      <c r="G955" s="25" t="n">
        <v>6</v>
      </c>
    </row>
    <row r="956" customFormat="false" ht="15" hidden="false" customHeight="false" outlineLevel="0" collapsed="false">
      <c r="A956" s="25" t="n">
        <v>20230609</v>
      </c>
      <c r="B956" s="25" t="s">
        <v>2248</v>
      </c>
      <c r="C956" s="27" t="b">
        <f aca="false">FALSE()</f>
        <v>0</v>
      </c>
      <c r="D956" s="26" t="n">
        <v>45086</v>
      </c>
      <c r="E956" s="25" t="n">
        <v>2023</v>
      </c>
      <c r="F956" s="25" t="n">
        <v>2</v>
      </c>
      <c r="G956" s="25" t="n">
        <v>6</v>
      </c>
    </row>
    <row r="957" customFormat="false" ht="15" hidden="false" customHeight="false" outlineLevel="0" collapsed="false">
      <c r="A957" s="25" t="n">
        <v>20230610</v>
      </c>
      <c r="B957" s="25" t="s">
        <v>2248</v>
      </c>
      <c r="C957" s="27" t="b">
        <f aca="false">TRUE()</f>
        <v>1</v>
      </c>
      <c r="D957" s="26" t="n">
        <v>45087</v>
      </c>
      <c r="E957" s="25" t="n">
        <v>2023</v>
      </c>
      <c r="F957" s="25" t="n">
        <v>2</v>
      </c>
      <c r="G957" s="25" t="n">
        <v>6</v>
      </c>
    </row>
    <row r="958" customFormat="false" ht="15" hidden="false" customHeight="false" outlineLevel="0" collapsed="false">
      <c r="A958" s="25" t="n">
        <v>20230611</v>
      </c>
      <c r="B958" s="25" t="s">
        <v>2248</v>
      </c>
      <c r="C958" s="27" t="b">
        <f aca="false">TRUE()</f>
        <v>1</v>
      </c>
      <c r="D958" s="26" t="n">
        <v>45088</v>
      </c>
      <c r="E958" s="25" t="n">
        <v>2023</v>
      </c>
      <c r="F958" s="25" t="n">
        <v>2</v>
      </c>
      <c r="G958" s="25" t="n">
        <v>6</v>
      </c>
    </row>
    <row r="959" customFormat="false" ht="15" hidden="false" customHeight="false" outlineLevel="0" collapsed="false">
      <c r="A959" s="25" t="n">
        <v>20230612</v>
      </c>
      <c r="B959" s="25" t="s">
        <v>2248</v>
      </c>
      <c r="C959" s="27" t="b">
        <f aca="false">FALSE()</f>
        <v>0</v>
      </c>
      <c r="D959" s="26" t="n">
        <v>45089</v>
      </c>
      <c r="E959" s="25" t="n">
        <v>2023</v>
      </c>
      <c r="F959" s="25" t="n">
        <v>2</v>
      </c>
      <c r="G959" s="25" t="n">
        <v>6</v>
      </c>
    </row>
    <row r="960" customFormat="false" ht="15" hidden="false" customHeight="false" outlineLevel="0" collapsed="false">
      <c r="A960" s="25" t="n">
        <v>20230613</v>
      </c>
      <c r="B960" s="25" t="s">
        <v>2248</v>
      </c>
      <c r="C960" s="27" t="b">
        <f aca="false">FALSE()</f>
        <v>0</v>
      </c>
      <c r="D960" s="26" t="n">
        <v>45090</v>
      </c>
      <c r="E960" s="25" t="n">
        <v>2023</v>
      </c>
      <c r="F960" s="25" t="n">
        <v>2</v>
      </c>
      <c r="G960" s="25" t="n">
        <v>6</v>
      </c>
    </row>
    <row r="961" customFormat="false" ht="15" hidden="false" customHeight="false" outlineLevel="0" collapsed="false">
      <c r="A961" s="25" t="n">
        <v>20230614</v>
      </c>
      <c r="B961" s="25" t="s">
        <v>2248</v>
      </c>
      <c r="C961" s="27" t="b">
        <f aca="false">FALSE()</f>
        <v>0</v>
      </c>
      <c r="D961" s="26" t="n">
        <v>45091</v>
      </c>
      <c r="E961" s="25" t="n">
        <v>2023</v>
      </c>
      <c r="F961" s="25" t="n">
        <v>2</v>
      </c>
      <c r="G961" s="25" t="n">
        <v>6</v>
      </c>
    </row>
    <row r="962" customFormat="false" ht="15" hidden="false" customHeight="false" outlineLevel="0" collapsed="false">
      <c r="A962" s="25" t="n">
        <v>20230615</v>
      </c>
      <c r="B962" s="25" t="s">
        <v>2248</v>
      </c>
      <c r="C962" s="27" t="b">
        <f aca="false">FALSE()</f>
        <v>0</v>
      </c>
      <c r="D962" s="26" t="n">
        <v>45092</v>
      </c>
      <c r="E962" s="25" t="n">
        <v>2023</v>
      </c>
      <c r="F962" s="25" t="n">
        <v>2</v>
      </c>
      <c r="G962" s="25" t="n">
        <v>6</v>
      </c>
    </row>
    <row r="963" customFormat="false" ht="15" hidden="false" customHeight="false" outlineLevel="0" collapsed="false">
      <c r="A963" s="25" t="n">
        <v>20230616</v>
      </c>
      <c r="B963" s="25" t="s">
        <v>2248</v>
      </c>
      <c r="C963" s="27" t="b">
        <f aca="false">FALSE()</f>
        <v>0</v>
      </c>
      <c r="D963" s="26" t="n">
        <v>45093</v>
      </c>
      <c r="E963" s="25" t="n">
        <v>2023</v>
      </c>
      <c r="F963" s="25" t="n">
        <v>2</v>
      </c>
      <c r="G963" s="25" t="n">
        <v>6</v>
      </c>
    </row>
    <row r="964" customFormat="false" ht="15" hidden="false" customHeight="false" outlineLevel="0" collapsed="false">
      <c r="A964" s="25" t="n">
        <v>20230617</v>
      </c>
      <c r="B964" s="25" t="s">
        <v>2248</v>
      </c>
      <c r="C964" s="27" t="b">
        <f aca="false">TRUE()</f>
        <v>1</v>
      </c>
      <c r="D964" s="26" t="n">
        <v>45094</v>
      </c>
      <c r="E964" s="25" t="n">
        <v>2023</v>
      </c>
      <c r="F964" s="25" t="n">
        <v>2</v>
      </c>
      <c r="G964" s="25" t="n">
        <v>6</v>
      </c>
    </row>
    <row r="965" customFormat="false" ht="15" hidden="false" customHeight="false" outlineLevel="0" collapsed="false">
      <c r="A965" s="25" t="n">
        <v>20230618</v>
      </c>
      <c r="B965" s="25" t="s">
        <v>2248</v>
      </c>
      <c r="C965" s="27" t="b">
        <f aca="false">TRUE()</f>
        <v>1</v>
      </c>
      <c r="D965" s="26" t="n">
        <v>45095</v>
      </c>
      <c r="E965" s="25" t="n">
        <v>2023</v>
      </c>
      <c r="F965" s="25" t="n">
        <v>2</v>
      </c>
      <c r="G965" s="25" t="n">
        <v>6</v>
      </c>
    </row>
    <row r="966" customFormat="false" ht="15" hidden="false" customHeight="false" outlineLevel="0" collapsed="false">
      <c r="A966" s="25" t="n">
        <v>20230619</v>
      </c>
      <c r="B966" s="25" t="s">
        <v>2248</v>
      </c>
      <c r="C966" s="27" t="b">
        <f aca="false">FALSE()</f>
        <v>0</v>
      </c>
      <c r="D966" s="26" t="n">
        <v>45096</v>
      </c>
      <c r="E966" s="25" t="n">
        <v>2023</v>
      </c>
      <c r="F966" s="25" t="n">
        <v>2</v>
      </c>
      <c r="G966" s="25" t="n">
        <v>6</v>
      </c>
    </row>
    <row r="967" customFormat="false" ht="15" hidden="false" customHeight="false" outlineLevel="0" collapsed="false">
      <c r="A967" s="25" t="n">
        <v>20230620</v>
      </c>
      <c r="B967" s="25" t="s">
        <v>2248</v>
      </c>
      <c r="C967" s="27" t="b">
        <f aca="false">FALSE()</f>
        <v>0</v>
      </c>
      <c r="D967" s="26" t="n">
        <v>45097</v>
      </c>
      <c r="E967" s="25" t="n">
        <v>2023</v>
      </c>
      <c r="F967" s="25" t="n">
        <v>2</v>
      </c>
      <c r="G967" s="25" t="n">
        <v>6</v>
      </c>
    </row>
    <row r="968" customFormat="false" ht="15" hidden="false" customHeight="false" outlineLevel="0" collapsed="false">
      <c r="A968" s="25" t="n">
        <v>20230621</v>
      </c>
      <c r="B968" s="25" t="s">
        <v>2248</v>
      </c>
      <c r="C968" s="27" t="b">
        <f aca="false">FALSE()</f>
        <v>0</v>
      </c>
      <c r="D968" s="26" t="n">
        <v>45098</v>
      </c>
      <c r="E968" s="25" t="n">
        <v>2023</v>
      </c>
      <c r="F968" s="25" t="n">
        <v>2</v>
      </c>
      <c r="G968" s="25" t="n">
        <v>6</v>
      </c>
    </row>
    <row r="969" customFormat="false" ht="15" hidden="false" customHeight="false" outlineLevel="0" collapsed="false">
      <c r="A969" s="25" t="n">
        <v>20230622</v>
      </c>
      <c r="B969" s="25" t="s">
        <v>2248</v>
      </c>
      <c r="C969" s="27" t="b">
        <f aca="false">FALSE()</f>
        <v>0</v>
      </c>
      <c r="D969" s="26" t="n">
        <v>45099</v>
      </c>
      <c r="E969" s="25" t="n">
        <v>2023</v>
      </c>
      <c r="F969" s="25" t="n">
        <v>2</v>
      </c>
      <c r="G969" s="25" t="n">
        <v>6</v>
      </c>
    </row>
    <row r="970" customFormat="false" ht="15" hidden="false" customHeight="false" outlineLevel="0" collapsed="false">
      <c r="A970" s="25" t="n">
        <v>20230623</v>
      </c>
      <c r="B970" s="25" t="s">
        <v>2248</v>
      </c>
      <c r="C970" s="27" t="b">
        <f aca="false">FALSE()</f>
        <v>0</v>
      </c>
      <c r="D970" s="26" t="n">
        <v>45100</v>
      </c>
      <c r="E970" s="25" t="n">
        <v>2023</v>
      </c>
      <c r="F970" s="25" t="n">
        <v>2</v>
      </c>
      <c r="G970" s="25" t="n">
        <v>6</v>
      </c>
    </row>
    <row r="971" customFormat="false" ht="15" hidden="false" customHeight="false" outlineLevel="0" collapsed="false">
      <c r="A971" s="25" t="n">
        <v>20230624</v>
      </c>
      <c r="B971" s="25" t="s">
        <v>2248</v>
      </c>
      <c r="C971" s="27" t="b">
        <f aca="false">TRUE()</f>
        <v>1</v>
      </c>
      <c r="D971" s="26" t="n">
        <v>45101</v>
      </c>
      <c r="E971" s="25" t="n">
        <v>2023</v>
      </c>
      <c r="F971" s="25" t="n">
        <v>2</v>
      </c>
      <c r="G971" s="25" t="n">
        <v>6</v>
      </c>
    </row>
    <row r="972" customFormat="false" ht="15" hidden="false" customHeight="false" outlineLevel="0" collapsed="false">
      <c r="A972" s="25" t="n">
        <v>20230625</v>
      </c>
      <c r="B972" s="25" t="s">
        <v>2248</v>
      </c>
      <c r="C972" s="27" t="b">
        <f aca="false">TRUE()</f>
        <v>1</v>
      </c>
      <c r="D972" s="26" t="n">
        <v>45102</v>
      </c>
      <c r="E972" s="25" t="n">
        <v>2023</v>
      </c>
      <c r="F972" s="25" t="n">
        <v>2</v>
      </c>
      <c r="G972" s="25" t="n">
        <v>6</v>
      </c>
    </row>
    <row r="973" customFormat="false" ht="15" hidden="false" customHeight="false" outlineLevel="0" collapsed="false">
      <c r="A973" s="25" t="n">
        <v>20230626</v>
      </c>
      <c r="B973" s="25" t="s">
        <v>2248</v>
      </c>
      <c r="C973" s="27" t="b">
        <f aca="false">FALSE()</f>
        <v>0</v>
      </c>
      <c r="D973" s="26" t="n">
        <v>45103</v>
      </c>
      <c r="E973" s="25" t="n">
        <v>2023</v>
      </c>
      <c r="F973" s="25" t="n">
        <v>2</v>
      </c>
      <c r="G973" s="25" t="n">
        <v>6</v>
      </c>
    </row>
    <row r="974" customFormat="false" ht="15" hidden="false" customHeight="false" outlineLevel="0" collapsed="false">
      <c r="A974" s="25" t="n">
        <v>20230627</v>
      </c>
      <c r="B974" s="25" t="s">
        <v>2248</v>
      </c>
      <c r="C974" s="27" t="b">
        <f aca="false">FALSE()</f>
        <v>0</v>
      </c>
      <c r="D974" s="26" t="n">
        <v>45104</v>
      </c>
      <c r="E974" s="25" t="n">
        <v>2023</v>
      </c>
      <c r="F974" s="25" t="n">
        <v>2</v>
      </c>
      <c r="G974" s="25" t="n">
        <v>6</v>
      </c>
    </row>
    <row r="975" customFormat="false" ht="15" hidden="false" customHeight="false" outlineLevel="0" collapsed="false">
      <c r="A975" s="25" t="n">
        <v>20230628</v>
      </c>
      <c r="B975" s="25" t="s">
        <v>2248</v>
      </c>
      <c r="C975" s="27" t="b">
        <f aca="false">FALSE()</f>
        <v>0</v>
      </c>
      <c r="D975" s="26" t="n">
        <v>45105</v>
      </c>
      <c r="E975" s="25" t="n">
        <v>2023</v>
      </c>
      <c r="F975" s="25" t="n">
        <v>2</v>
      </c>
      <c r="G975" s="25" t="n">
        <v>6</v>
      </c>
    </row>
    <row r="976" customFormat="false" ht="15" hidden="false" customHeight="false" outlineLevel="0" collapsed="false">
      <c r="A976" s="25" t="n">
        <v>20230629</v>
      </c>
      <c r="B976" s="25" t="s">
        <v>2248</v>
      </c>
      <c r="C976" s="27" t="b">
        <f aca="false">FALSE()</f>
        <v>0</v>
      </c>
      <c r="D976" s="26" t="n">
        <v>45106</v>
      </c>
      <c r="E976" s="25" t="n">
        <v>2023</v>
      </c>
      <c r="F976" s="25" t="n">
        <v>2</v>
      </c>
      <c r="G976" s="25" t="n">
        <v>6</v>
      </c>
    </row>
    <row r="977" customFormat="false" ht="15" hidden="false" customHeight="false" outlineLevel="0" collapsed="false">
      <c r="A977" s="25" t="n">
        <v>20230630</v>
      </c>
      <c r="B977" s="25" t="s">
        <v>2248</v>
      </c>
      <c r="C977" s="27" t="b">
        <f aca="false">FALSE()</f>
        <v>0</v>
      </c>
      <c r="D977" s="26" t="n">
        <v>45107</v>
      </c>
      <c r="E977" s="25" t="n">
        <v>2023</v>
      </c>
      <c r="F977" s="25" t="n">
        <v>2</v>
      </c>
      <c r="G977" s="25" t="n">
        <v>6</v>
      </c>
    </row>
    <row r="978" customFormat="false" ht="15" hidden="false" customHeight="false" outlineLevel="0" collapsed="false">
      <c r="A978" s="25" t="n">
        <v>20230701</v>
      </c>
      <c r="B978" s="25" t="s">
        <v>2249</v>
      </c>
      <c r="C978" s="27" t="b">
        <f aca="false">TRUE()</f>
        <v>1</v>
      </c>
      <c r="D978" s="26" t="n">
        <v>45108</v>
      </c>
      <c r="E978" s="25" t="n">
        <v>2023</v>
      </c>
      <c r="F978" s="25" t="n">
        <v>3</v>
      </c>
      <c r="G978" s="25" t="n">
        <v>7</v>
      </c>
    </row>
    <row r="979" customFormat="false" ht="15" hidden="false" customHeight="false" outlineLevel="0" collapsed="false">
      <c r="A979" s="25" t="n">
        <v>20230702</v>
      </c>
      <c r="B979" s="25" t="s">
        <v>2249</v>
      </c>
      <c r="C979" s="27" t="b">
        <f aca="false">TRUE()</f>
        <v>1</v>
      </c>
      <c r="D979" s="26" t="n">
        <v>45109</v>
      </c>
      <c r="E979" s="25" t="n">
        <v>2023</v>
      </c>
      <c r="F979" s="25" t="n">
        <v>3</v>
      </c>
      <c r="G979" s="25" t="n">
        <v>7</v>
      </c>
    </row>
    <row r="980" customFormat="false" ht="15" hidden="false" customHeight="false" outlineLevel="0" collapsed="false">
      <c r="A980" s="25" t="n">
        <v>20230703</v>
      </c>
      <c r="B980" s="25" t="s">
        <v>2249</v>
      </c>
      <c r="C980" s="27" t="b">
        <f aca="false">FALSE()</f>
        <v>0</v>
      </c>
      <c r="D980" s="26" t="n">
        <v>45110</v>
      </c>
      <c r="E980" s="25" t="n">
        <v>2023</v>
      </c>
      <c r="F980" s="25" t="n">
        <v>3</v>
      </c>
      <c r="G980" s="25" t="n">
        <v>7</v>
      </c>
    </row>
    <row r="981" customFormat="false" ht="15" hidden="false" customHeight="false" outlineLevel="0" collapsed="false">
      <c r="A981" s="25" t="n">
        <v>20230704</v>
      </c>
      <c r="B981" s="25" t="s">
        <v>2249</v>
      </c>
      <c r="C981" s="27" t="b">
        <f aca="false">FALSE()</f>
        <v>0</v>
      </c>
      <c r="D981" s="26" t="n">
        <v>45111</v>
      </c>
      <c r="E981" s="25" t="n">
        <v>2023</v>
      </c>
      <c r="F981" s="25" t="n">
        <v>3</v>
      </c>
      <c r="G981" s="25" t="n">
        <v>7</v>
      </c>
    </row>
    <row r="982" customFormat="false" ht="15" hidden="false" customHeight="false" outlineLevel="0" collapsed="false">
      <c r="A982" s="25" t="n">
        <v>20230705</v>
      </c>
      <c r="B982" s="25" t="s">
        <v>2249</v>
      </c>
      <c r="C982" s="27" t="b">
        <f aca="false">FALSE()</f>
        <v>0</v>
      </c>
      <c r="D982" s="26" t="n">
        <v>45112</v>
      </c>
      <c r="E982" s="25" t="n">
        <v>2023</v>
      </c>
      <c r="F982" s="25" t="n">
        <v>3</v>
      </c>
      <c r="G982" s="25" t="n">
        <v>7</v>
      </c>
    </row>
    <row r="983" customFormat="false" ht="15" hidden="false" customHeight="false" outlineLevel="0" collapsed="false">
      <c r="A983" s="25" t="n">
        <v>20230706</v>
      </c>
      <c r="B983" s="25" t="s">
        <v>2249</v>
      </c>
      <c r="C983" s="27" t="b">
        <f aca="false">FALSE()</f>
        <v>0</v>
      </c>
      <c r="D983" s="26" t="n">
        <v>45113</v>
      </c>
      <c r="E983" s="25" t="n">
        <v>2023</v>
      </c>
      <c r="F983" s="25" t="n">
        <v>3</v>
      </c>
      <c r="G983" s="25" t="n">
        <v>7</v>
      </c>
    </row>
    <row r="984" customFormat="false" ht="15" hidden="false" customHeight="false" outlineLevel="0" collapsed="false">
      <c r="A984" s="25" t="n">
        <v>20230707</v>
      </c>
      <c r="B984" s="25" t="s">
        <v>2249</v>
      </c>
      <c r="C984" s="27" t="b">
        <f aca="false">FALSE()</f>
        <v>0</v>
      </c>
      <c r="D984" s="26" t="n">
        <v>45114</v>
      </c>
      <c r="E984" s="25" t="n">
        <v>2023</v>
      </c>
      <c r="F984" s="25" t="n">
        <v>3</v>
      </c>
      <c r="G984" s="25" t="n">
        <v>7</v>
      </c>
    </row>
    <row r="985" customFormat="false" ht="15" hidden="false" customHeight="false" outlineLevel="0" collapsed="false">
      <c r="A985" s="25" t="n">
        <v>20230708</v>
      </c>
      <c r="B985" s="25" t="s">
        <v>2249</v>
      </c>
      <c r="C985" s="27" t="b">
        <f aca="false">TRUE()</f>
        <v>1</v>
      </c>
      <c r="D985" s="26" t="n">
        <v>45115</v>
      </c>
      <c r="E985" s="25" t="n">
        <v>2023</v>
      </c>
      <c r="F985" s="25" t="n">
        <v>3</v>
      </c>
      <c r="G985" s="25" t="n">
        <v>7</v>
      </c>
    </row>
    <row r="986" customFormat="false" ht="15" hidden="false" customHeight="false" outlineLevel="0" collapsed="false">
      <c r="A986" s="25" t="n">
        <v>20230709</v>
      </c>
      <c r="B986" s="25" t="s">
        <v>2249</v>
      </c>
      <c r="C986" s="27" t="b">
        <f aca="false">TRUE()</f>
        <v>1</v>
      </c>
      <c r="D986" s="26" t="n">
        <v>45116</v>
      </c>
      <c r="E986" s="25" t="n">
        <v>2023</v>
      </c>
      <c r="F986" s="25" t="n">
        <v>3</v>
      </c>
      <c r="G986" s="25" t="n">
        <v>7</v>
      </c>
    </row>
    <row r="987" customFormat="false" ht="15" hidden="false" customHeight="false" outlineLevel="0" collapsed="false">
      <c r="A987" s="25" t="n">
        <v>20230710</v>
      </c>
      <c r="B987" s="25" t="s">
        <v>2249</v>
      </c>
      <c r="C987" s="27" t="b">
        <f aca="false">FALSE()</f>
        <v>0</v>
      </c>
      <c r="D987" s="26" t="n">
        <v>45117</v>
      </c>
      <c r="E987" s="25" t="n">
        <v>2023</v>
      </c>
      <c r="F987" s="25" t="n">
        <v>3</v>
      </c>
      <c r="G987" s="25" t="n">
        <v>7</v>
      </c>
    </row>
    <row r="988" customFormat="false" ht="15" hidden="false" customHeight="false" outlineLevel="0" collapsed="false">
      <c r="A988" s="25" t="n">
        <v>20230711</v>
      </c>
      <c r="B988" s="25" t="s">
        <v>2249</v>
      </c>
      <c r="C988" s="27" t="b">
        <f aca="false">FALSE()</f>
        <v>0</v>
      </c>
      <c r="D988" s="26" t="n">
        <v>45118</v>
      </c>
      <c r="E988" s="25" t="n">
        <v>2023</v>
      </c>
      <c r="F988" s="25" t="n">
        <v>3</v>
      </c>
      <c r="G988" s="25" t="n">
        <v>7</v>
      </c>
    </row>
    <row r="989" customFormat="false" ht="15" hidden="false" customHeight="false" outlineLevel="0" collapsed="false">
      <c r="A989" s="25" t="n">
        <v>20230712</v>
      </c>
      <c r="B989" s="25" t="s">
        <v>2249</v>
      </c>
      <c r="C989" s="27" t="b">
        <f aca="false">FALSE()</f>
        <v>0</v>
      </c>
      <c r="D989" s="26" t="n">
        <v>45119</v>
      </c>
      <c r="E989" s="25" t="n">
        <v>2023</v>
      </c>
      <c r="F989" s="25" t="n">
        <v>3</v>
      </c>
      <c r="G989" s="25" t="n">
        <v>7</v>
      </c>
    </row>
    <row r="990" customFormat="false" ht="15" hidden="false" customHeight="false" outlineLevel="0" collapsed="false">
      <c r="A990" s="25" t="n">
        <v>20230713</v>
      </c>
      <c r="B990" s="25" t="s">
        <v>2249</v>
      </c>
      <c r="C990" s="27" t="b">
        <f aca="false">FALSE()</f>
        <v>0</v>
      </c>
      <c r="D990" s="26" t="n">
        <v>45120</v>
      </c>
      <c r="E990" s="25" t="n">
        <v>2023</v>
      </c>
      <c r="F990" s="25" t="n">
        <v>3</v>
      </c>
      <c r="G990" s="25" t="n">
        <v>7</v>
      </c>
    </row>
    <row r="991" customFormat="false" ht="15" hidden="false" customHeight="false" outlineLevel="0" collapsed="false">
      <c r="A991" s="25" t="n">
        <v>20230714</v>
      </c>
      <c r="B991" s="25" t="s">
        <v>2249</v>
      </c>
      <c r="C991" s="27" t="b">
        <f aca="false">FALSE()</f>
        <v>0</v>
      </c>
      <c r="D991" s="26" t="n">
        <v>45121</v>
      </c>
      <c r="E991" s="25" t="n">
        <v>2023</v>
      </c>
      <c r="F991" s="25" t="n">
        <v>3</v>
      </c>
      <c r="G991" s="25" t="n">
        <v>7</v>
      </c>
    </row>
    <row r="992" customFormat="false" ht="15" hidden="false" customHeight="false" outlineLevel="0" collapsed="false">
      <c r="A992" s="25" t="n">
        <v>20230715</v>
      </c>
      <c r="B992" s="25" t="s">
        <v>2249</v>
      </c>
      <c r="C992" s="27" t="b">
        <f aca="false">TRUE()</f>
        <v>1</v>
      </c>
      <c r="D992" s="26" t="n">
        <v>45122</v>
      </c>
      <c r="E992" s="25" t="n">
        <v>2023</v>
      </c>
      <c r="F992" s="25" t="n">
        <v>3</v>
      </c>
      <c r="G992" s="25" t="n">
        <v>7</v>
      </c>
    </row>
    <row r="993" customFormat="false" ht="15" hidden="false" customHeight="false" outlineLevel="0" collapsed="false">
      <c r="A993" s="25" t="n">
        <v>20230716</v>
      </c>
      <c r="B993" s="25" t="s">
        <v>2249</v>
      </c>
      <c r="C993" s="27" t="b">
        <f aca="false">TRUE()</f>
        <v>1</v>
      </c>
      <c r="D993" s="26" t="n">
        <v>45123</v>
      </c>
      <c r="E993" s="25" t="n">
        <v>2023</v>
      </c>
      <c r="F993" s="25" t="n">
        <v>3</v>
      </c>
      <c r="G993" s="25" t="n">
        <v>7</v>
      </c>
    </row>
    <row r="994" customFormat="false" ht="15" hidden="false" customHeight="false" outlineLevel="0" collapsed="false">
      <c r="A994" s="25" t="n">
        <v>20230717</v>
      </c>
      <c r="B994" s="25" t="s">
        <v>2249</v>
      </c>
      <c r="C994" s="27" t="b">
        <f aca="false">FALSE()</f>
        <v>0</v>
      </c>
      <c r="D994" s="26" t="n">
        <v>45124</v>
      </c>
      <c r="E994" s="25" t="n">
        <v>2023</v>
      </c>
      <c r="F994" s="25" t="n">
        <v>3</v>
      </c>
      <c r="G994" s="25" t="n">
        <v>7</v>
      </c>
    </row>
    <row r="995" customFormat="false" ht="15" hidden="false" customHeight="false" outlineLevel="0" collapsed="false">
      <c r="A995" s="25" t="n">
        <v>20230718</v>
      </c>
      <c r="B995" s="25" t="s">
        <v>2249</v>
      </c>
      <c r="C995" s="27" t="b">
        <f aca="false">FALSE()</f>
        <v>0</v>
      </c>
      <c r="D995" s="26" t="n">
        <v>45125</v>
      </c>
      <c r="E995" s="25" t="n">
        <v>2023</v>
      </c>
      <c r="F995" s="25" t="n">
        <v>3</v>
      </c>
      <c r="G995" s="25" t="n">
        <v>7</v>
      </c>
    </row>
    <row r="996" customFormat="false" ht="15" hidden="false" customHeight="false" outlineLevel="0" collapsed="false">
      <c r="A996" s="25" t="n">
        <v>20230719</v>
      </c>
      <c r="B996" s="25" t="s">
        <v>2249</v>
      </c>
      <c r="C996" s="27" t="b">
        <f aca="false">FALSE()</f>
        <v>0</v>
      </c>
      <c r="D996" s="26" t="n">
        <v>45126</v>
      </c>
      <c r="E996" s="25" t="n">
        <v>2023</v>
      </c>
      <c r="F996" s="25" t="n">
        <v>3</v>
      </c>
      <c r="G996" s="25" t="n">
        <v>7</v>
      </c>
    </row>
    <row r="997" customFormat="false" ht="15" hidden="false" customHeight="false" outlineLevel="0" collapsed="false">
      <c r="A997" s="25" t="n">
        <v>20230720</v>
      </c>
      <c r="B997" s="25" t="s">
        <v>2249</v>
      </c>
      <c r="C997" s="27" t="b">
        <f aca="false">FALSE()</f>
        <v>0</v>
      </c>
      <c r="D997" s="26" t="n">
        <v>45127</v>
      </c>
      <c r="E997" s="25" t="n">
        <v>2023</v>
      </c>
      <c r="F997" s="25" t="n">
        <v>3</v>
      </c>
      <c r="G997" s="25" t="n">
        <v>7</v>
      </c>
    </row>
    <row r="998" customFormat="false" ht="15" hidden="false" customHeight="false" outlineLevel="0" collapsed="false">
      <c r="A998" s="25" t="n">
        <v>20230721</v>
      </c>
      <c r="B998" s="25" t="s">
        <v>2249</v>
      </c>
      <c r="C998" s="27" t="b">
        <f aca="false">FALSE()</f>
        <v>0</v>
      </c>
      <c r="D998" s="26" t="n">
        <v>45128</v>
      </c>
      <c r="E998" s="25" t="n">
        <v>2023</v>
      </c>
      <c r="F998" s="25" t="n">
        <v>3</v>
      </c>
      <c r="G998" s="25" t="n">
        <v>7</v>
      </c>
    </row>
    <row r="999" customFormat="false" ht="15" hidden="false" customHeight="false" outlineLevel="0" collapsed="false">
      <c r="A999" s="25" t="n">
        <v>20230722</v>
      </c>
      <c r="B999" s="25" t="s">
        <v>2249</v>
      </c>
      <c r="C999" s="27" t="b">
        <f aca="false">TRUE()</f>
        <v>1</v>
      </c>
      <c r="D999" s="26" t="n">
        <v>45129</v>
      </c>
      <c r="E999" s="25" t="n">
        <v>2023</v>
      </c>
      <c r="F999" s="25" t="n">
        <v>3</v>
      </c>
      <c r="G999" s="25" t="n">
        <v>7</v>
      </c>
    </row>
    <row r="1000" customFormat="false" ht="15" hidden="false" customHeight="false" outlineLevel="0" collapsed="false">
      <c r="A1000" s="25" t="n">
        <v>20230723</v>
      </c>
      <c r="B1000" s="25" t="s">
        <v>2249</v>
      </c>
      <c r="C1000" s="27" t="b">
        <f aca="false">TRUE()</f>
        <v>1</v>
      </c>
      <c r="D1000" s="26" t="n">
        <v>45130</v>
      </c>
      <c r="E1000" s="25" t="n">
        <v>2023</v>
      </c>
      <c r="F1000" s="25" t="n">
        <v>3</v>
      </c>
      <c r="G1000" s="25" t="n">
        <v>7</v>
      </c>
    </row>
    <row r="1001" customFormat="false" ht="15" hidden="false" customHeight="false" outlineLevel="0" collapsed="false">
      <c r="A1001" s="25" t="n">
        <v>20230724</v>
      </c>
      <c r="B1001" s="25" t="s">
        <v>2249</v>
      </c>
      <c r="C1001" s="27" t="b">
        <f aca="false">FALSE()</f>
        <v>0</v>
      </c>
      <c r="D1001" s="26" t="n">
        <v>45131</v>
      </c>
      <c r="E1001" s="25" t="n">
        <v>2023</v>
      </c>
      <c r="F1001" s="25" t="n">
        <v>3</v>
      </c>
      <c r="G1001" s="25" t="n">
        <v>7</v>
      </c>
    </row>
    <row r="1002" customFormat="false" ht="15" hidden="false" customHeight="false" outlineLevel="0" collapsed="false">
      <c r="A1002" s="25" t="n">
        <v>20230725</v>
      </c>
      <c r="B1002" s="25" t="s">
        <v>2249</v>
      </c>
      <c r="C1002" s="27" t="b">
        <f aca="false">FALSE()</f>
        <v>0</v>
      </c>
      <c r="D1002" s="26" t="n">
        <v>45132</v>
      </c>
      <c r="E1002" s="25" t="n">
        <v>2023</v>
      </c>
      <c r="F1002" s="25" t="n">
        <v>3</v>
      </c>
      <c r="G1002" s="25" t="n">
        <v>7</v>
      </c>
    </row>
    <row r="1003" customFormat="false" ht="15" hidden="false" customHeight="false" outlineLevel="0" collapsed="false">
      <c r="A1003" s="25" t="n">
        <v>20230726</v>
      </c>
      <c r="B1003" s="25" t="s">
        <v>2249</v>
      </c>
      <c r="C1003" s="27" t="b">
        <f aca="false">FALSE()</f>
        <v>0</v>
      </c>
      <c r="D1003" s="26" t="n">
        <v>45133</v>
      </c>
      <c r="E1003" s="25" t="n">
        <v>2023</v>
      </c>
      <c r="F1003" s="25" t="n">
        <v>3</v>
      </c>
      <c r="G1003" s="25" t="n">
        <v>7</v>
      </c>
    </row>
    <row r="1004" customFormat="false" ht="15" hidden="false" customHeight="false" outlineLevel="0" collapsed="false">
      <c r="A1004" s="25" t="n">
        <v>20230727</v>
      </c>
      <c r="B1004" s="25" t="s">
        <v>2249</v>
      </c>
      <c r="C1004" s="27" t="b">
        <f aca="false">FALSE()</f>
        <v>0</v>
      </c>
      <c r="D1004" s="26" t="n">
        <v>45134</v>
      </c>
      <c r="E1004" s="25" t="n">
        <v>2023</v>
      </c>
      <c r="F1004" s="25" t="n">
        <v>3</v>
      </c>
      <c r="G1004" s="25" t="n">
        <v>7</v>
      </c>
    </row>
    <row r="1005" customFormat="false" ht="15" hidden="false" customHeight="false" outlineLevel="0" collapsed="false">
      <c r="A1005" s="25" t="n">
        <v>20230728</v>
      </c>
      <c r="B1005" s="25" t="s">
        <v>2249</v>
      </c>
      <c r="C1005" s="27" t="b">
        <f aca="false">FALSE()</f>
        <v>0</v>
      </c>
      <c r="D1005" s="26" t="n">
        <v>45135</v>
      </c>
      <c r="E1005" s="25" t="n">
        <v>2023</v>
      </c>
      <c r="F1005" s="25" t="n">
        <v>3</v>
      </c>
      <c r="G1005" s="25" t="n">
        <v>7</v>
      </c>
    </row>
    <row r="1006" customFormat="false" ht="15" hidden="false" customHeight="false" outlineLevel="0" collapsed="false">
      <c r="A1006" s="25" t="n">
        <v>20230729</v>
      </c>
      <c r="B1006" s="25" t="s">
        <v>2249</v>
      </c>
      <c r="C1006" s="27" t="b">
        <f aca="false">TRUE()</f>
        <v>1</v>
      </c>
      <c r="D1006" s="26" t="n">
        <v>45136</v>
      </c>
      <c r="E1006" s="25" t="n">
        <v>2023</v>
      </c>
      <c r="F1006" s="25" t="n">
        <v>3</v>
      </c>
      <c r="G1006" s="25" t="n">
        <v>7</v>
      </c>
    </row>
    <row r="1007" customFormat="false" ht="15" hidden="false" customHeight="false" outlineLevel="0" collapsed="false">
      <c r="A1007" s="25" t="n">
        <v>20230730</v>
      </c>
      <c r="B1007" s="25" t="s">
        <v>2249</v>
      </c>
      <c r="C1007" s="27" t="b">
        <f aca="false">TRUE()</f>
        <v>1</v>
      </c>
      <c r="D1007" s="26" t="n">
        <v>45137</v>
      </c>
      <c r="E1007" s="25" t="n">
        <v>2023</v>
      </c>
      <c r="F1007" s="25" t="n">
        <v>3</v>
      </c>
      <c r="G1007" s="25" t="n">
        <v>7</v>
      </c>
    </row>
    <row r="1008" customFormat="false" ht="15" hidden="false" customHeight="false" outlineLevel="0" collapsed="false">
      <c r="A1008" s="25" t="n">
        <v>20230731</v>
      </c>
      <c r="B1008" s="25" t="s">
        <v>2249</v>
      </c>
      <c r="C1008" s="27" t="b">
        <f aca="false">FALSE()</f>
        <v>0</v>
      </c>
      <c r="D1008" s="26" t="n">
        <v>45138</v>
      </c>
      <c r="E1008" s="25" t="n">
        <v>2023</v>
      </c>
      <c r="F1008" s="25" t="n">
        <v>3</v>
      </c>
      <c r="G1008" s="25" t="n">
        <v>7</v>
      </c>
    </row>
    <row r="1009" customFormat="false" ht="15" hidden="false" customHeight="false" outlineLevel="0" collapsed="false">
      <c r="A1009" s="25" t="n">
        <v>20230801</v>
      </c>
      <c r="B1009" s="25" t="s">
        <v>2250</v>
      </c>
      <c r="C1009" s="27" t="b">
        <f aca="false">FALSE()</f>
        <v>0</v>
      </c>
      <c r="D1009" s="26" t="n">
        <v>45139</v>
      </c>
      <c r="E1009" s="25" t="n">
        <v>2023</v>
      </c>
      <c r="F1009" s="25" t="n">
        <v>3</v>
      </c>
      <c r="G1009" s="25" t="n">
        <v>8</v>
      </c>
    </row>
    <row r="1010" customFormat="false" ht="15" hidden="false" customHeight="false" outlineLevel="0" collapsed="false">
      <c r="A1010" s="25" t="n">
        <v>20230802</v>
      </c>
      <c r="B1010" s="25" t="s">
        <v>2250</v>
      </c>
      <c r="C1010" s="27" t="b">
        <f aca="false">FALSE()</f>
        <v>0</v>
      </c>
      <c r="D1010" s="26" t="n">
        <v>45140</v>
      </c>
      <c r="E1010" s="25" t="n">
        <v>2023</v>
      </c>
      <c r="F1010" s="25" t="n">
        <v>3</v>
      </c>
      <c r="G1010" s="25" t="n">
        <v>8</v>
      </c>
    </row>
    <row r="1011" customFormat="false" ht="15" hidden="false" customHeight="false" outlineLevel="0" collapsed="false">
      <c r="A1011" s="25" t="n">
        <v>20230803</v>
      </c>
      <c r="B1011" s="25" t="s">
        <v>2250</v>
      </c>
      <c r="C1011" s="27" t="b">
        <f aca="false">FALSE()</f>
        <v>0</v>
      </c>
      <c r="D1011" s="26" t="n">
        <v>45141</v>
      </c>
      <c r="E1011" s="25" t="n">
        <v>2023</v>
      </c>
      <c r="F1011" s="25" t="n">
        <v>3</v>
      </c>
      <c r="G1011" s="25" t="n">
        <v>8</v>
      </c>
    </row>
    <row r="1012" customFormat="false" ht="15" hidden="false" customHeight="false" outlineLevel="0" collapsed="false">
      <c r="A1012" s="25" t="n">
        <v>20230804</v>
      </c>
      <c r="B1012" s="25" t="s">
        <v>2250</v>
      </c>
      <c r="C1012" s="27" t="b">
        <f aca="false">FALSE()</f>
        <v>0</v>
      </c>
      <c r="D1012" s="26" t="n">
        <v>45142</v>
      </c>
      <c r="E1012" s="25" t="n">
        <v>2023</v>
      </c>
      <c r="F1012" s="25" t="n">
        <v>3</v>
      </c>
      <c r="G1012" s="25" t="n">
        <v>8</v>
      </c>
    </row>
    <row r="1013" customFormat="false" ht="15" hidden="false" customHeight="false" outlineLevel="0" collapsed="false">
      <c r="A1013" s="25" t="n">
        <v>20230805</v>
      </c>
      <c r="B1013" s="25" t="s">
        <v>2250</v>
      </c>
      <c r="C1013" s="27" t="b">
        <f aca="false">TRUE()</f>
        <v>1</v>
      </c>
      <c r="D1013" s="26" t="n">
        <v>45143</v>
      </c>
      <c r="E1013" s="25" t="n">
        <v>2023</v>
      </c>
      <c r="F1013" s="25" t="n">
        <v>3</v>
      </c>
      <c r="G1013" s="25" t="n">
        <v>8</v>
      </c>
    </row>
    <row r="1014" customFormat="false" ht="15" hidden="false" customHeight="false" outlineLevel="0" collapsed="false">
      <c r="A1014" s="25" t="n">
        <v>20230806</v>
      </c>
      <c r="B1014" s="25" t="s">
        <v>2250</v>
      </c>
      <c r="C1014" s="27" t="b">
        <f aca="false">TRUE()</f>
        <v>1</v>
      </c>
      <c r="D1014" s="26" t="n">
        <v>45144</v>
      </c>
      <c r="E1014" s="25" t="n">
        <v>2023</v>
      </c>
      <c r="F1014" s="25" t="n">
        <v>3</v>
      </c>
      <c r="G1014" s="25" t="n">
        <v>8</v>
      </c>
    </row>
    <row r="1015" customFormat="false" ht="15" hidden="false" customHeight="false" outlineLevel="0" collapsed="false">
      <c r="A1015" s="25" t="n">
        <v>20230807</v>
      </c>
      <c r="B1015" s="25" t="s">
        <v>2250</v>
      </c>
      <c r="C1015" s="27" t="b">
        <f aca="false">FALSE()</f>
        <v>0</v>
      </c>
      <c r="D1015" s="26" t="n">
        <v>45145</v>
      </c>
      <c r="E1015" s="25" t="n">
        <v>2023</v>
      </c>
      <c r="F1015" s="25" t="n">
        <v>3</v>
      </c>
      <c r="G1015" s="25" t="n">
        <v>8</v>
      </c>
    </row>
    <row r="1016" customFormat="false" ht="15" hidden="false" customHeight="false" outlineLevel="0" collapsed="false">
      <c r="A1016" s="25" t="n">
        <v>20230808</v>
      </c>
      <c r="B1016" s="25" t="s">
        <v>2250</v>
      </c>
      <c r="C1016" s="27" t="b">
        <f aca="false">FALSE()</f>
        <v>0</v>
      </c>
      <c r="D1016" s="26" t="n">
        <v>45146</v>
      </c>
      <c r="E1016" s="25" t="n">
        <v>2023</v>
      </c>
      <c r="F1016" s="25" t="n">
        <v>3</v>
      </c>
      <c r="G1016" s="25" t="n">
        <v>8</v>
      </c>
    </row>
    <row r="1017" customFormat="false" ht="15" hidden="false" customHeight="false" outlineLevel="0" collapsed="false">
      <c r="A1017" s="25" t="n">
        <v>20230809</v>
      </c>
      <c r="B1017" s="25" t="s">
        <v>2250</v>
      </c>
      <c r="C1017" s="27" t="b">
        <f aca="false">FALSE()</f>
        <v>0</v>
      </c>
      <c r="D1017" s="26" t="n">
        <v>45147</v>
      </c>
      <c r="E1017" s="25" t="n">
        <v>2023</v>
      </c>
      <c r="F1017" s="25" t="n">
        <v>3</v>
      </c>
      <c r="G1017" s="25" t="n">
        <v>8</v>
      </c>
    </row>
    <row r="1018" customFormat="false" ht="15" hidden="false" customHeight="false" outlineLevel="0" collapsed="false">
      <c r="A1018" s="25" t="n">
        <v>20230810</v>
      </c>
      <c r="B1018" s="25" t="s">
        <v>2250</v>
      </c>
      <c r="C1018" s="27" t="b">
        <f aca="false">FALSE()</f>
        <v>0</v>
      </c>
      <c r="D1018" s="26" t="n">
        <v>45148</v>
      </c>
      <c r="E1018" s="25" t="n">
        <v>2023</v>
      </c>
      <c r="F1018" s="25" t="n">
        <v>3</v>
      </c>
      <c r="G1018" s="25" t="n">
        <v>8</v>
      </c>
    </row>
    <row r="1019" customFormat="false" ht="15" hidden="false" customHeight="false" outlineLevel="0" collapsed="false">
      <c r="A1019" s="25" t="n">
        <v>20230811</v>
      </c>
      <c r="B1019" s="25" t="s">
        <v>2250</v>
      </c>
      <c r="C1019" s="27" t="b">
        <f aca="false">FALSE()</f>
        <v>0</v>
      </c>
      <c r="D1019" s="26" t="n">
        <v>45149</v>
      </c>
      <c r="E1019" s="25" t="n">
        <v>2023</v>
      </c>
      <c r="F1019" s="25" t="n">
        <v>3</v>
      </c>
      <c r="G1019" s="25" t="n">
        <v>8</v>
      </c>
    </row>
    <row r="1020" customFormat="false" ht="15" hidden="false" customHeight="false" outlineLevel="0" collapsed="false">
      <c r="A1020" s="25" t="n">
        <v>20230812</v>
      </c>
      <c r="B1020" s="25" t="s">
        <v>2250</v>
      </c>
      <c r="C1020" s="27" t="b">
        <f aca="false">TRUE()</f>
        <v>1</v>
      </c>
      <c r="D1020" s="26" t="n">
        <v>45150</v>
      </c>
      <c r="E1020" s="25" t="n">
        <v>2023</v>
      </c>
      <c r="F1020" s="25" t="n">
        <v>3</v>
      </c>
      <c r="G1020" s="25" t="n">
        <v>8</v>
      </c>
    </row>
    <row r="1021" customFormat="false" ht="15" hidden="false" customHeight="false" outlineLevel="0" collapsed="false">
      <c r="A1021" s="25" t="n">
        <v>20230813</v>
      </c>
      <c r="B1021" s="25" t="s">
        <v>2250</v>
      </c>
      <c r="C1021" s="27" t="b">
        <f aca="false">TRUE()</f>
        <v>1</v>
      </c>
      <c r="D1021" s="26" t="n">
        <v>45151</v>
      </c>
      <c r="E1021" s="25" t="n">
        <v>2023</v>
      </c>
      <c r="F1021" s="25" t="n">
        <v>3</v>
      </c>
      <c r="G1021" s="25" t="n">
        <v>8</v>
      </c>
    </row>
    <row r="1022" customFormat="false" ht="15" hidden="false" customHeight="false" outlineLevel="0" collapsed="false">
      <c r="A1022" s="25" t="n">
        <v>20230814</v>
      </c>
      <c r="B1022" s="25" t="s">
        <v>2250</v>
      </c>
      <c r="C1022" s="27" t="b">
        <f aca="false">FALSE()</f>
        <v>0</v>
      </c>
      <c r="D1022" s="26" t="n">
        <v>45152</v>
      </c>
      <c r="E1022" s="25" t="n">
        <v>2023</v>
      </c>
      <c r="F1022" s="25" t="n">
        <v>3</v>
      </c>
      <c r="G1022" s="25" t="n">
        <v>8</v>
      </c>
    </row>
    <row r="1023" customFormat="false" ht="15" hidden="false" customHeight="false" outlineLevel="0" collapsed="false">
      <c r="A1023" s="25" t="n">
        <v>20230815</v>
      </c>
      <c r="B1023" s="25" t="s">
        <v>2250</v>
      </c>
      <c r="C1023" s="27" t="b">
        <f aca="false">FALSE()</f>
        <v>0</v>
      </c>
      <c r="D1023" s="26" t="n">
        <v>45153</v>
      </c>
      <c r="E1023" s="25" t="n">
        <v>2023</v>
      </c>
      <c r="F1023" s="25" t="n">
        <v>3</v>
      </c>
      <c r="G1023" s="25" t="n">
        <v>8</v>
      </c>
    </row>
    <row r="1024" customFormat="false" ht="15" hidden="false" customHeight="false" outlineLevel="0" collapsed="false">
      <c r="A1024" s="25" t="n">
        <v>20230816</v>
      </c>
      <c r="B1024" s="25" t="s">
        <v>2250</v>
      </c>
      <c r="C1024" s="27" t="b">
        <f aca="false">FALSE()</f>
        <v>0</v>
      </c>
      <c r="D1024" s="26" t="n">
        <v>45154</v>
      </c>
      <c r="E1024" s="25" t="n">
        <v>2023</v>
      </c>
      <c r="F1024" s="25" t="n">
        <v>3</v>
      </c>
      <c r="G1024" s="25" t="n">
        <v>8</v>
      </c>
    </row>
    <row r="1025" customFormat="false" ht="15" hidden="false" customHeight="false" outlineLevel="0" collapsed="false">
      <c r="A1025" s="25" t="n">
        <v>20230817</v>
      </c>
      <c r="B1025" s="25" t="s">
        <v>2250</v>
      </c>
      <c r="C1025" s="27" t="b">
        <f aca="false">FALSE()</f>
        <v>0</v>
      </c>
      <c r="D1025" s="26" t="n">
        <v>45155</v>
      </c>
      <c r="E1025" s="25" t="n">
        <v>2023</v>
      </c>
      <c r="F1025" s="25" t="n">
        <v>3</v>
      </c>
      <c r="G1025" s="25" t="n">
        <v>8</v>
      </c>
    </row>
    <row r="1026" customFormat="false" ht="15" hidden="false" customHeight="false" outlineLevel="0" collapsed="false">
      <c r="A1026" s="25" t="n">
        <v>20230818</v>
      </c>
      <c r="B1026" s="25" t="s">
        <v>2250</v>
      </c>
      <c r="C1026" s="27" t="b">
        <f aca="false">FALSE()</f>
        <v>0</v>
      </c>
      <c r="D1026" s="26" t="n">
        <v>45156</v>
      </c>
      <c r="E1026" s="25" t="n">
        <v>2023</v>
      </c>
      <c r="F1026" s="25" t="n">
        <v>3</v>
      </c>
      <c r="G1026" s="25" t="n">
        <v>8</v>
      </c>
    </row>
    <row r="1027" customFormat="false" ht="15" hidden="false" customHeight="false" outlineLevel="0" collapsed="false">
      <c r="A1027" s="25" t="n">
        <v>20230819</v>
      </c>
      <c r="B1027" s="25" t="s">
        <v>2250</v>
      </c>
      <c r="C1027" s="27" t="b">
        <f aca="false">TRUE()</f>
        <v>1</v>
      </c>
      <c r="D1027" s="26" t="n">
        <v>45157</v>
      </c>
      <c r="E1027" s="25" t="n">
        <v>2023</v>
      </c>
      <c r="F1027" s="25" t="n">
        <v>3</v>
      </c>
      <c r="G1027" s="25" t="n">
        <v>8</v>
      </c>
    </row>
    <row r="1028" customFormat="false" ht="15" hidden="false" customHeight="false" outlineLevel="0" collapsed="false">
      <c r="A1028" s="25" t="n">
        <v>20230820</v>
      </c>
      <c r="B1028" s="25" t="s">
        <v>2250</v>
      </c>
      <c r="C1028" s="27" t="b">
        <f aca="false">TRUE()</f>
        <v>1</v>
      </c>
      <c r="D1028" s="26" t="n">
        <v>45158</v>
      </c>
      <c r="E1028" s="25" t="n">
        <v>2023</v>
      </c>
      <c r="F1028" s="25" t="n">
        <v>3</v>
      </c>
      <c r="G1028" s="25" t="n">
        <v>8</v>
      </c>
    </row>
    <row r="1029" customFormat="false" ht="15" hidden="false" customHeight="false" outlineLevel="0" collapsed="false">
      <c r="A1029" s="25" t="n">
        <v>20230821</v>
      </c>
      <c r="B1029" s="25" t="s">
        <v>2250</v>
      </c>
      <c r="C1029" s="27" t="b">
        <f aca="false">FALSE()</f>
        <v>0</v>
      </c>
      <c r="D1029" s="26" t="n">
        <v>45159</v>
      </c>
      <c r="E1029" s="25" t="n">
        <v>2023</v>
      </c>
      <c r="F1029" s="25" t="n">
        <v>3</v>
      </c>
      <c r="G1029" s="25" t="n">
        <v>8</v>
      </c>
    </row>
    <row r="1030" customFormat="false" ht="15" hidden="false" customHeight="false" outlineLevel="0" collapsed="false">
      <c r="A1030" s="25" t="n">
        <v>20230822</v>
      </c>
      <c r="B1030" s="25" t="s">
        <v>2250</v>
      </c>
      <c r="C1030" s="27" t="b">
        <f aca="false">FALSE()</f>
        <v>0</v>
      </c>
      <c r="D1030" s="26" t="n">
        <v>45160</v>
      </c>
      <c r="E1030" s="25" t="n">
        <v>2023</v>
      </c>
      <c r="F1030" s="25" t="n">
        <v>3</v>
      </c>
      <c r="G1030" s="25" t="n">
        <v>8</v>
      </c>
    </row>
    <row r="1031" customFormat="false" ht="15" hidden="false" customHeight="false" outlineLevel="0" collapsed="false">
      <c r="A1031" s="25" t="n">
        <v>20230823</v>
      </c>
      <c r="B1031" s="25" t="s">
        <v>2250</v>
      </c>
      <c r="C1031" s="27" t="b">
        <f aca="false">FALSE()</f>
        <v>0</v>
      </c>
      <c r="D1031" s="26" t="n">
        <v>45161</v>
      </c>
      <c r="E1031" s="25" t="n">
        <v>2023</v>
      </c>
      <c r="F1031" s="25" t="n">
        <v>3</v>
      </c>
      <c r="G1031" s="25" t="n">
        <v>8</v>
      </c>
    </row>
    <row r="1032" customFormat="false" ht="15" hidden="false" customHeight="false" outlineLevel="0" collapsed="false">
      <c r="A1032" s="25" t="n">
        <v>20230824</v>
      </c>
      <c r="B1032" s="25" t="s">
        <v>2250</v>
      </c>
      <c r="C1032" s="27" t="b">
        <f aca="false">FALSE()</f>
        <v>0</v>
      </c>
      <c r="D1032" s="26" t="n">
        <v>45162</v>
      </c>
      <c r="E1032" s="25" t="n">
        <v>2023</v>
      </c>
      <c r="F1032" s="25" t="n">
        <v>3</v>
      </c>
      <c r="G1032" s="25" t="n">
        <v>8</v>
      </c>
    </row>
    <row r="1033" customFormat="false" ht="15" hidden="false" customHeight="false" outlineLevel="0" collapsed="false">
      <c r="A1033" s="25" t="n">
        <v>20230825</v>
      </c>
      <c r="B1033" s="25" t="s">
        <v>2250</v>
      </c>
      <c r="C1033" s="27" t="b">
        <f aca="false">FALSE()</f>
        <v>0</v>
      </c>
      <c r="D1033" s="26" t="n">
        <v>45163</v>
      </c>
      <c r="E1033" s="25" t="n">
        <v>2023</v>
      </c>
      <c r="F1033" s="25" t="n">
        <v>3</v>
      </c>
      <c r="G1033" s="25" t="n">
        <v>8</v>
      </c>
    </row>
    <row r="1034" customFormat="false" ht="15" hidden="false" customHeight="false" outlineLevel="0" collapsed="false">
      <c r="A1034" s="25" t="n">
        <v>20230826</v>
      </c>
      <c r="B1034" s="25" t="s">
        <v>2250</v>
      </c>
      <c r="C1034" s="27" t="b">
        <f aca="false">TRUE()</f>
        <v>1</v>
      </c>
      <c r="D1034" s="26" t="n">
        <v>45164</v>
      </c>
      <c r="E1034" s="25" t="n">
        <v>2023</v>
      </c>
      <c r="F1034" s="25" t="n">
        <v>3</v>
      </c>
      <c r="G1034" s="25" t="n">
        <v>8</v>
      </c>
    </row>
    <row r="1035" customFormat="false" ht="15" hidden="false" customHeight="false" outlineLevel="0" collapsed="false">
      <c r="A1035" s="25" t="n">
        <v>20230827</v>
      </c>
      <c r="B1035" s="25" t="s">
        <v>2250</v>
      </c>
      <c r="C1035" s="27" t="b">
        <f aca="false">TRUE()</f>
        <v>1</v>
      </c>
      <c r="D1035" s="26" t="n">
        <v>45165</v>
      </c>
      <c r="E1035" s="25" t="n">
        <v>2023</v>
      </c>
      <c r="F1035" s="25" t="n">
        <v>3</v>
      </c>
      <c r="G1035" s="25" t="n">
        <v>8</v>
      </c>
    </row>
    <row r="1036" customFormat="false" ht="15" hidden="false" customHeight="false" outlineLevel="0" collapsed="false">
      <c r="A1036" s="25" t="n">
        <v>20230828</v>
      </c>
      <c r="B1036" s="25" t="s">
        <v>2250</v>
      </c>
      <c r="C1036" s="27" t="b">
        <f aca="false">FALSE()</f>
        <v>0</v>
      </c>
      <c r="D1036" s="26" t="n">
        <v>45166</v>
      </c>
      <c r="E1036" s="25" t="n">
        <v>2023</v>
      </c>
      <c r="F1036" s="25" t="n">
        <v>3</v>
      </c>
      <c r="G1036" s="25" t="n">
        <v>8</v>
      </c>
    </row>
    <row r="1037" customFormat="false" ht="15" hidden="false" customHeight="false" outlineLevel="0" collapsed="false">
      <c r="A1037" s="25" t="n">
        <v>20230829</v>
      </c>
      <c r="B1037" s="25" t="s">
        <v>2250</v>
      </c>
      <c r="C1037" s="27" t="b">
        <f aca="false">FALSE()</f>
        <v>0</v>
      </c>
      <c r="D1037" s="26" t="n">
        <v>45167</v>
      </c>
      <c r="E1037" s="25" t="n">
        <v>2023</v>
      </c>
      <c r="F1037" s="25" t="n">
        <v>3</v>
      </c>
      <c r="G1037" s="25" t="n">
        <v>8</v>
      </c>
    </row>
    <row r="1038" customFormat="false" ht="15" hidden="false" customHeight="false" outlineLevel="0" collapsed="false">
      <c r="A1038" s="25" t="n">
        <v>20230830</v>
      </c>
      <c r="B1038" s="25" t="s">
        <v>2250</v>
      </c>
      <c r="C1038" s="27" t="b">
        <f aca="false">FALSE()</f>
        <v>0</v>
      </c>
      <c r="D1038" s="26" t="n">
        <v>45168</v>
      </c>
      <c r="E1038" s="25" t="n">
        <v>2023</v>
      </c>
      <c r="F1038" s="25" t="n">
        <v>3</v>
      </c>
      <c r="G1038" s="25" t="n">
        <v>8</v>
      </c>
    </row>
    <row r="1039" customFormat="false" ht="15" hidden="false" customHeight="false" outlineLevel="0" collapsed="false">
      <c r="A1039" s="25" t="n">
        <v>20230831</v>
      </c>
      <c r="B1039" s="25" t="s">
        <v>2250</v>
      </c>
      <c r="C1039" s="27" t="b">
        <f aca="false">FALSE()</f>
        <v>0</v>
      </c>
      <c r="D1039" s="26" t="n">
        <v>45169</v>
      </c>
      <c r="E1039" s="25" t="n">
        <v>2023</v>
      </c>
      <c r="F1039" s="25" t="n">
        <v>3</v>
      </c>
      <c r="G1039" s="25" t="n">
        <v>8</v>
      </c>
    </row>
    <row r="1040" customFormat="false" ht="15" hidden="false" customHeight="false" outlineLevel="0" collapsed="false">
      <c r="A1040" s="25" t="n">
        <v>20230901</v>
      </c>
      <c r="B1040" s="25" t="s">
        <v>2251</v>
      </c>
      <c r="C1040" s="27" t="b">
        <f aca="false">FALSE()</f>
        <v>0</v>
      </c>
      <c r="D1040" s="26" t="n">
        <v>45170</v>
      </c>
      <c r="E1040" s="25" t="n">
        <v>2023</v>
      </c>
      <c r="F1040" s="25" t="n">
        <v>3</v>
      </c>
      <c r="G1040" s="25" t="n">
        <v>9</v>
      </c>
    </row>
    <row r="1041" customFormat="false" ht="15" hidden="false" customHeight="false" outlineLevel="0" collapsed="false">
      <c r="A1041" s="25" t="n">
        <v>20230902</v>
      </c>
      <c r="B1041" s="25" t="s">
        <v>2251</v>
      </c>
      <c r="C1041" s="27" t="b">
        <f aca="false">TRUE()</f>
        <v>1</v>
      </c>
      <c r="D1041" s="26" t="n">
        <v>45171</v>
      </c>
      <c r="E1041" s="25" t="n">
        <v>2023</v>
      </c>
      <c r="F1041" s="25" t="n">
        <v>3</v>
      </c>
      <c r="G1041" s="25" t="n">
        <v>9</v>
      </c>
    </row>
    <row r="1042" customFormat="false" ht="15" hidden="false" customHeight="false" outlineLevel="0" collapsed="false">
      <c r="A1042" s="25" t="n">
        <v>20230903</v>
      </c>
      <c r="B1042" s="25" t="s">
        <v>2251</v>
      </c>
      <c r="C1042" s="27" t="b">
        <f aca="false">TRUE()</f>
        <v>1</v>
      </c>
      <c r="D1042" s="26" t="n">
        <v>45172</v>
      </c>
      <c r="E1042" s="25" t="n">
        <v>2023</v>
      </c>
      <c r="F1042" s="25" t="n">
        <v>3</v>
      </c>
      <c r="G1042" s="25" t="n">
        <v>9</v>
      </c>
    </row>
    <row r="1043" customFormat="false" ht="15" hidden="false" customHeight="false" outlineLevel="0" collapsed="false">
      <c r="A1043" s="25" t="n">
        <v>20230904</v>
      </c>
      <c r="B1043" s="25" t="s">
        <v>2251</v>
      </c>
      <c r="C1043" s="27" t="b">
        <f aca="false">FALSE()</f>
        <v>0</v>
      </c>
      <c r="D1043" s="26" t="n">
        <v>45173</v>
      </c>
      <c r="E1043" s="25" t="n">
        <v>2023</v>
      </c>
      <c r="F1043" s="25" t="n">
        <v>3</v>
      </c>
      <c r="G1043" s="25" t="n">
        <v>9</v>
      </c>
    </row>
    <row r="1044" customFormat="false" ht="15" hidden="false" customHeight="false" outlineLevel="0" collapsed="false">
      <c r="A1044" s="25" t="n">
        <v>20230905</v>
      </c>
      <c r="B1044" s="25" t="s">
        <v>2251</v>
      </c>
      <c r="C1044" s="27" t="b">
        <f aca="false">FALSE()</f>
        <v>0</v>
      </c>
      <c r="D1044" s="26" t="n">
        <v>45174</v>
      </c>
      <c r="E1044" s="25" t="n">
        <v>2023</v>
      </c>
      <c r="F1044" s="25" t="n">
        <v>3</v>
      </c>
      <c r="G1044" s="25" t="n">
        <v>9</v>
      </c>
    </row>
    <row r="1045" customFormat="false" ht="15" hidden="false" customHeight="false" outlineLevel="0" collapsed="false">
      <c r="A1045" s="25" t="n">
        <v>20230906</v>
      </c>
      <c r="B1045" s="25" t="s">
        <v>2251</v>
      </c>
      <c r="C1045" s="27" t="b">
        <f aca="false">FALSE()</f>
        <v>0</v>
      </c>
      <c r="D1045" s="26" t="n">
        <v>45175</v>
      </c>
      <c r="E1045" s="25" t="n">
        <v>2023</v>
      </c>
      <c r="F1045" s="25" t="n">
        <v>3</v>
      </c>
      <c r="G1045" s="25" t="n">
        <v>9</v>
      </c>
    </row>
    <row r="1046" customFormat="false" ht="15" hidden="false" customHeight="false" outlineLevel="0" collapsed="false">
      <c r="A1046" s="25" t="n">
        <v>20230907</v>
      </c>
      <c r="B1046" s="25" t="s">
        <v>2251</v>
      </c>
      <c r="C1046" s="27" t="b">
        <f aca="false">FALSE()</f>
        <v>0</v>
      </c>
      <c r="D1046" s="26" t="n">
        <v>45176</v>
      </c>
      <c r="E1046" s="25" t="n">
        <v>2023</v>
      </c>
      <c r="F1046" s="25" t="n">
        <v>3</v>
      </c>
      <c r="G1046" s="25" t="n">
        <v>9</v>
      </c>
    </row>
    <row r="1047" customFormat="false" ht="15" hidden="false" customHeight="false" outlineLevel="0" collapsed="false">
      <c r="A1047" s="25" t="n">
        <v>20230908</v>
      </c>
      <c r="B1047" s="25" t="s">
        <v>2251</v>
      </c>
      <c r="C1047" s="27" t="b">
        <f aca="false">FALSE()</f>
        <v>0</v>
      </c>
      <c r="D1047" s="26" t="n">
        <v>45177</v>
      </c>
      <c r="E1047" s="25" t="n">
        <v>2023</v>
      </c>
      <c r="F1047" s="25" t="n">
        <v>3</v>
      </c>
      <c r="G1047" s="25" t="n">
        <v>9</v>
      </c>
    </row>
    <row r="1048" customFormat="false" ht="15" hidden="false" customHeight="false" outlineLevel="0" collapsed="false">
      <c r="A1048" s="25" t="n">
        <v>20230909</v>
      </c>
      <c r="B1048" s="25" t="s">
        <v>2251</v>
      </c>
      <c r="C1048" s="27" t="b">
        <f aca="false">TRUE()</f>
        <v>1</v>
      </c>
      <c r="D1048" s="26" t="n">
        <v>45178</v>
      </c>
      <c r="E1048" s="25" t="n">
        <v>2023</v>
      </c>
      <c r="F1048" s="25" t="n">
        <v>3</v>
      </c>
      <c r="G1048" s="25" t="n">
        <v>9</v>
      </c>
    </row>
    <row r="1049" customFormat="false" ht="15" hidden="false" customHeight="false" outlineLevel="0" collapsed="false">
      <c r="A1049" s="25" t="n">
        <v>20230910</v>
      </c>
      <c r="B1049" s="25" t="s">
        <v>2251</v>
      </c>
      <c r="C1049" s="27" t="b">
        <f aca="false">TRUE()</f>
        <v>1</v>
      </c>
      <c r="D1049" s="26" t="n">
        <v>45179</v>
      </c>
      <c r="E1049" s="25" t="n">
        <v>2023</v>
      </c>
      <c r="F1049" s="25" t="n">
        <v>3</v>
      </c>
      <c r="G1049" s="25" t="n">
        <v>9</v>
      </c>
    </row>
    <row r="1050" customFormat="false" ht="15" hidden="false" customHeight="false" outlineLevel="0" collapsed="false">
      <c r="A1050" s="25" t="n">
        <v>20230911</v>
      </c>
      <c r="B1050" s="25" t="s">
        <v>2251</v>
      </c>
      <c r="C1050" s="27" t="b">
        <f aca="false">FALSE()</f>
        <v>0</v>
      </c>
      <c r="D1050" s="26" t="n">
        <v>45180</v>
      </c>
      <c r="E1050" s="25" t="n">
        <v>2023</v>
      </c>
      <c r="F1050" s="25" t="n">
        <v>3</v>
      </c>
      <c r="G1050" s="25" t="n">
        <v>9</v>
      </c>
    </row>
    <row r="1051" customFormat="false" ht="15" hidden="false" customHeight="false" outlineLevel="0" collapsed="false">
      <c r="A1051" s="25" t="n">
        <v>20230912</v>
      </c>
      <c r="B1051" s="25" t="s">
        <v>2251</v>
      </c>
      <c r="C1051" s="27" t="b">
        <f aca="false">FALSE()</f>
        <v>0</v>
      </c>
      <c r="D1051" s="26" t="n">
        <v>45181</v>
      </c>
      <c r="E1051" s="25" t="n">
        <v>2023</v>
      </c>
      <c r="F1051" s="25" t="n">
        <v>3</v>
      </c>
      <c r="G1051" s="25" t="n">
        <v>9</v>
      </c>
    </row>
    <row r="1052" customFormat="false" ht="15" hidden="false" customHeight="false" outlineLevel="0" collapsed="false">
      <c r="A1052" s="25" t="n">
        <v>20230913</v>
      </c>
      <c r="B1052" s="25" t="s">
        <v>2251</v>
      </c>
      <c r="C1052" s="27" t="b">
        <f aca="false">FALSE()</f>
        <v>0</v>
      </c>
      <c r="D1052" s="26" t="n">
        <v>45182</v>
      </c>
      <c r="E1052" s="25" t="n">
        <v>2023</v>
      </c>
      <c r="F1052" s="25" t="n">
        <v>3</v>
      </c>
      <c r="G1052" s="25" t="n">
        <v>9</v>
      </c>
    </row>
    <row r="1053" customFormat="false" ht="15" hidden="false" customHeight="false" outlineLevel="0" collapsed="false">
      <c r="A1053" s="25" t="n">
        <v>20230914</v>
      </c>
      <c r="B1053" s="25" t="s">
        <v>2251</v>
      </c>
      <c r="C1053" s="27" t="b">
        <f aca="false">FALSE()</f>
        <v>0</v>
      </c>
      <c r="D1053" s="26" t="n">
        <v>45183</v>
      </c>
      <c r="E1053" s="25" t="n">
        <v>2023</v>
      </c>
      <c r="F1053" s="25" t="n">
        <v>3</v>
      </c>
      <c r="G1053" s="25" t="n">
        <v>9</v>
      </c>
    </row>
    <row r="1054" customFormat="false" ht="15" hidden="false" customHeight="false" outlineLevel="0" collapsed="false">
      <c r="A1054" s="25" t="n">
        <v>20230915</v>
      </c>
      <c r="B1054" s="25" t="s">
        <v>2251</v>
      </c>
      <c r="C1054" s="27" t="b">
        <f aca="false">FALSE()</f>
        <v>0</v>
      </c>
      <c r="D1054" s="26" t="n">
        <v>45184</v>
      </c>
      <c r="E1054" s="25" t="n">
        <v>2023</v>
      </c>
      <c r="F1054" s="25" t="n">
        <v>3</v>
      </c>
      <c r="G1054" s="25" t="n">
        <v>9</v>
      </c>
    </row>
    <row r="1055" customFormat="false" ht="15" hidden="false" customHeight="false" outlineLevel="0" collapsed="false">
      <c r="A1055" s="25" t="n">
        <v>20230916</v>
      </c>
      <c r="B1055" s="25" t="s">
        <v>2251</v>
      </c>
      <c r="C1055" s="27" t="b">
        <f aca="false">TRUE()</f>
        <v>1</v>
      </c>
      <c r="D1055" s="26" t="n">
        <v>45185</v>
      </c>
      <c r="E1055" s="25" t="n">
        <v>2023</v>
      </c>
      <c r="F1055" s="25" t="n">
        <v>3</v>
      </c>
      <c r="G1055" s="25" t="n">
        <v>9</v>
      </c>
    </row>
    <row r="1056" customFormat="false" ht="15" hidden="false" customHeight="false" outlineLevel="0" collapsed="false">
      <c r="A1056" s="25" t="n">
        <v>20230917</v>
      </c>
      <c r="B1056" s="25" t="s">
        <v>2251</v>
      </c>
      <c r="C1056" s="27" t="b">
        <f aca="false">TRUE()</f>
        <v>1</v>
      </c>
      <c r="D1056" s="26" t="n">
        <v>45186</v>
      </c>
      <c r="E1056" s="25" t="n">
        <v>2023</v>
      </c>
      <c r="F1056" s="25" t="n">
        <v>3</v>
      </c>
      <c r="G1056" s="25" t="n">
        <v>9</v>
      </c>
    </row>
    <row r="1057" customFormat="false" ht="15" hidden="false" customHeight="false" outlineLevel="0" collapsed="false">
      <c r="A1057" s="25" t="n">
        <v>20230918</v>
      </c>
      <c r="B1057" s="25" t="s">
        <v>2251</v>
      </c>
      <c r="C1057" s="27" t="b">
        <f aca="false">FALSE()</f>
        <v>0</v>
      </c>
      <c r="D1057" s="26" t="n">
        <v>45187</v>
      </c>
      <c r="E1057" s="25" t="n">
        <v>2023</v>
      </c>
      <c r="F1057" s="25" t="n">
        <v>3</v>
      </c>
      <c r="G1057" s="25" t="n">
        <v>9</v>
      </c>
    </row>
    <row r="1058" customFormat="false" ht="15" hidden="false" customHeight="false" outlineLevel="0" collapsed="false">
      <c r="A1058" s="25" t="n">
        <v>20230919</v>
      </c>
      <c r="B1058" s="25" t="s">
        <v>2251</v>
      </c>
      <c r="C1058" s="27" t="b">
        <f aca="false">FALSE()</f>
        <v>0</v>
      </c>
      <c r="D1058" s="26" t="n">
        <v>45188</v>
      </c>
      <c r="E1058" s="25" t="n">
        <v>2023</v>
      </c>
      <c r="F1058" s="25" t="n">
        <v>3</v>
      </c>
      <c r="G1058" s="25" t="n">
        <v>9</v>
      </c>
    </row>
    <row r="1059" customFormat="false" ht="15" hidden="false" customHeight="false" outlineLevel="0" collapsed="false">
      <c r="A1059" s="25" t="n">
        <v>20230920</v>
      </c>
      <c r="B1059" s="25" t="s">
        <v>2251</v>
      </c>
      <c r="C1059" s="27" t="b">
        <f aca="false">FALSE()</f>
        <v>0</v>
      </c>
      <c r="D1059" s="26" t="n">
        <v>45189</v>
      </c>
      <c r="E1059" s="25" t="n">
        <v>2023</v>
      </c>
      <c r="F1059" s="25" t="n">
        <v>3</v>
      </c>
      <c r="G1059" s="25" t="n">
        <v>9</v>
      </c>
    </row>
    <row r="1060" customFormat="false" ht="15" hidden="false" customHeight="false" outlineLevel="0" collapsed="false">
      <c r="A1060" s="25" t="n">
        <v>20230921</v>
      </c>
      <c r="B1060" s="25" t="s">
        <v>2251</v>
      </c>
      <c r="C1060" s="27" t="b">
        <f aca="false">FALSE()</f>
        <v>0</v>
      </c>
      <c r="D1060" s="26" t="n">
        <v>45190</v>
      </c>
      <c r="E1060" s="25" t="n">
        <v>2023</v>
      </c>
      <c r="F1060" s="25" t="n">
        <v>3</v>
      </c>
      <c r="G1060" s="25" t="n">
        <v>9</v>
      </c>
    </row>
    <row r="1061" customFormat="false" ht="15" hidden="false" customHeight="false" outlineLevel="0" collapsed="false">
      <c r="A1061" s="25" t="n">
        <v>20230922</v>
      </c>
      <c r="B1061" s="25" t="s">
        <v>2251</v>
      </c>
      <c r="C1061" s="27" t="b">
        <f aca="false">FALSE()</f>
        <v>0</v>
      </c>
      <c r="D1061" s="26" t="n">
        <v>45191</v>
      </c>
      <c r="E1061" s="25" t="n">
        <v>2023</v>
      </c>
      <c r="F1061" s="25" t="n">
        <v>3</v>
      </c>
      <c r="G1061" s="25" t="n">
        <v>9</v>
      </c>
    </row>
    <row r="1062" customFormat="false" ht="15" hidden="false" customHeight="false" outlineLevel="0" collapsed="false">
      <c r="A1062" s="25" t="n">
        <v>20230923</v>
      </c>
      <c r="B1062" s="25" t="s">
        <v>2251</v>
      </c>
      <c r="C1062" s="27" t="b">
        <f aca="false">TRUE()</f>
        <v>1</v>
      </c>
      <c r="D1062" s="26" t="n">
        <v>45192</v>
      </c>
      <c r="E1062" s="25" t="n">
        <v>2023</v>
      </c>
      <c r="F1062" s="25" t="n">
        <v>3</v>
      </c>
      <c r="G1062" s="25" t="n">
        <v>9</v>
      </c>
    </row>
    <row r="1063" customFormat="false" ht="15" hidden="false" customHeight="false" outlineLevel="0" collapsed="false">
      <c r="A1063" s="25" t="n">
        <v>20230924</v>
      </c>
      <c r="B1063" s="25" t="s">
        <v>2251</v>
      </c>
      <c r="C1063" s="27" t="b">
        <f aca="false">TRUE()</f>
        <v>1</v>
      </c>
      <c r="D1063" s="26" t="n">
        <v>45193</v>
      </c>
      <c r="E1063" s="25" t="n">
        <v>2023</v>
      </c>
      <c r="F1063" s="25" t="n">
        <v>3</v>
      </c>
      <c r="G1063" s="25" t="n">
        <v>9</v>
      </c>
    </row>
    <row r="1064" customFormat="false" ht="15" hidden="false" customHeight="false" outlineLevel="0" collapsed="false">
      <c r="A1064" s="25" t="n">
        <v>20230925</v>
      </c>
      <c r="B1064" s="25" t="s">
        <v>2251</v>
      </c>
      <c r="C1064" s="27" t="b">
        <f aca="false">FALSE()</f>
        <v>0</v>
      </c>
      <c r="D1064" s="26" t="n">
        <v>45194</v>
      </c>
      <c r="E1064" s="25" t="n">
        <v>2023</v>
      </c>
      <c r="F1064" s="25" t="n">
        <v>3</v>
      </c>
      <c r="G1064" s="25" t="n">
        <v>9</v>
      </c>
    </row>
    <row r="1065" customFormat="false" ht="15" hidden="false" customHeight="false" outlineLevel="0" collapsed="false">
      <c r="A1065" s="25" t="n">
        <v>20230926</v>
      </c>
      <c r="B1065" s="25" t="s">
        <v>2251</v>
      </c>
      <c r="C1065" s="27" t="b">
        <f aca="false">FALSE()</f>
        <v>0</v>
      </c>
      <c r="D1065" s="26" t="n">
        <v>45195</v>
      </c>
      <c r="E1065" s="25" t="n">
        <v>2023</v>
      </c>
      <c r="F1065" s="25" t="n">
        <v>3</v>
      </c>
      <c r="G1065" s="25" t="n">
        <v>9</v>
      </c>
    </row>
    <row r="1066" customFormat="false" ht="15" hidden="false" customHeight="false" outlineLevel="0" collapsed="false">
      <c r="A1066" s="25" t="n">
        <v>20230927</v>
      </c>
      <c r="B1066" s="25" t="s">
        <v>2251</v>
      </c>
      <c r="C1066" s="27" t="b">
        <f aca="false">FALSE()</f>
        <v>0</v>
      </c>
      <c r="D1066" s="26" t="n">
        <v>45196</v>
      </c>
      <c r="E1066" s="25" t="n">
        <v>2023</v>
      </c>
      <c r="F1066" s="25" t="n">
        <v>3</v>
      </c>
      <c r="G1066" s="25" t="n">
        <v>9</v>
      </c>
    </row>
    <row r="1067" customFormat="false" ht="15" hidden="false" customHeight="false" outlineLevel="0" collapsed="false">
      <c r="A1067" s="25" t="n">
        <v>20230928</v>
      </c>
      <c r="B1067" s="25" t="s">
        <v>2251</v>
      </c>
      <c r="C1067" s="27" t="b">
        <f aca="false">FALSE()</f>
        <v>0</v>
      </c>
      <c r="D1067" s="26" t="n">
        <v>45197</v>
      </c>
      <c r="E1067" s="25" t="n">
        <v>2023</v>
      </c>
      <c r="F1067" s="25" t="n">
        <v>3</v>
      </c>
      <c r="G1067" s="25" t="n">
        <v>9</v>
      </c>
    </row>
    <row r="1068" customFormat="false" ht="15" hidden="false" customHeight="false" outlineLevel="0" collapsed="false">
      <c r="A1068" s="25" t="n">
        <v>20230929</v>
      </c>
      <c r="B1068" s="25" t="s">
        <v>2251</v>
      </c>
      <c r="C1068" s="27" t="b">
        <f aca="false">FALSE()</f>
        <v>0</v>
      </c>
      <c r="D1068" s="26" t="n">
        <v>45198</v>
      </c>
      <c r="E1068" s="25" t="n">
        <v>2023</v>
      </c>
      <c r="F1068" s="25" t="n">
        <v>3</v>
      </c>
      <c r="G1068" s="25" t="n">
        <v>9</v>
      </c>
    </row>
    <row r="1069" customFormat="false" ht="15" hidden="false" customHeight="false" outlineLevel="0" collapsed="false">
      <c r="A1069" s="25" t="n">
        <v>20230930</v>
      </c>
      <c r="B1069" s="25" t="s">
        <v>2251</v>
      </c>
      <c r="C1069" s="27" t="b">
        <f aca="false">TRUE()</f>
        <v>1</v>
      </c>
      <c r="D1069" s="26" t="n">
        <v>45199</v>
      </c>
      <c r="E1069" s="25" t="n">
        <v>2023</v>
      </c>
      <c r="F1069" s="25" t="n">
        <v>3</v>
      </c>
      <c r="G1069" s="25" t="n">
        <v>9</v>
      </c>
    </row>
    <row r="1070" customFormat="false" ht="15" hidden="false" customHeight="false" outlineLevel="0" collapsed="false">
      <c r="A1070" s="25" t="n">
        <v>20231001</v>
      </c>
      <c r="B1070" s="25" t="s">
        <v>2240</v>
      </c>
      <c r="C1070" s="27" t="b">
        <f aca="false">TRUE()</f>
        <v>1</v>
      </c>
      <c r="D1070" s="26" t="n">
        <v>45200</v>
      </c>
      <c r="E1070" s="25" t="n">
        <v>2023</v>
      </c>
      <c r="F1070" s="25" t="n">
        <v>4</v>
      </c>
      <c r="G1070" s="25" t="n">
        <v>10</v>
      </c>
    </row>
    <row r="1071" customFormat="false" ht="15" hidden="false" customHeight="false" outlineLevel="0" collapsed="false">
      <c r="A1071" s="25" t="n">
        <v>20231002</v>
      </c>
      <c r="B1071" s="25" t="s">
        <v>2240</v>
      </c>
      <c r="C1071" s="27" t="b">
        <f aca="false">FALSE()</f>
        <v>0</v>
      </c>
      <c r="D1071" s="26" t="n">
        <v>45201</v>
      </c>
      <c r="E1071" s="25" t="n">
        <v>2023</v>
      </c>
      <c r="F1071" s="25" t="n">
        <v>4</v>
      </c>
      <c r="G1071" s="25" t="n">
        <v>10</v>
      </c>
    </row>
    <row r="1072" customFormat="false" ht="15" hidden="false" customHeight="false" outlineLevel="0" collapsed="false">
      <c r="A1072" s="25" t="n">
        <v>20231003</v>
      </c>
      <c r="B1072" s="25" t="s">
        <v>2240</v>
      </c>
      <c r="C1072" s="27" t="b">
        <f aca="false">FALSE()</f>
        <v>0</v>
      </c>
      <c r="D1072" s="26" t="n">
        <v>45202</v>
      </c>
      <c r="E1072" s="25" t="n">
        <v>2023</v>
      </c>
      <c r="F1072" s="25" t="n">
        <v>4</v>
      </c>
      <c r="G1072" s="25" t="n">
        <v>10</v>
      </c>
    </row>
    <row r="1073" customFormat="false" ht="15" hidden="false" customHeight="false" outlineLevel="0" collapsed="false">
      <c r="A1073" s="25" t="n">
        <v>20231004</v>
      </c>
      <c r="B1073" s="25" t="s">
        <v>2240</v>
      </c>
      <c r="C1073" s="27" t="b">
        <f aca="false">FALSE()</f>
        <v>0</v>
      </c>
      <c r="D1073" s="26" t="n">
        <v>45203</v>
      </c>
      <c r="E1073" s="25" t="n">
        <v>2023</v>
      </c>
      <c r="F1073" s="25" t="n">
        <v>4</v>
      </c>
      <c r="G1073" s="25" t="n">
        <v>10</v>
      </c>
    </row>
    <row r="1074" customFormat="false" ht="15" hidden="false" customHeight="false" outlineLevel="0" collapsed="false">
      <c r="A1074" s="25" t="n">
        <v>20231005</v>
      </c>
      <c r="B1074" s="25" t="s">
        <v>2240</v>
      </c>
      <c r="C1074" s="27" t="b">
        <f aca="false">FALSE()</f>
        <v>0</v>
      </c>
      <c r="D1074" s="26" t="n">
        <v>45204</v>
      </c>
      <c r="E1074" s="25" t="n">
        <v>2023</v>
      </c>
      <c r="F1074" s="25" t="n">
        <v>4</v>
      </c>
      <c r="G1074" s="25" t="n">
        <v>10</v>
      </c>
    </row>
    <row r="1075" customFormat="false" ht="15" hidden="false" customHeight="false" outlineLevel="0" collapsed="false">
      <c r="A1075" s="25" t="n">
        <v>20231006</v>
      </c>
      <c r="B1075" s="25" t="s">
        <v>2240</v>
      </c>
      <c r="C1075" s="27" t="b">
        <f aca="false">FALSE()</f>
        <v>0</v>
      </c>
      <c r="D1075" s="26" t="n">
        <v>45205</v>
      </c>
      <c r="E1075" s="25" t="n">
        <v>2023</v>
      </c>
      <c r="F1075" s="25" t="n">
        <v>4</v>
      </c>
      <c r="G1075" s="25" t="n">
        <v>10</v>
      </c>
    </row>
    <row r="1076" customFormat="false" ht="15" hidden="false" customHeight="false" outlineLevel="0" collapsed="false">
      <c r="A1076" s="25" t="n">
        <v>20231007</v>
      </c>
      <c r="B1076" s="25" t="s">
        <v>2240</v>
      </c>
      <c r="C1076" s="27" t="b">
        <f aca="false">TRUE()</f>
        <v>1</v>
      </c>
      <c r="D1076" s="26" t="n">
        <v>45206</v>
      </c>
      <c r="E1076" s="25" t="n">
        <v>2023</v>
      </c>
      <c r="F1076" s="25" t="n">
        <v>4</v>
      </c>
      <c r="G1076" s="25" t="n">
        <v>10</v>
      </c>
    </row>
    <row r="1077" customFormat="false" ht="15" hidden="false" customHeight="false" outlineLevel="0" collapsed="false">
      <c r="A1077" s="25" t="n">
        <v>20231008</v>
      </c>
      <c r="B1077" s="25" t="s">
        <v>2240</v>
      </c>
      <c r="C1077" s="27" t="b">
        <f aca="false">TRUE()</f>
        <v>1</v>
      </c>
      <c r="D1077" s="26" t="n">
        <v>45207</v>
      </c>
      <c r="E1077" s="25" t="n">
        <v>2023</v>
      </c>
      <c r="F1077" s="25" t="n">
        <v>4</v>
      </c>
      <c r="G1077" s="25" t="n">
        <v>10</v>
      </c>
    </row>
    <row r="1078" customFormat="false" ht="15" hidden="false" customHeight="false" outlineLevel="0" collapsed="false">
      <c r="A1078" s="25" t="n">
        <v>20231009</v>
      </c>
      <c r="B1078" s="25" t="s">
        <v>2240</v>
      </c>
      <c r="C1078" s="27" t="b">
        <f aca="false">FALSE()</f>
        <v>0</v>
      </c>
      <c r="D1078" s="26" t="n">
        <v>45208</v>
      </c>
      <c r="E1078" s="25" t="n">
        <v>2023</v>
      </c>
      <c r="F1078" s="25" t="n">
        <v>4</v>
      </c>
      <c r="G1078" s="25" t="n">
        <v>10</v>
      </c>
    </row>
    <row r="1079" customFormat="false" ht="15" hidden="false" customHeight="false" outlineLevel="0" collapsed="false">
      <c r="A1079" s="25" t="n">
        <v>20231010</v>
      </c>
      <c r="B1079" s="25" t="s">
        <v>2240</v>
      </c>
      <c r="C1079" s="27" t="b">
        <f aca="false">FALSE()</f>
        <v>0</v>
      </c>
      <c r="D1079" s="26" t="n">
        <v>45209</v>
      </c>
      <c r="E1079" s="25" t="n">
        <v>2023</v>
      </c>
      <c r="F1079" s="25" t="n">
        <v>4</v>
      </c>
      <c r="G1079" s="25" t="n">
        <v>10</v>
      </c>
    </row>
    <row r="1080" customFormat="false" ht="15" hidden="false" customHeight="false" outlineLevel="0" collapsed="false">
      <c r="A1080" s="25" t="n">
        <v>20231011</v>
      </c>
      <c r="B1080" s="25" t="s">
        <v>2240</v>
      </c>
      <c r="C1080" s="27" t="b">
        <f aca="false">FALSE()</f>
        <v>0</v>
      </c>
      <c r="D1080" s="26" t="n">
        <v>45210</v>
      </c>
      <c r="E1080" s="25" t="n">
        <v>2023</v>
      </c>
      <c r="F1080" s="25" t="n">
        <v>4</v>
      </c>
      <c r="G1080" s="25" t="n">
        <v>10</v>
      </c>
    </row>
    <row r="1081" customFormat="false" ht="15" hidden="false" customHeight="false" outlineLevel="0" collapsed="false">
      <c r="A1081" s="25" t="n">
        <v>20231012</v>
      </c>
      <c r="B1081" s="25" t="s">
        <v>2240</v>
      </c>
      <c r="C1081" s="27" t="b">
        <f aca="false">FALSE()</f>
        <v>0</v>
      </c>
      <c r="D1081" s="26" t="n">
        <v>45211</v>
      </c>
      <c r="E1081" s="25" t="n">
        <v>2023</v>
      </c>
      <c r="F1081" s="25" t="n">
        <v>4</v>
      </c>
      <c r="G1081" s="25" t="n">
        <v>10</v>
      </c>
    </row>
    <row r="1082" customFormat="false" ht="15" hidden="false" customHeight="false" outlineLevel="0" collapsed="false">
      <c r="A1082" s="25" t="n">
        <v>20231013</v>
      </c>
      <c r="B1082" s="25" t="s">
        <v>2240</v>
      </c>
      <c r="C1082" s="27" t="b">
        <f aca="false">FALSE()</f>
        <v>0</v>
      </c>
      <c r="D1082" s="26" t="n">
        <v>45212</v>
      </c>
      <c r="E1082" s="25" t="n">
        <v>2023</v>
      </c>
      <c r="F1082" s="25" t="n">
        <v>4</v>
      </c>
      <c r="G1082" s="25" t="n">
        <v>10</v>
      </c>
    </row>
    <row r="1083" customFormat="false" ht="15" hidden="false" customHeight="false" outlineLevel="0" collapsed="false">
      <c r="A1083" s="25" t="n">
        <v>20231014</v>
      </c>
      <c r="B1083" s="25" t="s">
        <v>2240</v>
      </c>
      <c r="C1083" s="27" t="b">
        <f aca="false">TRUE()</f>
        <v>1</v>
      </c>
      <c r="D1083" s="26" t="n">
        <v>45213</v>
      </c>
      <c r="E1083" s="25" t="n">
        <v>2023</v>
      </c>
      <c r="F1083" s="25" t="n">
        <v>4</v>
      </c>
      <c r="G1083" s="25" t="n">
        <v>10</v>
      </c>
    </row>
    <row r="1084" customFormat="false" ht="15" hidden="false" customHeight="false" outlineLevel="0" collapsed="false">
      <c r="A1084" s="25" t="n">
        <v>20231015</v>
      </c>
      <c r="B1084" s="25" t="s">
        <v>2240</v>
      </c>
      <c r="C1084" s="27" t="b">
        <f aca="false">TRUE()</f>
        <v>1</v>
      </c>
      <c r="D1084" s="26" t="n">
        <v>45214</v>
      </c>
      <c r="E1084" s="25" t="n">
        <v>2023</v>
      </c>
      <c r="F1084" s="25" t="n">
        <v>4</v>
      </c>
      <c r="G1084" s="25" t="n">
        <v>10</v>
      </c>
    </row>
    <row r="1085" customFormat="false" ht="15" hidden="false" customHeight="false" outlineLevel="0" collapsed="false">
      <c r="A1085" s="25" t="n">
        <v>20231016</v>
      </c>
      <c r="B1085" s="25" t="s">
        <v>2240</v>
      </c>
      <c r="C1085" s="27" t="b">
        <f aca="false">FALSE()</f>
        <v>0</v>
      </c>
      <c r="D1085" s="26" t="n">
        <v>45215</v>
      </c>
      <c r="E1085" s="25" t="n">
        <v>2023</v>
      </c>
      <c r="F1085" s="25" t="n">
        <v>4</v>
      </c>
      <c r="G1085" s="25" t="n">
        <v>10</v>
      </c>
    </row>
    <row r="1086" customFormat="false" ht="15" hidden="false" customHeight="false" outlineLevel="0" collapsed="false">
      <c r="A1086" s="25" t="n">
        <v>20231017</v>
      </c>
      <c r="B1086" s="25" t="s">
        <v>2240</v>
      </c>
      <c r="C1086" s="27" t="b">
        <f aca="false">FALSE()</f>
        <v>0</v>
      </c>
      <c r="D1086" s="26" t="n">
        <v>45216</v>
      </c>
      <c r="E1086" s="25" t="n">
        <v>2023</v>
      </c>
      <c r="F1086" s="25" t="n">
        <v>4</v>
      </c>
      <c r="G1086" s="25" t="n">
        <v>10</v>
      </c>
    </row>
    <row r="1087" customFormat="false" ht="15" hidden="false" customHeight="false" outlineLevel="0" collapsed="false">
      <c r="A1087" s="25" t="n">
        <v>20231018</v>
      </c>
      <c r="B1087" s="25" t="s">
        <v>2240</v>
      </c>
      <c r="C1087" s="27" t="b">
        <f aca="false">FALSE()</f>
        <v>0</v>
      </c>
      <c r="D1087" s="26" t="n">
        <v>45217</v>
      </c>
      <c r="E1087" s="25" t="n">
        <v>2023</v>
      </c>
      <c r="F1087" s="25" t="n">
        <v>4</v>
      </c>
      <c r="G1087" s="25" t="n">
        <v>10</v>
      </c>
    </row>
    <row r="1088" customFormat="false" ht="15" hidden="false" customHeight="false" outlineLevel="0" collapsed="false">
      <c r="A1088" s="25" t="n">
        <v>20231019</v>
      </c>
      <c r="B1088" s="25" t="s">
        <v>2240</v>
      </c>
      <c r="C1088" s="27" t="b">
        <f aca="false">FALSE()</f>
        <v>0</v>
      </c>
      <c r="D1088" s="26" t="n">
        <v>45218</v>
      </c>
      <c r="E1088" s="25" t="n">
        <v>2023</v>
      </c>
      <c r="F1088" s="25" t="n">
        <v>4</v>
      </c>
      <c r="G1088" s="25" t="n">
        <v>10</v>
      </c>
    </row>
    <row r="1089" customFormat="false" ht="15" hidden="false" customHeight="false" outlineLevel="0" collapsed="false">
      <c r="A1089" s="25" t="n">
        <v>20231020</v>
      </c>
      <c r="B1089" s="25" t="s">
        <v>2240</v>
      </c>
      <c r="C1089" s="27" t="b">
        <f aca="false">FALSE()</f>
        <v>0</v>
      </c>
      <c r="D1089" s="26" t="n">
        <v>45219</v>
      </c>
      <c r="E1089" s="25" t="n">
        <v>2023</v>
      </c>
      <c r="F1089" s="25" t="n">
        <v>4</v>
      </c>
      <c r="G1089" s="25" t="n">
        <v>10</v>
      </c>
    </row>
    <row r="1090" customFormat="false" ht="15" hidden="false" customHeight="false" outlineLevel="0" collapsed="false">
      <c r="A1090" s="25" t="n">
        <v>20231021</v>
      </c>
      <c r="B1090" s="25" t="s">
        <v>2240</v>
      </c>
      <c r="C1090" s="27" t="b">
        <f aca="false">TRUE()</f>
        <v>1</v>
      </c>
      <c r="D1090" s="26" t="n">
        <v>45220</v>
      </c>
      <c r="E1090" s="25" t="n">
        <v>2023</v>
      </c>
      <c r="F1090" s="25" t="n">
        <v>4</v>
      </c>
      <c r="G1090" s="25" t="n">
        <v>10</v>
      </c>
    </row>
    <row r="1091" customFormat="false" ht="15" hidden="false" customHeight="false" outlineLevel="0" collapsed="false">
      <c r="A1091" s="25" t="n">
        <v>20231022</v>
      </c>
      <c r="B1091" s="25" t="s">
        <v>2240</v>
      </c>
      <c r="C1091" s="27" t="b">
        <f aca="false">TRUE()</f>
        <v>1</v>
      </c>
      <c r="D1091" s="26" t="n">
        <v>45221</v>
      </c>
      <c r="E1091" s="25" t="n">
        <v>2023</v>
      </c>
      <c r="F1091" s="25" t="n">
        <v>4</v>
      </c>
      <c r="G1091" s="25" t="n">
        <v>10</v>
      </c>
    </row>
    <row r="1092" customFormat="false" ht="15" hidden="false" customHeight="false" outlineLevel="0" collapsed="false">
      <c r="A1092" s="25" t="n">
        <v>20231023</v>
      </c>
      <c r="B1092" s="25" t="s">
        <v>2240</v>
      </c>
      <c r="C1092" s="27" t="b">
        <f aca="false">FALSE()</f>
        <v>0</v>
      </c>
      <c r="D1092" s="26" t="n">
        <v>45222</v>
      </c>
      <c r="E1092" s="25" t="n">
        <v>2023</v>
      </c>
      <c r="F1092" s="25" t="n">
        <v>4</v>
      </c>
      <c r="G1092" s="25" t="n">
        <v>10</v>
      </c>
    </row>
    <row r="1093" customFormat="false" ht="15" hidden="false" customHeight="false" outlineLevel="0" collapsed="false">
      <c r="A1093" s="25" t="n">
        <v>20231024</v>
      </c>
      <c r="B1093" s="25" t="s">
        <v>2240</v>
      </c>
      <c r="C1093" s="27" t="b">
        <f aca="false">FALSE()</f>
        <v>0</v>
      </c>
      <c r="D1093" s="26" t="n">
        <v>45223</v>
      </c>
      <c r="E1093" s="25" t="n">
        <v>2023</v>
      </c>
      <c r="F1093" s="25" t="n">
        <v>4</v>
      </c>
      <c r="G1093" s="25" t="n">
        <v>10</v>
      </c>
    </row>
    <row r="1094" customFormat="false" ht="15" hidden="false" customHeight="false" outlineLevel="0" collapsed="false">
      <c r="A1094" s="25" t="n">
        <v>20231025</v>
      </c>
      <c r="B1094" s="25" t="s">
        <v>2240</v>
      </c>
      <c r="C1094" s="27" t="b">
        <f aca="false">FALSE()</f>
        <v>0</v>
      </c>
      <c r="D1094" s="26" t="n">
        <v>45224</v>
      </c>
      <c r="E1094" s="25" t="n">
        <v>2023</v>
      </c>
      <c r="F1094" s="25" t="n">
        <v>4</v>
      </c>
      <c r="G1094" s="25" t="n">
        <v>10</v>
      </c>
    </row>
    <row r="1095" customFormat="false" ht="15" hidden="false" customHeight="false" outlineLevel="0" collapsed="false">
      <c r="A1095" s="25" t="n">
        <v>20231026</v>
      </c>
      <c r="B1095" s="25" t="s">
        <v>2240</v>
      </c>
      <c r="C1095" s="27" t="b">
        <f aca="false">FALSE()</f>
        <v>0</v>
      </c>
      <c r="D1095" s="26" t="n">
        <v>45225</v>
      </c>
      <c r="E1095" s="25" t="n">
        <v>2023</v>
      </c>
      <c r="F1095" s="25" t="n">
        <v>4</v>
      </c>
      <c r="G1095" s="25" t="n">
        <v>10</v>
      </c>
    </row>
    <row r="1096" customFormat="false" ht="15" hidden="false" customHeight="false" outlineLevel="0" collapsed="false">
      <c r="A1096" s="25" t="n">
        <v>20231027</v>
      </c>
      <c r="B1096" s="25" t="s">
        <v>2240</v>
      </c>
      <c r="C1096" s="27" t="b">
        <f aca="false">FALSE()</f>
        <v>0</v>
      </c>
      <c r="D1096" s="26" t="n">
        <v>45226</v>
      </c>
      <c r="E1096" s="25" t="n">
        <v>2023</v>
      </c>
      <c r="F1096" s="25" t="n">
        <v>4</v>
      </c>
      <c r="G1096" s="25" t="n">
        <v>10</v>
      </c>
    </row>
    <row r="1097" customFormat="false" ht="15" hidden="false" customHeight="false" outlineLevel="0" collapsed="false">
      <c r="A1097" s="25" t="n">
        <v>20231028</v>
      </c>
      <c r="B1097" s="25" t="s">
        <v>2240</v>
      </c>
      <c r="C1097" s="27" t="b">
        <f aca="false">TRUE()</f>
        <v>1</v>
      </c>
      <c r="D1097" s="26" t="n">
        <v>45227</v>
      </c>
      <c r="E1097" s="25" t="n">
        <v>2023</v>
      </c>
      <c r="F1097" s="25" t="n">
        <v>4</v>
      </c>
      <c r="G1097" s="25" t="n">
        <v>10</v>
      </c>
    </row>
    <row r="1098" customFormat="false" ht="15" hidden="false" customHeight="false" outlineLevel="0" collapsed="false">
      <c r="A1098" s="25" t="n">
        <v>20231029</v>
      </c>
      <c r="B1098" s="25" t="s">
        <v>2240</v>
      </c>
      <c r="C1098" s="27" t="b">
        <f aca="false">TRUE()</f>
        <v>1</v>
      </c>
      <c r="D1098" s="26" t="n">
        <v>45228</v>
      </c>
      <c r="E1098" s="25" t="n">
        <v>2023</v>
      </c>
      <c r="F1098" s="25" t="n">
        <v>4</v>
      </c>
      <c r="G1098" s="25" t="n">
        <v>10</v>
      </c>
    </row>
    <row r="1099" customFormat="false" ht="15" hidden="false" customHeight="false" outlineLevel="0" collapsed="false">
      <c r="A1099" s="25" t="n">
        <v>20231030</v>
      </c>
      <c r="B1099" s="25" t="s">
        <v>2240</v>
      </c>
      <c r="C1099" s="27" t="b">
        <f aca="false">FALSE()</f>
        <v>0</v>
      </c>
      <c r="D1099" s="26" t="n">
        <v>45229</v>
      </c>
      <c r="E1099" s="25" t="n">
        <v>2023</v>
      </c>
      <c r="F1099" s="25" t="n">
        <v>4</v>
      </c>
      <c r="G1099" s="25" t="n">
        <v>10</v>
      </c>
    </row>
    <row r="1100" customFormat="false" ht="15" hidden="false" customHeight="false" outlineLevel="0" collapsed="false">
      <c r="A1100" s="25" t="n">
        <v>20231031</v>
      </c>
      <c r="B1100" s="25" t="s">
        <v>2240</v>
      </c>
      <c r="C1100" s="27" t="b">
        <f aca="false">FALSE()</f>
        <v>0</v>
      </c>
      <c r="D1100" s="26" t="n">
        <v>45230</v>
      </c>
      <c r="E1100" s="25" t="n">
        <v>2023</v>
      </c>
      <c r="F1100" s="25" t="n">
        <v>4</v>
      </c>
      <c r="G1100" s="25" t="n">
        <v>10</v>
      </c>
    </row>
    <row r="1101" customFormat="false" ht="15" hidden="false" customHeight="false" outlineLevel="0" collapsed="false">
      <c r="A1101" s="25" t="n">
        <v>20231101</v>
      </c>
      <c r="B1101" s="25" t="s">
        <v>2241</v>
      </c>
      <c r="C1101" s="27" t="b">
        <f aca="false">FALSE()</f>
        <v>0</v>
      </c>
      <c r="D1101" s="26" t="n">
        <v>45231</v>
      </c>
      <c r="E1101" s="25" t="n">
        <v>2023</v>
      </c>
      <c r="F1101" s="25" t="n">
        <v>4</v>
      </c>
      <c r="G1101" s="25" t="n">
        <v>11</v>
      </c>
    </row>
    <row r="1102" customFormat="false" ht="15" hidden="false" customHeight="false" outlineLevel="0" collapsed="false">
      <c r="A1102" s="25" t="n">
        <v>20231102</v>
      </c>
      <c r="B1102" s="25" t="s">
        <v>2241</v>
      </c>
      <c r="C1102" s="27" t="b">
        <f aca="false">FALSE()</f>
        <v>0</v>
      </c>
      <c r="D1102" s="26" t="n">
        <v>45232</v>
      </c>
      <c r="E1102" s="25" t="n">
        <v>2023</v>
      </c>
      <c r="F1102" s="25" t="n">
        <v>4</v>
      </c>
      <c r="G1102" s="25" t="n">
        <v>11</v>
      </c>
    </row>
    <row r="1103" customFormat="false" ht="15" hidden="false" customHeight="false" outlineLevel="0" collapsed="false">
      <c r="A1103" s="25" t="n">
        <v>20231103</v>
      </c>
      <c r="B1103" s="25" t="s">
        <v>2241</v>
      </c>
      <c r="C1103" s="27" t="b">
        <f aca="false">FALSE()</f>
        <v>0</v>
      </c>
      <c r="D1103" s="26" t="n">
        <v>45233</v>
      </c>
      <c r="E1103" s="25" t="n">
        <v>2023</v>
      </c>
      <c r="F1103" s="25" t="n">
        <v>4</v>
      </c>
      <c r="G1103" s="25" t="n">
        <v>11</v>
      </c>
    </row>
    <row r="1104" customFormat="false" ht="15" hidden="false" customHeight="false" outlineLevel="0" collapsed="false">
      <c r="A1104" s="25" t="n">
        <v>20231104</v>
      </c>
      <c r="B1104" s="25" t="s">
        <v>2241</v>
      </c>
      <c r="C1104" s="27" t="b">
        <f aca="false">TRUE()</f>
        <v>1</v>
      </c>
      <c r="D1104" s="26" t="n">
        <v>45234</v>
      </c>
      <c r="E1104" s="25" t="n">
        <v>2023</v>
      </c>
      <c r="F1104" s="25" t="n">
        <v>4</v>
      </c>
      <c r="G1104" s="25" t="n">
        <v>11</v>
      </c>
    </row>
    <row r="1105" customFormat="false" ht="15" hidden="false" customHeight="false" outlineLevel="0" collapsed="false">
      <c r="A1105" s="25" t="n">
        <v>20231105</v>
      </c>
      <c r="B1105" s="25" t="s">
        <v>2241</v>
      </c>
      <c r="C1105" s="27" t="b">
        <f aca="false">TRUE()</f>
        <v>1</v>
      </c>
      <c r="D1105" s="26" t="n">
        <v>45235</v>
      </c>
      <c r="E1105" s="25" t="n">
        <v>2023</v>
      </c>
      <c r="F1105" s="25" t="n">
        <v>4</v>
      </c>
      <c r="G1105" s="25" t="n">
        <v>11</v>
      </c>
    </row>
    <row r="1106" customFormat="false" ht="15" hidden="false" customHeight="false" outlineLevel="0" collapsed="false">
      <c r="A1106" s="25" t="n">
        <v>20231106</v>
      </c>
      <c r="B1106" s="25" t="s">
        <v>2241</v>
      </c>
      <c r="C1106" s="27" t="b">
        <f aca="false">FALSE()</f>
        <v>0</v>
      </c>
      <c r="D1106" s="26" t="n">
        <v>45236</v>
      </c>
      <c r="E1106" s="25" t="n">
        <v>2023</v>
      </c>
      <c r="F1106" s="25" t="n">
        <v>4</v>
      </c>
      <c r="G1106" s="25" t="n">
        <v>11</v>
      </c>
    </row>
    <row r="1107" customFormat="false" ht="15" hidden="false" customHeight="false" outlineLevel="0" collapsed="false">
      <c r="A1107" s="25" t="n">
        <v>20231107</v>
      </c>
      <c r="B1107" s="25" t="s">
        <v>2241</v>
      </c>
      <c r="C1107" s="27" t="b">
        <f aca="false">FALSE()</f>
        <v>0</v>
      </c>
      <c r="D1107" s="26" t="n">
        <v>45237</v>
      </c>
      <c r="E1107" s="25" t="n">
        <v>2023</v>
      </c>
      <c r="F1107" s="25" t="n">
        <v>4</v>
      </c>
      <c r="G1107" s="25" t="n">
        <v>11</v>
      </c>
    </row>
    <row r="1108" customFormat="false" ht="15" hidden="false" customHeight="false" outlineLevel="0" collapsed="false">
      <c r="A1108" s="25" t="n">
        <v>20231108</v>
      </c>
      <c r="B1108" s="25" t="s">
        <v>2241</v>
      </c>
      <c r="C1108" s="27" t="b">
        <f aca="false">FALSE()</f>
        <v>0</v>
      </c>
      <c r="D1108" s="26" t="n">
        <v>45238</v>
      </c>
      <c r="E1108" s="25" t="n">
        <v>2023</v>
      </c>
      <c r="F1108" s="25" t="n">
        <v>4</v>
      </c>
      <c r="G1108" s="25" t="n">
        <v>11</v>
      </c>
    </row>
    <row r="1109" customFormat="false" ht="15" hidden="false" customHeight="false" outlineLevel="0" collapsed="false">
      <c r="A1109" s="25" t="n">
        <v>20231109</v>
      </c>
      <c r="B1109" s="25" t="s">
        <v>2241</v>
      </c>
      <c r="C1109" s="27" t="b">
        <f aca="false">FALSE()</f>
        <v>0</v>
      </c>
      <c r="D1109" s="26" t="n">
        <v>45239</v>
      </c>
      <c r="E1109" s="25" t="n">
        <v>2023</v>
      </c>
      <c r="F1109" s="25" t="n">
        <v>4</v>
      </c>
      <c r="G1109" s="25" t="n">
        <v>11</v>
      </c>
    </row>
    <row r="1110" customFormat="false" ht="15" hidden="false" customHeight="false" outlineLevel="0" collapsed="false">
      <c r="A1110" s="25" t="n">
        <v>20231110</v>
      </c>
      <c r="B1110" s="25" t="s">
        <v>2241</v>
      </c>
      <c r="C1110" s="27" t="b">
        <f aca="false">FALSE()</f>
        <v>0</v>
      </c>
      <c r="D1110" s="26" t="n">
        <v>45240</v>
      </c>
      <c r="E1110" s="25" t="n">
        <v>2023</v>
      </c>
      <c r="F1110" s="25" t="n">
        <v>4</v>
      </c>
      <c r="G1110" s="25" t="n">
        <v>11</v>
      </c>
    </row>
    <row r="1111" customFormat="false" ht="15" hidden="false" customHeight="false" outlineLevel="0" collapsed="false">
      <c r="A1111" s="25" t="n">
        <v>20231111</v>
      </c>
      <c r="B1111" s="25" t="s">
        <v>2241</v>
      </c>
      <c r="C1111" s="27" t="b">
        <f aca="false">TRUE()</f>
        <v>1</v>
      </c>
      <c r="D1111" s="26" t="n">
        <v>45241</v>
      </c>
      <c r="E1111" s="25" t="n">
        <v>2023</v>
      </c>
      <c r="F1111" s="25" t="n">
        <v>4</v>
      </c>
      <c r="G1111" s="25" t="n">
        <v>11</v>
      </c>
    </row>
    <row r="1112" customFormat="false" ht="15" hidden="false" customHeight="false" outlineLevel="0" collapsed="false">
      <c r="A1112" s="25" t="n">
        <v>20231112</v>
      </c>
      <c r="B1112" s="25" t="s">
        <v>2241</v>
      </c>
      <c r="C1112" s="27" t="b">
        <f aca="false">TRUE()</f>
        <v>1</v>
      </c>
      <c r="D1112" s="26" t="n">
        <v>45242</v>
      </c>
      <c r="E1112" s="25" t="n">
        <v>2023</v>
      </c>
      <c r="F1112" s="25" t="n">
        <v>4</v>
      </c>
      <c r="G1112" s="25" t="n">
        <v>11</v>
      </c>
    </row>
    <row r="1113" customFormat="false" ht="15" hidden="false" customHeight="false" outlineLevel="0" collapsed="false">
      <c r="A1113" s="25" t="n">
        <v>20231113</v>
      </c>
      <c r="B1113" s="25" t="s">
        <v>2241</v>
      </c>
      <c r="C1113" s="27" t="b">
        <f aca="false">FALSE()</f>
        <v>0</v>
      </c>
      <c r="D1113" s="26" t="n">
        <v>45243</v>
      </c>
      <c r="E1113" s="25" t="n">
        <v>2023</v>
      </c>
      <c r="F1113" s="25" t="n">
        <v>4</v>
      </c>
      <c r="G1113" s="25" t="n">
        <v>11</v>
      </c>
    </row>
    <row r="1114" customFormat="false" ht="15" hidden="false" customHeight="false" outlineLevel="0" collapsed="false">
      <c r="A1114" s="25" t="n">
        <v>20231114</v>
      </c>
      <c r="B1114" s="25" t="s">
        <v>2241</v>
      </c>
      <c r="C1114" s="27" t="b">
        <f aca="false">FALSE()</f>
        <v>0</v>
      </c>
      <c r="D1114" s="26" t="n">
        <v>45244</v>
      </c>
      <c r="E1114" s="25" t="n">
        <v>2023</v>
      </c>
      <c r="F1114" s="25" t="n">
        <v>4</v>
      </c>
      <c r="G1114" s="25" t="n">
        <v>11</v>
      </c>
    </row>
    <row r="1115" customFormat="false" ht="15" hidden="false" customHeight="false" outlineLevel="0" collapsed="false">
      <c r="A1115" s="25" t="n">
        <v>20231115</v>
      </c>
      <c r="B1115" s="25" t="s">
        <v>2241</v>
      </c>
      <c r="C1115" s="27" t="b">
        <f aca="false">FALSE()</f>
        <v>0</v>
      </c>
      <c r="D1115" s="26" t="n">
        <v>45245</v>
      </c>
      <c r="E1115" s="25" t="n">
        <v>2023</v>
      </c>
      <c r="F1115" s="25" t="n">
        <v>4</v>
      </c>
      <c r="G1115" s="25" t="n">
        <v>11</v>
      </c>
    </row>
    <row r="1116" customFormat="false" ht="15" hidden="false" customHeight="false" outlineLevel="0" collapsed="false">
      <c r="A1116" s="25" t="n">
        <v>20231116</v>
      </c>
      <c r="B1116" s="25" t="s">
        <v>2241</v>
      </c>
      <c r="C1116" s="27" t="b">
        <f aca="false">FALSE()</f>
        <v>0</v>
      </c>
      <c r="D1116" s="26" t="n">
        <v>45246</v>
      </c>
      <c r="E1116" s="25" t="n">
        <v>2023</v>
      </c>
      <c r="F1116" s="25" t="n">
        <v>4</v>
      </c>
      <c r="G1116" s="25" t="n">
        <v>11</v>
      </c>
    </row>
    <row r="1117" customFormat="false" ht="15" hidden="false" customHeight="false" outlineLevel="0" collapsed="false">
      <c r="A1117" s="25" t="n">
        <v>20231117</v>
      </c>
      <c r="B1117" s="25" t="s">
        <v>2241</v>
      </c>
      <c r="C1117" s="27" t="b">
        <f aca="false">FALSE()</f>
        <v>0</v>
      </c>
      <c r="D1117" s="26" t="n">
        <v>45247</v>
      </c>
      <c r="E1117" s="25" t="n">
        <v>2023</v>
      </c>
      <c r="F1117" s="25" t="n">
        <v>4</v>
      </c>
      <c r="G1117" s="25" t="n">
        <v>11</v>
      </c>
    </row>
    <row r="1118" customFormat="false" ht="15" hidden="false" customHeight="false" outlineLevel="0" collapsed="false">
      <c r="A1118" s="25" t="n">
        <v>20231118</v>
      </c>
      <c r="B1118" s="25" t="s">
        <v>2241</v>
      </c>
      <c r="C1118" s="27" t="b">
        <f aca="false">TRUE()</f>
        <v>1</v>
      </c>
      <c r="D1118" s="26" t="n">
        <v>45248</v>
      </c>
      <c r="E1118" s="25" t="n">
        <v>2023</v>
      </c>
      <c r="F1118" s="25" t="n">
        <v>4</v>
      </c>
      <c r="G1118" s="25" t="n">
        <v>11</v>
      </c>
    </row>
    <row r="1119" customFormat="false" ht="15" hidden="false" customHeight="false" outlineLevel="0" collapsed="false">
      <c r="A1119" s="25" t="n">
        <v>20231119</v>
      </c>
      <c r="B1119" s="25" t="s">
        <v>2241</v>
      </c>
      <c r="C1119" s="27" t="b">
        <f aca="false">TRUE()</f>
        <v>1</v>
      </c>
      <c r="D1119" s="26" t="n">
        <v>45249</v>
      </c>
      <c r="E1119" s="25" t="n">
        <v>2023</v>
      </c>
      <c r="F1119" s="25" t="n">
        <v>4</v>
      </c>
      <c r="G1119" s="25" t="n">
        <v>11</v>
      </c>
    </row>
    <row r="1120" customFormat="false" ht="15" hidden="false" customHeight="false" outlineLevel="0" collapsed="false">
      <c r="A1120" s="25" t="n">
        <v>20231120</v>
      </c>
      <c r="B1120" s="25" t="s">
        <v>2241</v>
      </c>
      <c r="C1120" s="27" t="b">
        <f aca="false">FALSE()</f>
        <v>0</v>
      </c>
      <c r="D1120" s="26" t="n">
        <v>45250</v>
      </c>
      <c r="E1120" s="25" t="n">
        <v>2023</v>
      </c>
      <c r="F1120" s="25" t="n">
        <v>4</v>
      </c>
      <c r="G1120" s="25" t="n">
        <v>11</v>
      </c>
    </row>
    <row r="1121" customFormat="false" ht="15" hidden="false" customHeight="false" outlineLevel="0" collapsed="false">
      <c r="A1121" s="25" t="n">
        <v>20231121</v>
      </c>
      <c r="B1121" s="25" t="s">
        <v>2241</v>
      </c>
      <c r="C1121" s="27" t="b">
        <f aca="false">FALSE()</f>
        <v>0</v>
      </c>
      <c r="D1121" s="26" t="n">
        <v>45251</v>
      </c>
      <c r="E1121" s="25" t="n">
        <v>2023</v>
      </c>
      <c r="F1121" s="25" t="n">
        <v>4</v>
      </c>
      <c r="G1121" s="25" t="n">
        <v>11</v>
      </c>
    </row>
    <row r="1122" customFormat="false" ht="15" hidden="false" customHeight="false" outlineLevel="0" collapsed="false">
      <c r="A1122" s="25" t="n">
        <v>20231122</v>
      </c>
      <c r="B1122" s="25" t="s">
        <v>2241</v>
      </c>
      <c r="C1122" s="27" t="b">
        <f aca="false">FALSE()</f>
        <v>0</v>
      </c>
      <c r="D1122" s="26" t="n">
        <v>45252</v>
      </c>
      <c r="E1122" s="25" t="n">
        <v>2023</v>
      </c>
      <c r="F1122" s="25" t="n">
        <v>4</v>
      </c>
      <c r="G1122" s="25" t="n">
        <v>11</v>
      </c>
    </row>
    <row r="1123" customFormat="false" ht="15" hidden="false" customHeight="false" outlineLevel="0" collapsed="false">
      <c r="A1123" s="25" t="n">
        <v>20231123</v>
      </c>
      <c r="B1123" s="25" t="s">
        <v>2241</v>
      </c>
      <c r="C1123" s="27" t="b">
        <f aca="false">FALSE()</f>
        <v>0</v>
      </c>
      <c r="D1123" s="26" t="n">
        <v>45253</v>
      </c>
      <c r="E1123" s="25" t="n">
        <v>2023</v>
      </c>
      <c r="F1123" s="25" t="n">
        <v>4</v>
      </c>
      <c r="G1123" s="25" t="n">
        <v>11</v>
      </c>
    </row>
    <row r="1124" customFormat="false" ht="15" hidden="false" customHeight="false" outlineLevel="0" collapsed="false">
      <c r="A1124" s="25" t="n">
        <v>20231124</v>
      </c>
      <c r="B1124" s="25" t="s">
        <v>2241</v>
      </c>
      <c r="C1124" s="27" t="b">
        <f aca="false">FALSE()</f>
        <v>0</v>
      </c>
      <c r="D1124" s="26" t="n">
        <v>45254</v>
      </c>
      <c r="E1124" s="25" t="n">
        <v>2023</v>
      </c>
      <c r="F1124" s="25" t="n">
        <v>4</v>
      </c>
      <c r="G1124" s="25" t="n">
        <v>11</v>
      </c>
    </row>
    <row r="1125" customFormat="false" ht="15" hidden="false" customHeight="false" outlineLevel="0" collapsed="false">
      <c r="A1125" s="25" t="n">
        <v>20231125</v>
      </c>
      <c r="B1125" s="25" t="s">
        <v>2241</v>
      </c>
      <c r="C1125" s="27" t="b">
        <f aca="false">TRUE()</f>
        <v>1</v>
      </c>
      <c r="D1125" s="26" t="n">
        <v>45255</v>
      </c>
      <c r="E1125" s="25" t="n">
        <v>2023</v>
      </c>
      <c r="F1125" s="25" t="n">
        <v>4</v>
      </c>
      <c r="G1125" s="25" t="n">
        <v>11</v>
      </c>
    </row>
    <row r="1126" customFormat="false" ht="15" hidden="false" customHeight="false" outlineLevel="0" collapsed="false">
      <c r="A1126" s="25" t="n">
        <v>20231126</v>
      </c>
      <c r="B1126" s="25" t="s">
        <v>2241</v>
      </c>
      <c r="C1126" s="27" t="b">
        <f aca="false">TRUE()</f>
        <v>1</v>
      </c>
      <c r="D1126" s="26" t="n">
        <v>45256</v>
      </c>
      <c r="E1126" s="25" t="n">
        <v>2023</v>
      </c>
      <c r="F1126" s="25" t="n">
        <v>4</v>
      </c>
      <c r="G1126" s="25" t="n">
        <v>11</v>
      </c>
    </row>
    <row r="1127" customFormat="false" ht="15" hidden="false" customHeight="false" outlineLevel="0" collapsed="false">
      <c r="A1127" s="25" t="n">
        <v>20231127</v>
      </c>
      <c r="B1127" s="25" t="s">
        <v>2241</v>
      </c>
      <c r="C1127" s="27" t="b">
        <f aca="false">FALSE()</f>
        <v>0</v>
      </c>
      <c r="D1127" s="26" t="n">
        <v>45257</v>
      </c>
      <c r="E1127" s="25" t="n">
        <v>2023</v>
      </c>
      <c r="F1127" s="25" t="n">
        <v>4</v>
      </c>
      <c r="G1127" s="25" t="n">
        <v>11</v>
      </c>
    </row>
    <row r="1128" customFormat="false" ht="15" hidden="false" customHeight="false" outlineLevel="0" collapsed="false">
      <c r="A1128" s="25" t="n">
        <v>20231128</v>
      </c>
      <c r="B1128" s="25" t="s">
        <v>2241</v>
      </c>
      <c r="C1128" s="27" t="b">
        <f aca="false">FALSE()</f>
        <v>0</v>
      </c>
      <c r="D1128" s="26" t="n">
        <v>45258</v>
      </c>
      <c r="E1128" s="25" t="n">
        <v>2023</v>
      </c>
      <c r="F1128" s="25" t="n">
        <v>4</v>
      </c>
      <c r="G1128" s="25" t="n">
        <v>11</v>
      </c>
    </row>
    <row r="1129" customFormat="false" ht="15" hidden="false" customHeight="false" outlineLevel="0" collapsed="false">
      <c r="A1129" s="25" t="n">
        <v>20231129</v>
      </c>
      <c r="B1129" s="25" t="s">
        <v>2241</v>
      </c>
      <c r="C1129" s="27" t="b">
        <f aca="false">FALSE()</f>
        <v>0</v>
      </c>
      <c r="D1129" s="26" t="n">
        <v>45259</v>
      </c>
      <c r="E1129" s="25" t="n">
        <v>2023</v>
      </c>
      <c r="F1129" s="25" t="n">
        <v>4</v>
      </c>
      <c r="G1129" s="25" t="n">
        <v>11</v>
      </c>
    </row>
    <row r="1130" customFormat="false" ht="15" hidden="false" customHeight="false" outlineLevel="0" collapsed="false">
      <c r="A1130" s="25" t="n">
        <v>20231130</v>
      </c>
      <c r="B1130" s="25" t="s">
        <v>2241</v>
      </c>
      <c r="C1130" s="27" t="b">
        <f aca="false">FALSE()</f>
        <v>0</v>
      </c>
      <c r="D1130" s="26" t="n">
        <v>45260</v>
      </c>
      <c r="E1130" s="25" t="n">
        <v>2023</v>
      </c>
      <c r="F1130" s="25" t="n">
        <v>4</v>
      </c>
      <c r="G1130" s="25" t="n">
        <v>11</v>
      </c>
    </row>
    <row r="1131" customFormat="false" ht="15" hidden="false" customHeight="false" outlineLevel="0" collapsed="false">
      <c r="A1131" s="25" t="n">
        <v>20231201</v>
      </c>
      <c r="B1131" s="25" t="s">
        <v>2242</v>
      </c>
      <c r="C1131" s="27" t="b">
        <f aca="false">FALSE()</f>
        <v>0</v>
      </c>
      <c r="D1131" s="26" t="n">
        <v>45261</v>
      </c>
      <c r="E1131" s="25" t="n">
        <v>2023</v>
      </c>
      <c r="F1131" s="25" t="n">
        <v>4</v>
      </c>
      <c r="G1131" s="25" t="n">
        <v>12</v>
      </c>
    </row>
    <row r="1132" customFormat="false" ht="15" hidden="false" customHeight="false" outlineLevel="0" collapsed="false">
      <c r="A1132" s="25" t="n">
        <v>20231202</v>
      </c>
      <c r="B1132" s="25" t="s">
        <v>2242</v>
      </c>
      <c r="C1132" s="27" t="b">
        <f aca="false">TRUE()</f>
        <v>1</v>
      </c>
      <c r="D1132" s="26" t="n">
        <v>45262</v>
      </c>
      <c r="E1132" s="25" t="n">
        <v>2023</v>
      </c>
      <c r="F1132" s="25" t="n">
        <v>4</v>
      </c>
      <c r="G1132" s="25" t="n">
        <v>12</v>
      </c>
    </row>
    <row r="1133" customFormat="false" ht="15" hidden="false" customHeight="false" outlineLevel="0" collapsed="false">
      <c r="A1133" s="25" t="n">
        <v>20231203</v>
      </c>
      <c r="B1133" s="25" t="s">
        <v>2242</v>
      </c>
      <c r="C1133" s="27" t="b">
        <f aca="false">TRUE()</f>
        <v>1</v>
      </c>
      <c r="D1133" s="26" t="n">
        <v>45263</v>
      </c>
      <c r="E1133" s="25" t="n">
        <v>2023</v>
      </c>
      <c r="F1133" s="25" t="n">
        <v>4</v>
      </c>
      <c r="G1133" s="25" t="n">
        <v>12</v>
      </c>
    </row>
    <row r="1134" customFormat="false" ht="15" hidden="false" customHeight="false" outlineLevel="0" collapsed="false">
      <c r="A1134" s="25" t="n">
        <v>20231204</v>
      </c>
      <c r="B1134" s="25" t="s">
        <v>2242</v>
      </c>
      <c r="C1134" s="27" t="b">
        <f aca="false">FALSE()</f>
        <v>0</v>
      </c>
      <c r="D1134" s="26" t="n">
        <v>45264</v>
      </c>
      <c r="E1134" s="25" t="n">
        <v>2023</v>
      </c>
      <c r="F1134" s="25" t="n">
        <v>4</v>
      </c>
      <c r="G1134" s="25" t="n">
        <v>12</v>
      </c>
    </row>
    <row r="1135" customFormat="false" ht="15" hidden="false" customHeight="false" outlineLevel="0" collapsed="false">
      <c r="A1135" s="25" t="n">
        <v>20231205</v>
      </c>
      <c r="B1135" s="25" t="s">
        <v>2242</v>
      </c>
      <c r="C1135" s="27" t="b">
        <f aca="false">FALSE()</f>
        <v>0</v>
      </c>
      <c r="D1135" s="26" t="n">
        <v>45265</v>
      </c>
      <c r="E1135" s="25" t="n">
        <v>2023</v>
      </c>
      <c r="F1135" s="25" t="n">
        <v>4</v>
      </c>
      <c r="G1135" s="25" t="n">
        <v>12</v>
      </c>
    </row>
    <row r="1136" customFormat="false" ht="15" hidden="false" customHeight="false" outlineLevel="0" collapsed="false">
      <c r="A1136" s="25" t="n">
        <v>20231206</v>
      </c>
      <c r="B1136" s="25" t="s">
        <v>2242</v>
      </c>
      <c r="C1136" s="27" t="b">
        <f aca="false">FALSE()</f>
        <v>0</v>
      </c>
      <c r="D1136" s="26" t="n">
        <v>45266</v>
      </c>
      <c r="E1136" s="25" t="n">
        <v>2023</v>
      </c>
      <c r="F1136" s="25" t="n">
        <v>4</v>
      </c>
      <c r="G1136" s="25" t="n">
        <v>12</v>
      </c>
    </row>
    <row r="1137" customFormat="false" ht="15" hidden="false" customHeight="false" outlineLevel="0" collapsed="false">
      <c r="A1137" s="25" t="n">
        <v>20231207</v>
      </c>
      <c r="B1137" s="25" t="s">
        <v>2242</v>
      </c>
      <c r="C1137" s="27" t="b">
        <f aca="false">FALSE()</f>
        <v>0</v>
      </c>
      <c r="D1137" s="26" t="n">
        <v>45267</v>
      </c>
      <c r="E1137" s="25" t="n">
        <v>2023</v>
      </c>
      <c r="F1137" s="25" t="n">
        <v>4</v>
      </c>
      <c r="G1137" s="25" t="n">
        <v>12</v>
      </c>
    </row>
    <row r="1138" customFormat="false" ht="15" hidden="false" customHeight="false" outlineLevel="0" collapsed="false">
      <c r="A1138" s="25" t="n">
        <v>20231208</v>
      </c>
      <c r="B1138" s="25" t="s">
        <v>2242</v>
      </c>
      <c r="C1138" s="27" t="b">
        <f aca="false">FALSE()</f>
        <v>0</v>
      </c>
      <c r="D1138" s="26" t="n">
        <v>45268</v>
      </c>
      <c r="E1138" s="25" t="n">
        <v>2023</v>
      </c>
      <c r="F1138" s="25" t="n">
        <v>4</v>
      </c>
      <c r="G1138" s="25" t="n">
        <v>12</v>
      </c>
    </row>
    <row r="1139" customFormat="false" ht="15" hidden="false" customHeight="false" outlineLevel="0" collapsed="false">
      <c r="A1139" s="25" t="n">
        <v>20231209</v>
      </c>
      <c r="B1139" s="25" t="s">
        <v>2242</v>
      </c>
      <c r="C1139" s="27" t="b">
        <f aca="false">TRUE()</f>
        <v>1</v>
      </c>
      <c r="D1139" s="26" t="n">
        <v>45269</v>
      </c>
      <c r="E1139" s="25" t="n">
        <v>2023</v>
      </c>
      <c r="F1139" s="25" t="n">
        <v>4</v>
      </c>
      <c r="G1139" s="25" t="n">
        <v>12</v>
      </c>
    </row>
    <row r="1140" customFormat="false" ht="15" hidden="false" customHeight="false" outlineLevel="0" collapsed="false">
      <c r="A1140" s="25" t="n">
        <v>20231210</v>
      </c>
      <c r="B1140" s="25" t="s">
        <v>2242</v>
      </c>
      <c r="C1140" s="27" t="b">
        <f aca="false">TRUE()</f>
        <v>1</v>
      </c>
      <c r="D1140" s="26" t="n">
        <v>45270</v>
      </c>
      <c r="E1140" s="25" t="n">
        <v>2023</v>
      </c>
      <c r="F1140" s="25" t="n">
        <v>4</v>
      </c>
      <c r="G1140" s="25" t="n">
        <v>12</v>
      </c>
    </row>
    <row r="1141" customFormat="false" ht="15" hidden="false" customHeight="false" outlineLevel="0" collapsed="false">
      <c r="A1141" s="25" t="n">
        <v>20231211</v>
      </c>
      <c r="B1141" s="25" t="s">
        <v>2242</v>
      </c>
      <c r="C1141" s="27" t="b">
        <f aca="false">FALSE()</f>
        <v>0</v>
      </c>
      <c r="D1141" s="26" t="n">
        <v>45271</v>
      </c>
      <c r="E1141" s="25" t="n">
        <v>2023</v>
      </c>
      <c r="F1141" s="25" t="n">
        <v>4</v>
      </c>
      <c r="G1141" s="25" t="n">
        <v>12</v>
      </c>
    </row>
    <row r="1142" customFormat="false" ht="15" hidden="false" customHeight="false" outlineLevel="0" collapsed="false">
      <c r="A1142" s="25" t="n">
        <v>20231212</v>
      </c>
      <c r="B1142" s="25" t="s">
        <v>2242</v>
      </c>
      <c r="C1142" s="27" t="b">
        <f aca="false">FALSE()</f>
        <v>0</v>
      </c>
      <c r="D1142" s="26" t="n">
        <v>45272</v>
      </c>
      <c r="E1142" s="25" t="n">
        <v>2023</v>
      </c>
      <c r="F1142" s="25" t="n">
        <v>4</v>
      </c>
      <c r="G1142" s="25" t="n">
        <v>12</v>
      </c>
    </row>
    <row r="1143" customFormat="false" ht="15" hidden="false" customHeight="false" outlineLevel="0" collapsed="false">
      <c r="A1143" s="25" t="n">
        <v>20231213</v>
      </c>
      <c r="B1143" s="25" t="s">
        <v>2242</v>
      </c>
      <c r="C1143" s="27" t="b">
        <f aca="false">FALSE()</f>
        <v>0</v>
      </c>
      <c r="D1143" s="26" t="n">
        <v>45273</v>
      </c>
      <c r="E1143" s="25" t="n">
        <v>2023</v>
      </c>
      <c r="F1143" s="25" t="n">
        <v>4</v>
      </c>
      <c r="G1143" s="25" t="n">
        <v>12</v>
      </c>
    </row>
    <row r="1144" customFormat="false" ht="15" hidden="false" customHeight="false" outlineLevel="0" collapsed="false">
      <c r="A1144" s="25" t="n">
        <v>20231214</v>
      </c>
      <c r="B1144" s="25" t="s">
        <v>2242</v>
      </c>
      <c r="C1144" s="27" t="b">
        <f aca="false">FALSE()</f>
        <v>0</v>
      </c>
      <c r="D1144" s="26" t="n">
        <v>45274</v>
      </c>
      <c r="E1144" s="25" t="n">
        <v>2023</v>
      </c>
      <c r="F1144" s="25" t="n">
        <v>4</v>
      </c>
      <c r="G1144" s="25" t="n">
        <v>12</v>
      </c>
    </row>
    <row r="1145" customFormat="false" ht="15" hidden="false" customHeight="false" outlineLevel="0" collapsed="false">
      <c r="A1145" s="25" t="n">
        <v>20231215</v>
      </c>
      <c r="B1145" s="25" t="s">
        <v>2242</v>
      </c>
      <c r="C1145" s="27" t="b">
        <f aca="false">FALSE()</f>
        <v>0</v>
      </c>
      <c r="D1145" s="26" t="n">
        <v>45275</v>
      </c>
      <c r="E1145" s="25" t="n">
        <v>2023</v>
      </c>
      <c r="F1145" s="25" t="n">
        <v>4</v>
      </c>
      <c r="G1145" s="25" t="n">
        <v>12</v>
      </c>
    </row>
    <row r="1146" customFormat="false" ht="15" hidden="false" customHeight="false" outlineLevel="0" collapsed="false">
      <c r="A1146" s="25" t="n">
        <v>20231216</v>
      </c>
      <c r="B1146" s="25" t="s">
        <v>2242</v>
      </c>
      <c r="C1146" s="27" t="b">
        <f aca="false">TRUE()</f>
        <v>1</v>
      </c>
      <c r="D1146" s="26" t="n">
        <v>45276</v>
      </c>
      <c r="E1146" s="25" t="n">
        <v>2023</v>
      </c>
      <c r="F1146" s="25" t="n">
        <v>4</v>
      </c>
      <c r="G1146" s="25" t="n">
        <v>12</v>
      </c>
    </row>
    <row r="1147" customFormat="false" ht="15" hidden="false" customHeight="false" outlineLevel="0" collapsed="false">
      <c r="A1147" s="25" t="n">
        <v>20231217</v>
      </c>
      <c r="B1147" s="25" t="s">
        <v>2242</v>
      </c>
      <c r="C1147" s="27" t="b">
        <f aca="false">TRUE()</f>
        <v>1</v>
      </c>
      <c r="D1147" s="26" t="n">
        <v>45277</v>
      </c>
      <c r="E1147" s="25" t="n">
        <v>2023</v>
      </c>
      <c r="F1147" s="25" t="n">
        <v>4</v>
      </c>
      <c r="G1147" s="25" t="n">
        <v>12</v>
      </c>
    </row>
    <row r="1148" customFormat="false" ht="15" hidden="false" customHeight="false" outlineLevel="0" collapsed="false">
      <c r="A1148" s="25" t="n">
        <v>20231218</v>
      </c>
      <c r="B1148" s="25" t="s">
        <v>2242</v>
      </c>
      <c r="C1148" s="27" t="b">
        <f aca="false">FALSE()</f>
        <v>0</v>
      </c>
      <c r="D1148" s="26" t="n">
        <v>45278</v>
      </c>
      <c r="E1148" s="25" t="n">
        <v>2023</v>
      </c>
      <c r="F1148" s="25" t="n">
        <v>4</v>
      </c>
      <c r="G1148" s="25" t="n">
        <v>12</v>
      </c>
    </row>
    <row r="1149" customFormat="false" ht="15" hidden="false" customHeight="false" outlineLevel="0" collapsed="false">
      <c r="A1149" s="25" t="n">
        <v>20231219</v>
      </c>
      <c r="B1149" s="25" t="s">
        <v>2242</v>
      </c>
      <c r="C1149" s="27" t="b">
        <f aca="false">FALSE()</f>
        <v>0</v>
      </c>
      <c r="D1149" s="26" t="n">
        <v>45279</v>
      </c>
      <c r="E1149" s="25" t="n">
        <v>2023</v>
      </c>
      <c r="F1149" s="25" t="n">
        <v>4</v>
      </c>
      <c r="G1149" s="25" t="n">
        <v>12</v>
      </c>
    </row>
    <row r="1150" customFormat="false" ht="15" hidden="false" customHeight="false" outlineLevel="0" collapsed="false">
      <c r="A1150" s="25" t="n">
        <v>20231220</v>
      </c>
      <c r="B1150" s="25" t="s">
        <v>2242</v>
      </c>
      <c r="C1150" s="27" t="b">
        <f aca="false">FALSE()</f>
        <v>0</v>
      </c>
      <c r="D1150" s="26" t="n">
        <v>45280</v>
      </c>
      <c r="E1150" s="25" t="n">
        <v>2023</v>
      </c>
      <c r="F1150" s="25" t="n">
        <v>4</v>
      </c>
      <c r="G1150" s="25" t="n">
        <v>12</v>
      </c>
    </row>
    <row r="1151" customFormat="false" ht="15" hidden="false" customHeight="false" outlineLevel="0" collapsed="false">
      <c r="A1151" s="25" t="n">
        <v>20231221</v>
      </c>
      <c r="B1151" s="25" t="s">
        <v>2242</v>
      </c>
      <c r="C1151" s="27" t="b">
        <f aca="false">FALSE()</f>
        <v>0</v>
      </c>
      <c r="D1151" s="26" t="n">
        <v>45281</v>
      </c>
      <c r="E1151" s="25" t="n">
        <v>2023</v>
      </c>
      <c r="F1151" s="25" t="n">
        <v>4</v>
      </c>
      <c r="G1151" s="25" t="n">
        <v>12</v>
      </c>
    </row>
    <row r="1152" customFormat="false" ht="15" hidden="false" customHeight="false" outlineLevel="0" collapsed="false">
      <c r="A1152" s="25" t="n">
        <v>20231222</v>
      </c>
      <c r="B1152" s="25" t="s">
        <v>2242</v>
      </c>
      <c r="C1152" s="27" t="b">
        <f aca="false">FALSE()</f>
        <v>0</v>
      </c>
      <c r="D1152" s="26" t="n">
        <v>45282</v>
      </c>
      <c r="E1152" s="25" t="n">
        <v>2023</v>
      </c>
      <c r="F1152" s="25" t="n">
        <v>4</v>
      </c>
      <c r="G1152" s="25" t="n">
        <v>12</v>
      </c>
    </row>
    <row r="1153" customFormat="false" ht="15" hidden="false" customHeight="false" outlineLevel="0" collapsed="false">
      <c r="A1153" s="25" t="n">
        <v>20231223</v>
      </c>
      <c r="B1153" s="25" t="s">
        <v>2242</v>
      </c>
      <c r="C1153" s="27" t="b">
        <f aca="false">TRUE()</f>
        <v>1</v>
      </c>
      <c r="D1153" s="26" t="n">
        <v>45283</v>
      </c>
      <c r="E1153" s="25" t="n">
        <v>2023</v>
      </c>
      <c r="F1153" s="25" t="n">
        <v>4</v>
      </c>
      <c r="G1153" s="25" t="n">
        <v>12</v>
      </c>
    </row>
    <row r="1154" customFormat="false" ht="15" hidden="false" customHeight="false" outlineLevel="0" collapsed="false">
      <c r="A1154" s="25" t="n">
        <v>20231224</v>
      </c>
      <c r="B1154" s="25" t="s">
        <v>2242</v>
      </c>
      <c r="C1154" s="27" t="b">
        <f aca="false">TRUE()</f>
        <v>1</v>
      </c>
      <c r="D1154" s="26" t="n">
        <v>45284</v>
      </c>
      <c r="E1154" s="25" t="n">
        <v>2023</v>
      </c>
      <c r="F1154" s="25" t="n">
        <v>4</v>
      </c>
      <c r="G1154" s="25" t="n">
        <v>12</v>
      </c>
    </row>
    <row r="1155" customFormat="false" ht="15" hidden="false" customHeight="false" outlineLevel="0" collapsed="false">
      <c r="A1155" s="25" t="n">
        <v>20231225</v>
      </c>
      <c r="B1155" s="25" t="s">
        <v>2242</v>
      </c>
      <c r="C1155" s="27" t="b">
        <f aca="false">FALSE()</f>
        <v>0</v>
      </c>
      <c r="D1155" s="26" t="n">
        <v>45285</v>
      </c>
      <c r="E1155" s="25" t="n">
        <v>2023</v>
      </c>
      <c r="F1155" s="25" t="n">
        <v>4</v>
      </c>
      <c r="G1155" s="25" t="n">
        <v>12</v>
      </c>
    </row>
    <row r="1156" customFormat="false" ht="15" hidden="false" customHeight="false" outlineLevel="0" collapsed="false">
      <c r="A1156" s="25" t="n">
        <v>20231226</v>
      </c>
      <c r="B1156" s="25" t="s">
        <v>2242</v>
      </c>
      <c r="C1156" s="27" t="b">
        <f aca="false">FALSE()</f>
        <v>0</v>
      </c>
      <c r="D1156" s="26" t="n">
        <v>45286</v>
      </c>
      <c r="E1156" s="25" t="n">
        <v>2023</v>
      </c>
      <c r="F1156" s="25" t="n">
        <v>4</v>
      </c>
      <c r="G1156" s="25" t="n">
        <v>12</v>
      </c>
    </row>
    <row r="1157" customFormat="false" ht="15" hidden="false" customHeight="false" outlineLevel="0" collapsed="false">
      <c r="A1157" s="25" t="n">
        <v>20231227</v>
      </c>
      <c r="B1157" s="25" t="s">
        <v>2242</v>
      </c>
      <c r="C1157" s="27" t="b">
        <f aca="false">FALSE()</f>
        <v>0</v>
      </c>
      <c r="D1157" s="26" t="n">
        <v>45287</v>
      </c>
      <c r="E1157" s="25" t="n">
        <v>2023</v>
      </c>
      <c r="F1157" s="25" t="n">
        <v>4</v>
      </c>
      <c r="G1157" s="25" t="n">
        <v>12</v>
      </c>
    </row>
    <row r="1158" customFormat="false" ht="15" hidden="false" customHeight="false" outlineLevel="0" collapsed="false">
      <c r="A1158" s="25" t="n">
        <v>20231228</v>
      </c>
      <c r="B1158" s="25" t="s">
        <v>2242</v>
      </c>
      <c r="C1158" s="27" t="b">
        <f aca="false">FALSE()</f>
        <v>0</v>
      </c>
      <c r="D1158" s="26" t="n">
        <v>45288</v>
      </c>
      <c r="E1158" s="25" t="n">
        <v>2023</v>
      </c>
      <c r="F1158" s="25" t="n">
        <v>4</v>
      </c>
      <c r="G1158" s="25" t="n">
        <v>12</v>
      </c>
    </row>
    <row r="1159" customFormat="false" ht="15" hidden="false" customHeight="false" outlineLevel="0" collapsed="false">
      <c r="A1159" s="25" t="n">
        <v>20231229</v>
      </c>
      <c r="B1159" s="25" t="s">
        <v>2242</v>
      </c>
      <c r="C1159" s="27" t="b">
        <f aca="false">FALSE()</f>
        <v>0</v>
      </c>
      <c r="D1159" s="26" t="n">
        <v>45289</v>
      </c>
      <c r="E1159" s="25" t="n">
        <v>2023</v>
      </c>
      <c r="F1159" s="25" t="n">
        <v>4</v>
      </c>
      <c r="G1159" s="25" t="n">
        <v>12</v>
      </c>
    </row>
    <row r="1160" customFormat="false" ht="15" hidden="false" customHeight="false" outlineLevel="0" collapsed="false">
      <c r="A1160" s="25" t="n">
        <v>20231230</v>
      </c>
      <c r="B1160" s="25" t="s">
        <v>2242</v>
      </c>
      <c r="C1160" s="27" t="b">
        <f aca="false">TRUE()</f>
        <v>1</v>
      </c>
      <c r="D1160" s="26" t="n">
        <v>45290</v>
      </c>
      <c r="E1160" s="25" t="n">
        <v>2023</v>
      </c>
      <c r="F1160" s="25" t="n">
        <v>4</v>
      </c>
      <c r="G1160" s="25" t="n">
        <v>12</v>
      </c>
    </row>
    <row r="1161" customFormat="false" ht="15" hidden="false" customHeight="false" outlineLevel="0" collapsed="false">
      <c r="A1161" s="25" t="n">
        <v>20231231</v>
      </c>
      <c r="B1161" s="25" t="s">
        <v>2242</v>
      </c>
      <c r="C1161" s="27" t="b">
        <f aca="false">TRUE()</f>
        <v>1</v>
      </c>
      <c r="D1161" s="26" t="n">
        <v>45291</v>
      </c>
      <c r="E1161" s="25" t="n">
        <v>2023</v>
      </c>
      <c r="F1161" s="25" t="n">
        <v>4</v>
      </c>
      <c r="G1161" s="25" t="n">
        <v>12</v>
      </c>
    </row>
    <row r="1162" customFormat="false" ht="15" hidden="false" customHeight="false" outlineLevel="0" collapsed="false">
      <c r="A1162" s="25" t="n">
        <v>20240101</v>
      </c>
      <c r="B1162" s="25" t="s">
        <v>2243</v>
      </c>
      <c r="C1162" s="27" t="b">
        <f aca="false">FALSE()</f>
        <v>0</v>
      </c>
      <c r="D1162" s="26" t="n">
        <v>45292</v>
      </c>
      <c r="E1162" s="25" t="n">
        <v>2024</v>
      </c>
      <c r="F1162" s="25" t="n">
        <v>1</v>
      </c>
      <c r="G1162" s="25" t="n">
        <v>1</v>
      </c>
    </row>
    <row r="1163" customFormat="false" ht="15" hidden="false" customHeight="false" outlineLevel="0" collapsed="false">
      <c r="A1163" s="25" t="n">
        <v>20240102</v>
      </c>
      <c r="B1163" s="25" t="s">
        <v>2243</v>
      </c>
      <c r="C1163" s="27" t="b">
        <f aca="false">FALSE()</f>
        <v>0</v>
      </c>
      <c r="D1163" s="26" t="n">
        <v>45293</v>
      </c>
      <c r="E1163" s="25" t="n">
        <v>2024</v>
      </c>
      <c r="F1163" s="25" t="n">
        <v>1</v>
      </c>
      <c r="G1163" s="25" t="n">
        <v>1</v>
      </c>
    </row>
    <row r="1164" customFormat="false" ht="15" hidden="false" customHeight="false" outlineLevel="0" collapsed="false">
      <c r="A1164" s="25" t="n">
        <v>20240103</v>
      </c>
      <c r="B1164" s="25" t="s">
        <v>2243</v>
      </c>
      <c r="C1164" s="27" t="b">
        <f aca="false">FALSE()</f>
        <v>0</v>
      </c>
      <c r="D1164" s="26" t="n">
        <v>45294</v>
      </c>
      <c r="E1164" s="25" t="n">
        <v>2024</v>
      </c>
      <c r="F1164" s="25" t="n">
        <v>1</v>
      </c>
      <c r="G1164" s="25" t="n">
        <v>1</v>
      </c>
    </row>
    <row r="1165" customFormat="false" ht="15" hidden="false" customHeight="false" outlineLevel="0" collapsed="false">
      <c r="A1165" s="25" t="n">
        <v>20240104</v>
      </c>
      <c r="B1165" s="25" t="s">
        <v>2243</v>
      </c>
      <c r="C1165" s="27" t="b">
        <f aca="false">FALSE()</f>
        <v>0</v>
      </c>
      <c r="D1165" s="26" t="n">
        <v>45295</v>
      </c>
      <c r="E1165" s="25" t="n">
        <v>2024</v>
      </c>
      <c r="F1165" s="25" t="n">
        <v>1</v>
      </c>
      <c r="G1165" s="25" t="n">
        <v>1</v>
      </c>
    </row>
    <row r="1166" customFormat="false" ht="15" hidden="false" customHeight="false" outlineLevel="0" collapsed="false">
      <c r="A1166" s="25" t="n">
        <v>20240105</v>
      </c>
      <c r="B1166" s="25" t="s">
        <v>2243</v>
      </c>
      <c r="C1166" s="27" t="b">
        <f aca="false">FALSE()</f>
        <v>0</v>
      </c>
      <c r="D1166" s="26" t="n">
        <v>45296</v>
      </c>
      <c r="E1166" s="25" t="n">
        <v>2024</v>
      </c>
      <c r="F1166" s="25" t="n">
        <v>1</v>
      </c>
      <c r="G1166" s="25" t="n">
        <v>1</v>
      </c>
    </row>
    <row r="1167" customFormat="false" ht="15" hidden="false" customHeight="false" outlineLevel="0" collapsed="false">
      <c r="A1167" s="25" t="n">
        <v>20240106</v>
      </c>
      <c r="B1167" s="25" t="s">
        <v>2243</v>
      </c>
      <c r="C1167" s="27" t="b">
        <f aca="false">TRUE()</f>
        <v>1</v>
      </c>
      <c r="D1167" s="26" t="n">
        <v>45297</v>
      </c>
      <c r="E1167" s="25" t="n">
        <v>2024</v>
      </c>
      <c r="F1167" s="25" t="n">
        <v>1</v>
      </c>
      <c r="G1167" s="25" t="n">
        <v>1</v>
      </c>
    </row>
    <row r="1168" customFormat="false" ht="15" hidden="false" customHeight="false" outlineLevel="0" collapsed="false">
      <c r="A1168" s="25" t="n">
        <v>20240107</v>
      </c>
      <c r="B1168" s="25" t="s">
        <v>2243</v>
      </c>
      <c r="C1168" s="27" t="b">
        <f aca="false">TRUE()</f>
        <v>1</v>
      </c>
      <c r="D1168" s="26" t="n">
        <v>45298</v>
      </c>
      <c r="E1168" s="25" t="n">
        <v>2024</v>
      </c>
      <c r="F1168" s="25" t="n">
        <v>1</v>
      </c>
      <c r="G1168" s="25" t="n">
        <v>1</v>
      </c>
    </row>
    <row r="1169" customFormat="false" ht="15" hidden="false" customHeight="false" outlineLevel="0" collapsed="false">
      <c r="A1169" s="25" t="n">
        <v>20240108</v>
      </c>
      <c r="B1169" s="25" t="s">
        <v>2243</v>
      </c>
      <c r="C1169" s="27" t="b">
        <f aca="false">FALSE()</f>
        <v>0</v>
      </c>
      <c r="D1169" s="26" t="n">
        <v>45299</v>
      </c>
      <c r="E1169" s="25" t="n">
        <v>2024</v>
      </c>
      <c r="F1169" s="25" t="n">
        <v>1</v>
      </c>
      <c r="G1169" s="25" t="n">
        <v>1</v>
      </c>
    </row>
    <row r="1170" customFormat="false" ht="15" hidden="false" customHeight="false" outlineLevel="0" collapsed="false">
      <c r="A1170" s="25" t="n">
        <v>20240109</v>
      </c>
      <c r="B1170" s="25" t="s">
        <v>2243</v>
      </c>
      <c r="C1170" s="27" t="b">
        <f aca="false">FALSE()</f>
        <v>0</v>
      </c>
      <c r="D1170" s="26" t="n">
        <v>45300</v>
      </c>
      <c r="E1170" s="25" t="n">
        <v>2024</v>
      </c>
      <c r="F1170" s="25" t="n">
        <v>1</v>
      </c>
      <c r="G1170" s="25" t="n">
        <v>1</v>
      </c>
    </row>
    <row r="1171" customFormat="false" ht="15" hidden="false" customHeight="false" outlineLevel="0" collapsed="false">
      <c r="A1171" s="25" t="n">
        <v>20240110</v>
      </c>
      <c r="B1171" s="25" t="s">
        <v>2243</v>
      </c>
      <c r="C1171" s="27" t="b">
        <f aca="false">FALSE()</f>
        <v>0</v>
      </c>
      <c r="D1171" s="26" t="n">
        <v>45301</v>
      </c>
      <c r="E1171" s="25" t="n">
        <v>2024</v>
      </c>
      <c r="F1171" s="25" t="n">
        <v>1</v>
      </c>
      <c r="G1171" s="25" t="n">
        <v>1</v>
      </c>
    </row>
    <row r="1172" customFormat="false" ht="15" hidden="false" customHeight="false" outlineLevel="0" collapsed="false">
      <c r="A1172" s="25" t="n">
        <v>20240111</v>
      </c>
      <c r="B1172" s="25" t="s">
        <v>2243</v>
      </c>
      <c r="C1172" s="27" t="b">
        <f aca="false">FALSE()</f>
        <v>0</v>
      </c>
      <c r="D1172" s="26" t="n">
        <v>45302</v>
      </c>
      <c r="E1172" s="25" t="n">
        <v>2024</v>
      </c>
      <c r="F1172" s="25" t="n">
        <v>1</v>
      </c>
      <c r="G1172" s="25" t="n">
        <v>1</v>
      </c>
    </row>
    <row r="1173" customFormat="false" ht="15" hidden="false" customHeight="false" outlineLevel="0" collapsed="false">
      <c r="A1173" s="25" t="n">
        <v>20240112</v>
      </c>
      <c r="B1173" s="25" t="s">
        <v>2243</v>
      </c>
      <c r="C1173" s="27" t="b">
        <f aca="false">FALSE()</f>
        <v>0</v>
      </c>
      <c r="D1173" s="26" t="n">
        <v>45303</v>
      </c>
      <c r="E1173" s="25" t="n">
        <v>2024</v>
      </c>
      <c r="F1173" s="25" t="n">
        <v>1</v>
      </c>
      <c r="G1173" s="25" t="n">
        <v>1</v>
      </c>
    </row>
    <row r="1174" customFormat="false" ht="15" hidden="false" customHeight="false" outlineLevel="0" collapsed="false">
      <c r="A1174" s="25" t="n">
        <v>20240113</v>
      </c>
      <c r="B1174" s="25" t="s">
        <v>2243</v>
      </c>
      <c r="C1174" s="27" t="b">
        <f aca="false">TRUE()</f>
        <v>1</v>
      </c>
      <c r="D1174" s="26" t="n">
        <v>45304</v>
      </c>
      <c r="E1174" s="25" t="n">
        <v>2024</v>
      </c>
      <c r="F1174" s="25" t="n">
        <v>1</v>
      </c>
      <c r="G1174" s="25" t="n">
        <v>1</v>
      </c>
    </row>
    <row r="1175" customFormat="false" ht="15" hidden="false" customHeight="false" outlineLevel="0" collapsed="false">
      <c r="A1175" s="25" t="n">
        <v>20240114</v>
      </c>
      <c r="B1175" s="25" t="s">
        <v>2243</v>
      </c>
      <c r="C1175" s="27" t="b">
        <f aca="false">TRUE()</f>
        <v>1</v>
      </c>
      <c r="D1175" s="26" t="n">
        <v>45305</v>
      </c>
      <c r="E1175" s="25" t="n">
        <v>2024</v>
      </c>
      <c r="F1175" s="25" t="n">
        <v>1</v>
      </c>
      <c r="G1175" s="25" t="n">
        <v>1</v>
      </c>
    </row>
    <row r="1176" customFormat="false" ht="15" hidden="false" customHeight="false" outlineLevel="0" collapsed="false">
      <c r="A1176" s="25" t="n">
        <v>20240115</v>
      </c>
      <c r="B1176" s="25" t="s">
        <v>2243</v>
      </c>
      <c r="C1176" s="27" t="b">
        <f aca="false">FALSE()</f>
        <v>0</v>
      </c>
      <c r="D1176" s="26" t="n">
        <v>45306</v>
      </c>
      <c r="E1176" s="25" t="n">
        <v>2024</v>
      </c>
      <c r="F1176" s="25" t="n">
        <v>1</v>
      </c>
      <c r="G1176" s="25" t="n">
        <v>1</v>
      </c>
    </row>
    <row r="1177" customFormat="false" ht="15" hidden="false" customHeight="false" outlineLevel="0" collapsed="false">
      <c r="A1177" s="25" t="n">
        <v>20240116</v>
      </c>
      <c r="B1177" s="25" t="s">
        <v>2243</v>
      </c>
      <c r="C1177" s="27" t="b">
        <f aca="false">FALSE()</f>
        <v>0</v>
      </c>
      <c r="D1177" s="26" t="n">
        <v>45307</v>
      </c>
      <c r="E1177" s="25" t="n">
        <v>2024</v>
      </c>
      <c r="F1177" s="25" t="n">
        <v>1</v>
      </c>
      <c r="G1177" s="25" t="n">
        <v>1</v>
      </c>
    </row>
    <row r="1178" customFormat="false" ht="15" hidden="false" customHeight="false" outlineLevel="0" collapsed="false">
      <c r="A1178" s="25" t="n">
        <v>20240117</v>
      </c>
      <c r="B1178" s="25" t="s">
        <v>2243</v>
      </c>
      <c r="C1178" s="27" t="b">
        <f aca="false">FALSE()</f>
        <v>0</v>
      </c>
      <c r="D1178" s="26" t="n">
        <v>45308</v>
      </c>
      <c r="E1178" s="25" t="n">
        <v>2024</v>
      </c>
      <c r="F1178" s="25" t="n">
        <v>1</v>
      </c>
      <c r="G1178" s="25" t="n">
        <v>1</v>
      </c>
    </row>
    <row r="1179" customFormat="false" ht="15" hidden="false" customHeight="false" outlineLevel="0" collapsed="false">
      <c r="A1179" s="25" t="n">
        <v>20240118</v>
      </c>
      <c r="B1179" s="25" t="s">
        <v>2243</v>
      </c>
      <c r="C1179" s="27" t="b">
        <f aca="false">FALSE()</f>
        <v>0</v>
      </c>
      <c r="D1179" s="26" t="n">
        <v>45309</v>
      </c>
      <c r="E1179" s="25" t="n">
        <v>2024</v>
      </c>
      <c r="F1179" s="25" t="n">
        <v>1</v>
      </c>
      <c r="G1179" s="25" t="n">
        <v>1</v>
      </c>
    </row>
    <row r="1180" customFormat="false" ht="15" hidden="false" customHeight="false" outlineLevel="0" collapsed="false">
      <c r="A1180" s="25" t="n">
        <v>20240119</v>
      </c>
      <c r="B1180" s="25" t="s">
        <v>2243</v>
      </c>
      <c r="C1180" s="27" t="b">
        <f aca="false">FALSE()</f>
        <v>0</v>
      </c>
      <c r="D1180" s="26" t="n">
        <v>45310</v>
      </c>
      <c r="E1180" s="25" t="n">
        <v>2024</v>
      </c>
      <c r="F1180" s="25" t="n">
        <v>1</v>
      </c>
      <c r="G1180" s="25" t="n">
        <v>1</v>
      </c>
    </row>
    <row r="1181" customFormat="false" ht="15" hidden="false" customHeight="false" outlineLevel="0" collapsed="false">
      <c r="A1181" s="25" t="n">
        <v>20240120</v>
      </c>
      <c r="B1181" s="25" t="s">
        <v>2243</v>
      </c>
      <c r="C1181" s="27" t="b">
        <f aca="false">TRUE()</f>
        <v>1</v>
      </c>
      <c r="D1181" s="26" t="n">
        <v>45311</v>
      </c>
      <c r="E1181" s="25" t="n">
        <v>2024</v>
      </c>
      <c r="F1181" s="25" t="n">
        <v>1</v>
      </c>
      <c r="G1181" s="25" t="n">
        <v>1</v>
      </c>
    </row>
    <row r="1182" customFormat="false" ht="15" hidden="false" customHeight="false" outlineLevel="0" collapsed="false">
      <c r="A1182" s="25" t="n">
        <v>20240121</v>
      </c>
      <c r="B1182" s="25" t="s">
        <v>2243</v>
      </c>
      <c r="C1182" s="27" t="b">
        <f aca="false">TRUE()</f>
        <v>1</v>
      </c>
      <c r="D1182" s="26" t="n">
        <v>45312</v>
      </c>
      <c r="E1182" s="25" t="n">
        <v>2024</v>
      </c>
      <c r="F1182" s="25" t="n">
        <v>1</v>
      </c>
      <c r="G1182" s="25" t="n">
        <v>1</v>
      </c>
    </row>
    <row r="1183" customFormat="false" ht="15" hidden="false" customHeight="false" outlineLevel="0" collapsed="false">
      <c r="A1183" s="25" t="n">
        <v>20240122</v>
      </c>
      <c r="B1183" s="25" t="s">
        <v>2243</v>
      </c>
      <c r="C1183" s="27" t="b">
        <f aca="false">FALSE()</f>
        <v>0</v>
      </c>
      <c r="D1183" s="26" t="n">
        <v>45313</v>
      </c>
      <c r="E1183" s="25" t="n">
        <v>2024</v>
      </c>
      <c r="F1183" s="25" t="n">
        <v>1</v>
      </c>
      <c r="G1183" s="25" t="n">
        <v>1</v>
      </c>
    </row>
    <row r="1184" customFormat="false" ht="15" hidden="false" customHeight="false" outlineLevel="0" collapsed="false">
      <c r="A1184" s="25" t="n">
        <v>20240123</v>
      </c>
      <c r="B1184" s="25" t="s">
        <v>2243</v>
      </c>
      <c r="C1184" s="27" t="b">
        <f aca="false">FALSE()</f>
        <v>0</v>
      </c>
      <c r="D1184" s="26" t="n">
        <v>45314</v>
      </c>
      <c r="E1184" s="25" t="n">
        <v>2024</v>
      </c>
      <c r="F1184" s="25" t="n">
        <v>1</v>
      </c>
      <c r="G1184" s="25" t="n">
        <v>1</v>
      </c>
    </row>
    <row r="1185" customFormat="false" ht="15" hidden="false" customHeight="false" outlineLevel="0" collapsed="false">
      <c r="A1185" s="25" t="n">
        <v>20240124</v>
      </c>
      <c r="B1185" s="25" t="s">
        <v>2243</v>
      </c>
      <c r="C1185" s="27" t="b">
        <f aca="false">FALSE()</f>
        <v>0</v>
      </c>
      <c r="D1185" s="26" t="n">
        <v>45315</v>
      </c>
      <c r="E1185" s="25" t="n">
        <v>2024</v>
      </c>
      <c r="F1185" s="25" t="n">
        <v>1</v>
      </c>
      <c r="G1185" s="25" t="n">
        <v>1</v>
      </c>
    </row>
    <row r="1186" customFormat="false" ht="15" hidden="false" customHeight="false" outlineLevel="0" collapsed="false">
      <c r="A1186" s="25" t="n">
        <v>20240125</v>
      </c>
      <c r="B1186" s="25" t="s">
        <v>2243</v>
      </c>
      <c r="C1186" s="27" t="b">
        <f aca="false">FALSE()</f>
        <v>0</v>
      </c>
      <c r="D1186" s="26" t="n">
        <v>45316</v>
      </c>
      <c r="E1186" s="25" t="n">
        <v>2024</v>
      </c>
      <c r="F1186" s="25" t="n">
        <v>1</v>
      </c>
      <c r="G1186" s="25" t="n">
        <v>1</v>
      </c>
    </row>
    <row r="1187" customFormat="false" ht="15" hidden="false" customHeight="false" outlineLevel="0" collapsed="false">
      <c r="A1187" s="25" t="n">
        <v>20240126</v>
      </c>
      <c r="B1187" s="25" t="s">
        <v>2243</v>
      </c>
      <c r="C1187" s="27" t="b">
        <f aca="false">FALSE()</f>
        <v>0</v>
      </c>
      <c r="D1187" s="26" t="n">
        <v>45317</v>
      </c>
      <c r="E1187" s="25" t="n">
        <v>2024</v>
      </c>
      <c r="F1187" s="25" t="n">
        <v>1</v>
      </c>
      <c r="G1187" s="25" t="n">
        <v>1</v>
      </c>
    </row>
    <row r="1188" customFormat="false" ht="15" hidden="false" customHeight="false" outlineLevel="0" collapsed="false">
      <c r="A1188" s="25" t="n">
        <v>20240127</v>
      </c>
      <c r="B1188" s="25" t="s">
        <v>2243</v>
      </c>
      <c r="C1188" s="27" t="b">
        <f aca="false">TRUE()</f>
        <v>1</v>
      </c>
      <c r="D1188" s="26" t="n">
        <v>45318</v>
      </c>
      <c r="E1188" s="25" t="n">
        <v>2024</v>
      </c>
      <c r="F1188" s="25" t="n">
        <v>1</v>
      </c>
      <c r="G1188" s="25" t="n">
        <v>1</v>
      </c>
    </row>
    <row r="1189" customFormat="false" ht="15" hidden="false" customHeight="false" outlineLevel="0" collapsed="false">
      <c r="A1189" s="25" t="n">
        <v>20240128</v>
      </c>
      <c r="B1189" s="25" t="s">
        <v>2243</v>
      </c>
      <c r="C1189" s="27" t="b">
        <f aca="false">TRUE()</f>
        <v>1</v>
      </c>
      <c r="D1189" s="26" t="n">
        <v>45319</v>
      </c>
      <c r="E1189" s="25" t="n">
        <v>2024</v>
      </c>
      <c r="F1189" s="25" t="n">
        <v>1</v>
      </c>
      <c r="G1189" s="25" t="n">
        <v>1</v>
      </c>
    </row>
    <row r="1190" customFormat="false" ht="15" hidden="false" customHeight="false" outlineLevel="0" collapsed="false">
      <c r="A1190" s="25" t="n">
        <v>20240129</v>
      </c>
      <c r="B1190" s="25" t="s">
        <v>2243</v>
      </c>
      <c r="C1190" s="27" t="b">
        <f aca="false">FALSE()</f>
        <v>0</v>
      </c>
      <c r="D1190" s="26" t="n">
        <v>45320</v>
      </c>
      <c r="E1190" s="25" t="n">
        <v>2024</v>
      </c>
      <c r="F1190" s="25" t="n">
        <v>1</v>
      </c>
      <c r="G1190" s="25" t="n">
        <v>1</v>
      </c>
    </row>
    <row r="1191" customFormat="false" ht="15" hidden="false" customHeight="false" outlineLevel="0" collapsed="false">
      <c r="A1191" s="25" t="n">
        <v>20240130</v>
      </c>
      <c r="B1191" s="25" t="s">
        <v>2243</v>
      </c>
      <c r="C1191" s="27" t="b">
        <f aca="false">FALSE()</f>
        <v>0</v>
      </c>
      <c r="D1191" s="26" t="n">
        <v>45321</v>
      </c>
      <c r="E1191" s="25" t="n">
        <v>2024</v>
      </c>
      <c r="F1191" s="25" t="n">
        <v>1</v>
      </c>
      <c r="G1191" s="25" t="n">
        <v>1</v>
      </c>
    </row>
    <row r="1192" customFormat="false" ht="15" hidden="false" customHeight="false" outlineLevel="0" collapsed="false">
      <c r="A1192" s="25" t="n">
        <v>20240131</v>
      </c>
      <c r="B1192" s="25" t="s">
        <v>2243</v>
      </c>
      <c r="C1192" s="27" t="b">
        <f aca="false">FALSE()</f>
        <v>0</v>
      </c>
      <c r="D1192" s="26" t="n">
        <v>45322</v>
      </c>
      <c r="E1192" s="25" t="n">
        <v>2024</v>
      </c>
      <c r="F1192" s="25" t="n">
        <v>1</v>
      </c>
      <c r="G1192" s="25" t="n">
        <v>1</v>
      </c>
    </row>
    <row r="1193" customFormat="false" ht="15" hidden="false" customHeight="false" outlineLevel="0" collapsed="false">
      <c r="A1193" s="25" t="n">
        <v>20240201</v>
      </c>
      <c r="B1193" s="25" t="s">
        <v>2244</v>
      </c>
      <c r="C1193" s="27" t="b">
        <f aca="false">FALSE()</f>
        <v>0</v>
      </c>
      <c r="D1193" s="26" t="n">
        <v>45323</v>
      </c>
      <c r="E1193" s="25" t="n">
        <v>2024</v>
      </c>
      <c r="F1193" s="25" t="n">
        <v>1</v>
      </c>
      <c r="G1193" s="25" t="n">
        <v>2</v>
      </c>
    </row>
    <row r="1194" customFormat="false" ht="15" hidden="false" customHeight="false" outlineLevel="0" collapsed="false">
      <c r="A1194" s="25" t="n">
        <v>20240202</v>
      </c>
      <c r="B1194" s="25" t="s">
        <v>2244</v>
      </c>
      <c r="C1194" s="27" t="b">
        <f aca="false">FALSE()</f>
        <v>0</v>
      </c>
      <c r="D1194" s="26" t="n">
        <v>45324</v>
      </c>
      <c r="E1194" s="25" t="n">
        <v>2024</v>
      </c>
      <c r="F1194" s="25" t="n">
        <v>1</v>
      </c>
      <c r="G1194" s="25" t="n">
        <v>2</v>
      </c>
    </row>
    <row r="1195" customFormat="false" ht="15" hidden="false" customHeight="false" outlineLevel="0" collapsed="false">
      <c r="A1195" s="25" t="n">
        <v>20240203</v>
      </c>
      <c r="B1195" s="25" t="s">
        <v>2244</v>
      </c>
      <c r="C1195" s="27" t="b">
        <f aca="false">TRUE()</f>
        <v>1</v>
      </c>
      <c r="D1195" s="26" t="n">
        <v>45325</v>
      </c>
      <c r="E1195" s="25" t="n">
        <v>2024</v>
      </c>
      <c r="F1195" s="25" t="n">
        <v>1</v>
      </c>
      <c r="G1195" s="25" t="n">
        <v>2</v>
      </c>
    </row>
    <row r="1196" customFormat="false" ht="15" hidden="false" customHeight="false" outlineLevel="0" collapsed="false">
      <c r="A1196" s="25" t="n">
        <v>20240204</v>
      </c>
      <c r="B1196" s="25" t="s">
        <v>2244</v>
      </c>
      <c r="C1196" s="27" t="b">
        <f aca="false">TRUE()</f>
        <v>1</v>
      </c>
      <c r="D1196" s="26" t="n">
        <v>45326</v>
      </c>
      <c r="E1196" s="25" t="n">
        <v>2024</v>
      </c>
      <c r="F1196" s="25" t="n">
        <v>1</v>
      </c>
      <c r="G1196" s="25" t="n">
        <v>2</v>
      </c>
    </row>
    <row r="1197" customFormat="false" ht="15" hidden="false" customHeight="false" outlineLevel="0" collapsed="false">
      <c r="A1197" s="25" t="n">
        <v>20240205</v>
      </c>
      <c r="B1197" s="25" t="s">
        <v>2244</v>
      </c>
      <c r="C1197" s="27" t="b">
        <f aca="false">FALSE()</f>
        <v>0</v>
      </c>
      <c r="D1197" s="26" t="n">
        <v>45327</v>
      </c>
      <c r="E1197" s="25" t="n">
        <v>2024</v>
      </c>
      <c r="F1197" s="25" t="n">
        <v>1</v>
      </c>
      <c r="G1197" s="25" t="n">
        <v>2</v>
      </c>
    </row>
    <row r="1198" customFormat="false" ht="15" hidden="false" customHeight="false" outlineLevel="0" collapsed="false">
      <c r="A1198" s="25" t="n">
        <v>20240206</v>
      </c>
      <c r="B1198" s="25" t="s">
        <v>2244</v>
      </c>
      <c r="C1198" s="27" t="b">
        <f aca="false">FALSE()</f>
        <v>0</v>
      </c>
      <c r="D1198" s="26" t="n">
        <v>45328</v>
      </c>
      <c r="E1198" s="25" t="n">
        <v>2024</v>
      </c>
      <c r="F1198" s="25" t="n">
        <v>1</v>
      </c>
      <c r="G1198" s="25" t="n">
        <v>2</v>
      </c>
    </row>
    <row r="1199" customFormat="false" ht="15" hidden="false" customHeight="false" outlineLevel="0" collapsed="false">
      <c r="A1199" s="25" t="n">
        <v>20240207</v>
      </c>
      <c r="B1199" s="25" t="s">
        <v>2244</v>
      </c>
      <c r="C1199" s="27" t="b">
        <f aca="false">FALSE()</f>
        <v>0</v>
      </c>
      <c r="D1199" s="26" t="n">
        <v>45329</v>
      </c>
      <c r="E1199" s="25" t="n">
        <v>2024</v>
      </c>
      <c r="F1199" s="25" t="n">
        <v>1</v>
      </c>
      <c r="G1199" s="25" t="n">
        <v>2</v>
      </c>
    </row>
    <row r="1200" customFormat="false" ht="15" hidden="false" customHeight="false" outlineLevel="0" collapsed="false">
      <c r="A1200" s="25" t="n">
        <v>20240208</v>
      </c>
      <c r="B1200" s="25" t="s">
        <v>2244</v>
      </c>
      <c r="C1200" s="27" t="b">
        <f aca="false">FALSE()</f>
        <v>0</v>
      </c>
      <c r="D1200" s="26" t="n">
        <v>45330</v>
      </c>
      <c r="E1200" s="25" t="n">
        <v>2024</v>
      </c>
      <c r="F1200" s="25" t="n">
        <v>1</v>
      </c>
      <c r="G1200" s="25" t="n">
        <v>2</v>
      </c>
    </row>
    <row r="1201" customFormat="false" ht="15" hidden="false" customHeight="false" outlineLevel="0" collapsed="false">
      <c r="A1201" s="25" t="n">
        <v>20240209</v>
      </c>
      <c r="B1201" s="25" t="s">
        <v>2244</v>
      </c>
      <c r="C1201" s="27" t="b">
        <f aca="false">FALSE()</f>
        <v>0</v>
      </c>
      <c r="D1201" s="26" t="n">
        <v>45331</v>
      </c>
      <c r="E1201" s="25" t="n">
        <v>2024</v>
      </c>
      <c r="F1201" s="25" t="n">
        <v>1</v>
      </c>
      <c r="G1201" s="25" t="n">
        <v>2</v>
      </c>
    </row>
    <row r="1202" customFormat="false" ht="15" hidden="false" customHeight="false" outlineLevel="0" collapsed="false">
      <c r="A1202" s="25" t="n">
        <v>20240210</v>
      </c>
      <c r="B1202" s="25" t="s">
        <v>2244</v>
      </c>
      <c r="C1202" s="27" t="b">
        <f aca="false">TRUE()</f>
        <v>1</v>
      </c>
      <c r="D1202" s="26" t="n">
        <v>45332</v>
      </c>
      <c r="E1202" s="25" t="n">
        <v>2024</v>
      </c>
      <c r="F1202" s="25" t="n">
        <v>1</v>
      </c>
      <c r="G1202" s="25" t="n">
        <v>2</v>
      </c>
    </row>
    <row r="1203" customFormat="false" ht="15" hidden="false" customHeight="false" outlineLevel="0" collapsed="false">
      <c r="A1203" s="25" t="n">
        <v>20240211</v>
      </c>
      <c r="B1203" s="25" t="s">
        <v>2244</v>
      </c>
      <c r="C1203" s="27" t="b">
        <f aca="false">TRUE()</f>
        <v>1</v>
      </c>
      <c r="D1203" s="26" t="n">
        <v>45333</v>
      </c>
      <c r="E1203" s="25" t="n">
        <v>2024</v>
      </c>
      <c r="F1203" s="25" t="n">
        <v>1</v>
      </c>
      <c r="G1203" s="25" t="n">
        <v>2</v>
      </c>
    </row>
    <row r="1204" customFormat="false" ht="15" hidden="false" customHeight="false" outlineLevel="0" collapsed="false">
      <c r="A1204" s="25" t="n">
        <v>20240212</v>
      </c>
      <c r="B1204" s="25" t="s">
        <v>2244</v>
      </c>
      <c r="C1204" s="27" t="b">
        <f aca="false">FALSE()</f>
        <v>0</v>
      </c>
      <c r="D1204" s="26" t="n">
        <v>45334</v>
      </c>
      <c r="E1204" s="25" t="n">
        <v>2024</v>
      </c>
      <c r="F1204" s="25" t="n">
        <v>1</v>
      </c>
      <c r="G1204" s="25" t="n">
        <v>2</v>
      </c>
    </row>
    <row r="1205" customFormat="false" ht="15" hidden="false" customHeight="false" outlineLevel="0" collapsed="false">
      <c r="A1205" s="25" t="n">
        <v>20240213</v>
      </c>
      <c r="B1205" s="25" t="s">
        <v>2244</v>
      </c>
      <c r="C1205" s="27" t="b">
        <f aca="false">FALSE()</f>
        <v>0</v>
      </c>
      <c r="D1205" s="26" t="n">
        <v>45335</v>
      </c>
      <c r="E1205" s="25" t="n">
        <v>2024</v>
      </c>
      <c r="F1205" s="25" t="n">
        <v>1</v>
      </c>
      <c r="G1205" s="25" t="n">
        <v>2</v>
      </c>
    </row>
    <row r="1206" customFormat="false" ht="15" hidden="false" customHeight="false" outlineLevel="0" collapsed="false">
      <c r="A1206" s="25" t="n">
        <v>20240214</v>
      </c>
      <c r="B1206" s="25" t="s">
        <v>2244</v>
      </c>
      <c r="C1206" s="27" t="b">
        <f aca="false">FALSE()</f>
        <v>0</v>
      </c>
      <c r="D1206" s="26" t="n">
        <v>45336</v>
      </c>
      <c r="E1206" s="25" t="n">
        <v>2024</v>
      </c>
      <c r="F1206" s="25" t="n">
        <v>1</v>
      </c>
      <c r="G1206" s="25" t="n">
        <v>2</v>
      </c>
    </row>
    <row r="1207" customFormat="false" ht="15" hidden="false" customHeight="false" outlineLevel="0" collapsed="false">
      <c r="A1207" s="25" t="n">
        <v>20240215</v>
      </c>
      <c r="B1207" s="25" t="s">
        <v>2244</v>
      </c>
      <c r="C1207" s="27" t="b">
        <f aca="false">FALSE()</f>
        <v>0</v>
      </c>
      <c r="D1207" s="26" t="n">
        <v>45337</v>
      </c>
      <c r="E1207" s="25" t="n">
        <v>2024</v>
      </c>
      <c r="F1207" s="25" t="n">
        <v>1</v>
      </c>
      <c r="G1207" s="25" t="n">
        <v>2</v>
      </c>
    </row>
    <row r="1208" customFormat="false" ht="15" hidden="false" customHeight="false" outlineLevel="0" collapsed="false">
      <c r="A1208" s="25" t="n">
        <v>20240216</v>
      </c>
      <c r="B1208" s="25" t="s">
        <v>2244</v>
      </c>
      <c r="C1208" s="27" t="b">
        <f aca="false">FALSE()</f>
        <v>0</v>
      </c>
      <c r="D1208" s="26" t="n">
        <v>45338</v>
      </c>
      <c r="E1208" s="25" t="n">
        <v>2024</v>
      </c>
      <c r="F1208" s="25" t="n">
        <v>1</v>
      </c>
      <c r="G1208" s="25" t="n">
        <v>2</v>
      </c>
    </row>
    <row r="1209" customFormat="false" ht="15" hidden="false" customHeight="false" outlineLevel="0" collapsed="false">
      <c r="A1209" s="25" t="n">
        <v>20240217</v>
      </c>
      <c r="B1209" s="25" t="s">
        <v>2244</v>
      </c>
      <c r="C1209" s="27" t="b">
        <f aca="false">TRUE()</f>
        <v>1</v>
      </c>
      <c r="D1209" s="26" t="n">
        <v>45339</v>
      </c>
      <c r="E1209" s="25" t="n">
        <v>2024</v>
      </c>
      <c r="F1209" s="25" t="n">
        <v>1</v>
      </c>
      <c r="G1209" s="25" t="n">
        <v>2</v>
      </c>
    </row>
    <row r="1210" customFormat="false" ht="15" hidden="false" customHeight="false" outlineLevel="0" collapsed="false">
      <c r="A1210" s="25" t="n">
        <v>20240218</v>
      </c>
      <c r="B1210" s="25" t="s">
        <v>2244</v>
      </c>
      <c r="C1210" s="27" t="b">
        <f aca="false">TRUE()</f>
        <v>1</v>
      </c>
      <c r="D1210" s="26" t="n">
        <v>45340</v>
      </c>
      <c r="E1210" s="25" t="n">
        <v>2024</v>
      </c>
      <c r="F1210" s="25" t="n">
        <v>1</v>
      </c>
      <c r="G1210" s="25" t="n">
        <v>2</v>
      </c>
    </row>
    <row r="1211" customFormat="false" ht="15" hidden="false" customHeight="false" outlineLevel="0" collapsed="false">
      <c r="A1211" s="25" t="n">
        <v>20240219</v>
      </c>
      <c r="B1211" s="25" t="s">
        <v>2244</v>
      </c>
      <c r="C1211" s="27" t="b">
        <f aca="false">FALSE()</f>
        <v>0</v>
      </c>
      <c r="D1211" s="26" t="n">
        <v>45341</v>
      </c>
      <c r="E1211" s="25" t="n">
        <v>2024</v>
      </c>
      <c r="F1211" s="25" t="n">
        <v>1</v>
      </c>
      <c r="G1211" s="25" t="n">
        <v>2</v>
      </c>
    </row>
    <row r="1212" customFormat="false" ht="15" hidden="false" customHeight="false" outlineLevel="0" collapsed="false">
      <c r="A1212" s="25" t="n">
        <v>20240220</v>
      </c>
      <c r="B1212" s="25" t="s">
        <v>2244</v>
      </c>
      <c r="C1212" s="27" t="b">
        <f aca="false">FALSE()</f>
        <v>0</v>
      </c>
      <c r="D1212" s="26" t="n">
        <v>45342</v>
      </c>
      <c r="E1212" s="25" t="n">
        <v>2024</v>
      </c>
      <c r="F1212" s="25" t="n">
        <v>1</v>
      </c>
      <c r="G1212" s="25" t="n">
        <v>2</v>
      </c>
    </row>
    <row r="1213" customFormat="false" ht="15" hidden="false" customHeight="false" outlineLevel="0" collapsed="false">
      <c r="A1213" s="25" t="n">
        <v>20240221</v>
      </c>
      <c r="B1213" s="25" t="s">
        <v>2244</v>
      </c>
      <c r="C1213" s="27" t="b">
        <f aca="false">FALSE()</f>
        <v>0</v>
      </c>
      <c r="D1213" s="26" t="n">
        <v>45343</v>
      </c>
      <c r="E1213" s="25" t="n">
        <v>2024</v>
      </c>
      <c r="F1213" s="25" t="n">
        <v>1</v>
      </c>
      <c r="G1213" s="25" t="n">
        <v>2</v>
      </c>
    </row>
    <row r="1214" customFormat="false" ht="15" hidden="false" customHeight="false" outlineLevel="0" collapsed="false">
      <c r="A1214" s="25" t="n">
        <v>20240222</v>
      </c>
      <c r="B1214" s="25" t="s">
        <v>2244</v>
      </c>
      <c r="C1214" s="27" t="b">
        <f aca="false">FALSE()</f>
        <v>0</v>
      </c>
      <c r="D1214" s="26" t="n">
        <v>45344</v>
      </c>
      <c r="E1214" s="25" t="n">
        <v>2024</v>
      </c>
      <c r="F1214" s="25" t="n">
        <v>1</v>
      </c>
      <c r="G1214" s="25" t="n">
        <v>2</v>
      </c>
    </row>
    <row r="1215" customFormat="false" ht="15" hidden="false" customHeight="false" outlineLevel="0" collapsed="false">
      <c r="A1215" s="25" t="n">
        <v>20240223</v>
      </c>
      <c r="B1215" s="25" t="s">
        <v>2244</v>
      </c>
      <c r="C1215" s="27" t="b">
        <f aca="false">FALSE()</f>
        <v>0</v>
      </c>
      <c r="D1215" s="26" t="n">
        <v>45345</v>
      </c>
      <c r="E1215" s="25" t="n">
        <v>2024</v>
      </c>
      <c r="F1215" s="25" t="n">
        <v>1</v>
      </c>
      <c r="G1215" s="25" t="n">
        <v>2</v>
      </c>
    </row>
    <row r="1216" customFormat="false" ht="15" hidden="false" customHeight="false" outlineLevel="0" collapsed="false">
      <c r="A1216" s="25" t="n">
        <v>20240224</v>
      </c>
      <c r="B1216" s="25" t="s">
        <v>2244</v>
      </c>
      <c r="C1216" s="27" t="b">
        <f aca="false">TRUE()</f>
        <v>1</v>
      </c>
      <c r="D1216" s="26" t="n">
        <v>45346</v>
      </c>
      <c r="E1216" s="25" t="n">
        <v>2024</v>
      </c>
      <c r="F1216" s="25" t="n">
        <v>1</v>
      </c>
      <c r="G1216" s="25" t="n">
        <v>2</v>
      </c>
    </row>
    <row r="1217" customFormat="false" ht="15" hidden="false" customHeight="false" outlineLevel="0" collapsed="false">
      <c r="A1217" s="25" t="n">
        <v>20240225</v>
      </c>
      <c r="B1217" s="25" t="s">
        <v>2244</v>
      </c>
      <c r="C1217" s="27" t="b">
        <f aca="false">TRUE()</f>
        <v>1</v>
      </c>
      <c r="D1217" s="26" t="n">
        <v>45347</v>
      </c>
      <c r="E1217" s="25" t="n">
        <v>2024</v>
      </c>
      <c r="F1217" s="25" t="n">
        <v>1</v>
      </c>
      <c r="G1217" s="25" t="n">
        <v>2</v>
      </c>
    </row>
    <row r="1218" customFormat="false" ht="15" hidden="false" customHeight="false" outlineLevel="0" collapsed="false">
      <c r="A1218" s="25" t="n">
        <v>20240226</v>
      </c>
      <c r="B1218" s="25" t="s">
        <v>2244</v>
      </c>
      <c r="C1218" s="27" t="b">
        <f aca="false">FALSE()</f>
        <v>0</v>
      </c>
      <c r="D1218" s="26" t="n">
        <v>45348</v>
      </c>
      <c r="E1218" s="25" t="n">
        <v>2024</v>
      </c>
      <c r="F1218" s="25" t="n">
        <v>1</v>
      </c>
      <c r="G1218" s="25" t="n">
        <v>2</v>
      </c>
    </row>
    <row r="1219" customFormat="false" ht="15" hidden="false" customHeight="false" outlineLevel="0" collapsed="false">
      <c r="A1219" s="25" t="n">
        <v>20240227</v>
      </c>
      <c r="B1219" s="25" t="s">
        <v>2244</v>
      </c>
      <c r="C1219" s="27" t="b">
        <f aca="false">FALSE()</f>
        <v>0</v>
      </c>
      <c r="D1219" s="26" t="n">
        <v>45349</v>
      </c>
      <c r="E1219" s="25" t="n">
        <v>2024</v>
      </c>
      <c r="F1219" s="25" t="n">
        <v>1</v>
      </c>
      <c r="G1219" s="25" t="n">
        <v>2</v>
      </c>
    </row>
    <row r="1220" customFormat="false" ht="15" hidden="false" customHeight="false" outlineLevel="0" collapsed="false">
      <c r="A1220" s="25" t="n">
        <v>20240228</v>
      </c>
      <c r="B1220" s="25" t="s">
        <v>2244</v>
      </c>
      <c r="C1220" s="27" t="b">
        <f aca="false">FALSE()</f>
        <v>0</v>
      </c>
      <c r="D1220" s="26" t="n">
        <v>45350</v>
      </c>
      <c r="E1220" s="25" t="n">
        <v>2024</v>
      </c>
      <c r="F1220" s="25" t="n">
        <v>1</v>
      </c>
      <c r="G1220" s="25" t="n">
        <v>2</v>
      </c>
    </row>
    <row r="1221" customFormat="false" ht="15" hidden="false" customHeight="false" outlineLevel="0" collapsed="false">
      <c r="A1221" s="25" t="n">
        <v>20240229</v>
      </c>
      <c r="B1221" s="25" t="s">
        <v>2244</v>
      </c>
      <c r="C1221" s="27" t="b">
        <f aca="false">FALSE()</f>
        <v>0</v>
      </c>
      <c r="D1221" s="26" t="n">
        <v>45351</v>
      </c>
      <c r="E1221" s="25" t="n">
        <v>2024</v>
      </c>
      <c r="F1221" s="25" t="n">
        <v>1</v>
      </c>
      <c r="G1221" s="25" t="n">
        <v>2</v>
      </c>
    </row>
    <row r="1222" customFormat="false" ht="15" hidden="false" customHeight="false" outlineLevel="0" collapsed="false">
      <c r="A1222" s="25" t="n">
        <v>20240301</v>
      </c>
      <c r="B1222" s="25" t="s">
        <v>2245</v>
      </c>
      <c r="C1222" s="27" t="b">
        <f aca="false">FALSE()</f>
        <v>0</v>
      </c>
      <c r="D1222" s="26" t="n">
        <v>45352</v>
      </c>
      <c r="E1222" s="25" t="n">
        <v>2024</v>
      </c>
      <c r="F1222" s="25" t="n">
        <v>1</v>
      </c>
      <c r="G1222" s="25" t="n">
        <v>3</v>
      </c>
    </row>
    <row r="1223" customFormat="false" ht="15" hidden="false" customHeight="false" outlineLevel="0" collapsed="false">
      <c r="A1223" s="25" t="n">
        <v>20240302</v>
      </c>
      <c r="B1223" s="25" t="s">
        <v>2245</v>
      </c>
      <c r="C1223" s="27" t="b">
        <f aca="false">TRUE()</f>
        <v>1</v>
      </c>
      <c r="D1223" s="26" t="n">
        <v>45353</v>
      </c>
      <c r="E1223" s="25" t="n">
        <v>2024</v>
      </c>
      <c r="F1223" s="25" t="n">
        <v>1</v>
      </c>
      <c r="G1223" s="25" t="n">
        <v>3</v>
      </c>
    </row>
    <row r="1224" customFormat="false" ht="15" hidden="false" customHeight="false" outlineLevel="0" collapsed="false">
      <c r="A1224" s="25" t="n">
        <v>20240303</v>
      </c>
      <c r="B1224" s="25" t="s">
        <v>2245</v>
      </c>
      <c r="C1224" s="27" t="b">
        <f aca="false">TRUE()</f>
        <v>1</v>
      </c>
      <c r="D1224" s="26" t="n">
        <v>45354</v>
      </c>
      <c r="E1224" s="25" t="n">
        <v>2024</v>
      </c>
      <c r="F1224" s="25" t="n">
        <v>1</v>
      </c>
      <c r="G1224" s="25" t="n">
        <v>3</v>
      </c>
    </row>
    <row r="1225" customFormat="false" ht="15" hidden="false" customHeight="false" outlineLevel="0" collapsed="false">
      <c r="A1225" s="25" t="n">
        <v>20240304</v>
      </c>
      <c r="B1225" s="25" t="s">
        <v>2245</v>
      </c>
      <c r="C1225" s="27" t="b">
        <f aca="false">FALSE()</f>
        <v>0</v>
      </c>
      <c r="D1225" s="26" t="n">
        <v>45355</v>
      </c>
      <c r="E1225" s="25" t="n">
        <v>2024</v>
      </c>
      <c r="F1225" s="25" t="n">
        <v>1</v>
      </c>
      <c r="G1225" s="25" t="n">
        <v>3</v>
      </c>
    </row>
    <row r="1226" customFormat="false" ht="15" hidden="false" customHeight="false" outlineLevel="0" collapsed="false">
      <c r="A1226" s="25" t="n">
        <v>20240305</v>
      </c>
      <c r="B1226" s="25" t="s">
        <v>2245</v>
      </c>
      <c r="C1226" s="27" t="b">
        <f aca="false">FALSE()</f>
        <v>0</v>
      </c>
      <c r="D1226" s="26" t="n">
        <v>45356</v>
      </c>
      <c r="E1226" s="25" t="n">
        <v>2024</v>
      </c>
      <c r="F1226" s="25" t="n">
        <v>1</v>
      </c>
      <c r="G1226" s="25" t="n">
        <v>3</v>
      </c>
    </row>
    <row r="1227" customFormat="false" ht="15" hidden="false" customHeight="false" outlineLevel="0" collapsed="false">
      <c r="A1227" s="25" t="n">
        <v>20240306</v>
      </c>
      <c r="B1227" s="25" t="s">
        <v>2245</v>
      </c>
      <c r="C1227" s="27" t="b">
        <f aca="false">FALSE()</f>
        <v>0</v>
      </c>
      <c r="D1227" s="26" t="n">
        <v>45357</v>
      </c>
      <c r="E1227" s="25" t="n">
        <v>2024</v>
      </c>
      <c r="F1227" s="25" t="n">
        <v>1</v>
      </c>
      <c r="G1227" s="25" t="n">
        <v>3</v>
      </c>
    </row>
    <row r="1228" customFormat="false" ht="15" hidden="false" customHeight="false" outlineLevel="0" collapsed="false">
      <c r="A1228" s="25" t="n">
        <v>20240307</v>
      </c>
      <c r="B1228" s="25" t="s">
        <v>2245</v>
      </c>
      <c r="C1228" s="27" t="b">
        <f aca="false">FALSE()</f>
        <v>0</v>
      </c>
      <c r="D1228" s="26" t="n">
        <v>45358</v>
      </c>
      <c r="E1228" s="25" t="n">
        <v>2024</v>
      </c>
      <c r="F1228" s="25" t="n">
        <v>1</v>
      </c>
      <c r="G1228" s="25" t="n">
        <v>3</v>
      </c>
    </row>
    <row r="1229" customFormat="false" ht="15" hidden="false" customHeight="false" outlineLevel="0" collapsed="false">
      <c r="A1229" s="25" t="n">
        <v>20240308</v>
      </c>
      <c r="B1229" s="25" t="s">
        <v>2245</v>
      </c>
      <c r="C1229" s="27" t="b">
        <f aca="false">FALSE()</f>
        <v>0</v>
      </c>
      <c r="D1229" s="26" t="n">
        <v>45359</v>
      </c>
      <c r="E1229" s="25" t="n">
        <v>2024</v>
      </c>
      <c r="F1229" s="25" t="n">
        <v>1</v>
      </c>
      <c r="G1229" s="25" t="n">
        <v>3</v>
      </c>
    </row>
    <row r="1230" customFormat="false" ht="15" hidden="false" customHeight="false" outlineLevel="0" collapsed="false">
      <c r="A1230" s="25" t="n">
        <v>20240309</v>
      </c>
      <c r="B1230" s="25" t="s">
        <v>2245</v>
      </c>
      <c r="C1230" s="27" t="b">
        <f aca="false">TRUE()</f>
        <v>1</v>
      </c>
      <c r="D1230" s="26" t="n">
        <v>45360</v>
      </c>
      <c r="E1230" s="25" t="n">
        <v>2024</v>
      </c>
      <c r="F1230" s="25" t="n">
        <v>1</v>
      </c>
      <c r="G1230" s="25" t="n">
        <v>3</v>
      </c>
    </row>
    <row r="1231" customFormat="false" ht="15" hidden="false" customHeight="false" outlineLevel="0" collapsed="false">
      <c r="A1231" s="25" t="n">
        <v>20240310</v>
      </c>
      <c r="B1231" s="25" t="s">
        <v>2245</v>
      </c>
      <c r="C1231" s="27" t="b">
        <f aca="false">TRUE()</f>
        <v>1</v>
      </c>
      <c r="D1231" s="26" t="n">
        <v>45361</v>
      </c>
      <c r="E1231" s="25" t="n">
        <v>2024</v>
      </c>
      <c r="F1231" s="25" t="n">
        <v>1</v>
      </c>
      <c r="G1231" s="25" t="n">
        <v>3</v>
      </c>
    </row>
    <row r="1232" customFormat="false" ht="15" hidden="false" customHeight="false" outlineLevel="0" collapsed="false">
      <c r="A1232" s="25" t="n">
        <v>20240311</v>
      </c>
      <c r="B1232" s="25" t="s">
        <v>2245</v>
      </c>
      <c r="C1232" s="27" t="b">
        <f aca="false">FALSE()</f>
        <v>0</v>
      </c>
      <c r="D1232" s="26" t="n">
        <v>45362</v>
      </c>
      <c r="E1232" s="25" t="n">
        <v>2024</v>
      </c>
      <c r="F1232" s="25" t="n">
        <v>1</v>
      </c>
      <c r="G1232" s="25" t="n">
        <v>3</v>
      </c>
    </row>
    <row r="1233" customFormat="false" ht="15" hidden="false" customHeight="false" outlineLevel="0" collapsed="false">
      <c r="A1233" s="25" t="n">
        <v>20240312</v>
      </c>
      <c r="B1233" s="25" t="s">
        <v>2245</v>
      </c>
      <c r="C1233" s="27" t="b">
        <f aca="false">FALSE()</f>
        <v>0</v>
      </c>
      <c r="D1233" s="26" t="n">
        <v>45363</v>
      </c>
      <c r="E1233" s="25" t="n">
        <v>2024</v>
      </c>
      <c r="F1233" s="25" t="n">
        <v>1</v>
      </c>
      <c r="G1233" s="25" t="n">
        <v>3</v>
      </c>
    </row>
    <row r="1234" customFormat="false" ht="15" hidden="false" customHeight="false" outlineLevel="0" collapsed="false">
      <c r="A1234" s="25" t="n">
        <v>20240313</v>
      </c>
      <c r="B1234" s="25" t="s">
        <v>2245</v>
      </c>
      <c r="C1234" s="27" t="b">
        <f aca="false">FALSE()</f>
        <v>0</v>
      </c>
      <c r="D1234" s="26" t="n">
        <v>45364</v>
      </c>
      <c r="E1234" s="25" t="n">
        <v>2024</v>
      </c>
      <c r="F1234" s="25" t="n">
        <v>1</v>
      </c>
      <c r="G1234" s="25" t="n">
        <v>3</v>
      </c>
    </row>
    <row r="1235" customFormat="false" ht="15" hidden="false" customHeight="false" outlineLevel="0" collapsed="false">
      <c r="A1235" s="25" t="n">
        <v>20240314</v>
      </c>
      <c r="B1235" s="25" t="s">
        <v>2245</v>
      </c>
      <c r="C1235" s="27" t="b">
        <f aca="false">FALSE()</f>
        <v>0</v>
      </c>
      <c r="D1235" s="26" t="n">
        <v>45365</v>
      </c>
      <c r="E1235" s="25" t="n">
        <v>2024</v>
      </c>
      <c r="F1235" s="25" t="n">
        <v>1</v>
      </c>
      <c r="G1235" s="25" t="n">
        <v>3</v>
      </c>
    </row>
    <row r="1236" customFormat="false" ht="15" hidden="false" customHeight="false" outlineLevel="0" collapsed="false">
      <c r="A1236" s="25" t="n">
        <v>20240315</v>
      </c>
      <c r="B1236" s="25" t="s">
        <v>2245</v>
      </c>
      <c r="C1236" s="27" t="b">
        <f aca="false">FALSE()</f>
        <v>0</v>
      </c>
      <c r="D1236" s="26" t="n">
        <v>45366</v>
      </c>
      <c r="E1236" s="25" t="n">
        <v>2024</v>
      </c>
      <c r="F1236" s="25" t="n">
        <v>1</v>
      </c>
      <c r="G1236" s="25" t="n">
        <v>3</v>
      </c>
    </row>
    <row r="1237" customFormat="false" ht="15" hidden="false" customHeight="false" outlineLevel="0" collapsed="false">
      <c r="A1237" s="25" t="n">
        <v>20240316</v>
      </c>
      <c r="B1237" s="25" t="s">
        <v>2245</v>
      </c>
      <c r="C1237" s="27" t="b">
        <f aca="false">TRUE()</f>
        <v>1</v>
      </c>
      <c r="D1237" s="26" t="n">
        <v>45367</v>
      </c>
      <c r="E1237" s="25" t="n">
        <v>2024</v>
      </c>
      <c r="F1237" s="25" t="n">
        <v>1</v>
      </c>
      <c r="G1237" s="25" t="n">
        <v>3</v>
      </c>
    </row>
    <row r="1238" customFormat="false" ht="15" hidden="false" customHeight="false" outlineLevel="0" collapsed="false">
      <c r="A1238" s="25" t="n">
        <v>20240317</v>
      </c>
      <c r="B1238" s="25" t="s">
        <v>2245</v>
      </c>
      <c r="C1238" s="27" t="b">
        <f aca="false">TRUE()</f>
        <v>1</v>
      </c>
      <c r="D1238" s="26" t="n">
        <v>45368</v>
      </c>
      <c r="E1238" s="25" t="n">
        <v>2024</v>
      </c>
      <c r="F1238" s="25" t="n">
        <v>1</v>
      </c>
      <c r="G1238" s="25" t="n">
        <v>3</v>
      </c>
    </row>
    <row r="1239" customFormat="false" ht="15" hidden="false" customHeight="false" outlineLevel="0" collapsed="false">
      <c r="A1239" s="25" t="n">
        <v>20240318</v>
      </c>
      <c r="B1239" s="25" t="s">
        <v>2245</v>
      </c>
      <c r="C1239" s="27" t="b">
        <f aca="false">FALSE()</f>
        <v>0</v>
      </c>
      <c r="D1239" s="26" t="n">
        <v>45369</v>
      </c>
      <c r="E1239" s="25" t="n">
        <v>2024</v>
      </c>
      <c r="F1239" s="25" t="n">
        <v>1</v>
      </c>
      <c r="G1239" s="25" t="n">
        <v>3</v>
      </c>
    </row>
    <row r="1240" customFormat="false" ht="15" hidden="false" customHeight="false" outlineLevel="0" collapsed="false">
      <c r="A1240" s="25" t="n">
        <v>20240319</v>
      </c>
      <c r="B1240" s="25" t="s">
        <v>2245</v>
      </c>
      <c r="C1240" s="27" t="b">
        <f aca="false">FALSE()</f>
        <v>0</v>
      </c>
      <c r="D1240" s="26" t="n">
        <v>45370</v>
      </c>
      <c r="E1240" s="25" t="n">
        <v>2024</v>
      </c>
      <c r="F1240" s="25" t="n">
        <v>1</v>
      </c>
      <c r="G1240" s="25" t="n">
        <v>3</v>
      </c>
    </row>
    <row r="1241" customFormat="false" ht="15" hidden="false" customHeight="false" outlineLevel="0" collapsed="false">
      <c r="A1241" s="25" t="n">
        <v>20240320</v>
      </c>
      <c r="B1241" s="25" t="s">
        <v>2245</v>
      </c>
      <c r="C1241" s="27" t="b">
        <f aca="false">FALSE()</f>
        <v>0</v>
      </c>
      <c r="D1241" s="26" t="n">
        <v>45371</v>
      </c>
      <c r="E1241" s="25" t="n">
        <v>2024</v>
      </c>
      <c r="F1241" s="25" t="n">
        <v>1</v>
      </c>
      <c r="G1241" s="25" t="n">
        <v>3</v>
      </c>
    </row>
    <row r="1242" customFormat="false" ht="15" hidden="false" customHeight="false" outlineLevel="0" collapsed="false">
      <c r="A1242" s="25" t="n">
        <v>20240321</v>
      </c>
      <c r="B1242" s="25" t="s">
        <v>2245</v>
      </c>
      <c r="C1242" s="27" t="b">
        <f aca="false">FALSE()</f>
        <v>0</v>
      </c>
      <c r="D1242" s="26" t="n">
        <v>45372</v>
      </c>
      <c r="E1242" s="25" t="n">
        <v>2024</v>
      </c>
      <c r="F1242" s="25" t="n">
        <v>1</v>
      </c>
      <c r="G1242" s="25" t="n">
        <v>3</v>
      </c>
    </row>
    <row r="1243" customFormat="false" ht="15" hidden="false" customHeight="false" outlineLevel="0" collapsed="false">
      <c r="A1243" s="25" t="n">
        <v>20240322</v>
      </c>
      <c r="B1243" s="25" t="s">
        <v>2245</v>
      </c>
      <c r="C1243" s="27" t="b">
        <f aca="false">FALSE()</f>
        <v>0</v>
      </c>
      <c r="D1243" s="26" t="n">
        <v>45373</v>
      </c>
      <c r="E1243" s="25" t="n">
        <v>2024</v>
      </c>
      <c r="F1243" s="25" t="n">
        <v>1</v>
      </c>
      <c r="G1243" s="25" t="n">
        <v>3</v>
      </c>
    </row>
    <row r="1244" customFormat="false" ht="15" hidden="false" customHeight="false" outlineLevel="0" collapsed="false">
      <c r="A1244" s="25" t="n">
        <v>20240323</v>
      </c>
      <c r="B1244" s="25" t="s">
        <v>2245</v>
      </c>
      <c r="C1244" s="27" t="b">
        <f aca="false">TRUE()</f>
        <v>1</v>
      </c>
      <c r="D1244" s="26" t="n">
        <v>45374</v>
      </c>
      <c r="E1244" s="25" t="n">
        <v>2024</v>
      </c>
      <c r="F1244" s="25" t="n">
        <v>1</v>
      </c>
      <c r="G1244" s="25" t="n">
        <v>3</v>
      </c>
    </row>
    <row r="1245" customFormat="false" ht="15" hidden="false" customHeight="false" outlineLevel="0" collapsed="false">
      <c r="A1245" s="25" t="n">
        <v>20240324</v>
      </c>
      <c r="B1245" s="25" t="s">
        <v>2245</v>
      </c>
      <c r="C1245" s="27" t="b">
        <f aca="false">TRUE()</f>
        <v>1</v>
      </c>
      <c r="D1245" s="26" t="n">
        <v>45375</v>
      </c>
      <c r="E1245" s="25" t="n">
        <v>2024</v>
      </c>
      <c r="F1245" s="25" t="n">
        <v>1</v>
      </c>
      <c r="G1245" s="25" t="n">
        <v>3</v>
      </c>
    </row>
    <row r="1246" customFormat="false" ht="15" hidden="false" customHeight="false" outlineLevel="0" collapsed="false">
      <c r="A1246" s="25" t="n">
        <v>20240325</v>
      </c>
      <c r="B1246" s="25" t="s">
        <v>2245</v>
      </c>
      <c r="C1246" s="27" t="b">
        <f aca="false">FALSE()</f>
        <v>0</v>
      </c>
      <c r="D1246" s="26" t="n">
        <v>45376</v>
      </c>
      <c r="E1246" s="25" t="n">
        <v>2024</v>
      </c>
      <c r="F1246" s="25" t="n">
        <v>1</v>
      </c>
      <c r="G1246" s="25" t="n">
        <v>3</v>
      </c>
    </row>
    <row r="1247" customFormat="false" ht="15" hidden="false" customHeight="false" outlineLevel="0" collapsed="false">
      <c r="A1247" s="25" t="n">
        <v>20240326</v>
      </c>
      <c r="B1247" s="25" t="s">
        <v>2245</v>
      </c>
      <c r="C1247" s="27" t="b">
        <f aca="false">FALSE()</f>
        <v>0</v>
      </c>
      <c r="D1247" s="26" t="n">
        <v>45377</v>
      </c>
      <c r="E1247" s="25" t="n">
        <v>2024</v>
      </c>
      <c r="F1247" s="25" t="n">
        <v>1</v>
      </c>
      <c r="G1247" s="25" t="n">
        <v>3</v>
      </c>
    </row>
    <row r="1248" customFormat="false" ht="15" hidden="false" customHeight="false" outlineLevel="0" collapsed="false">
      <c r="A1248" s="25" t="n">
        <v>20240327</v>
      </c>
      <c r="B1248" s="25" t="s">
        <v>2245</v>
      </c>
      <c r="C1248" s="27" t="b">
        <f aca="false">FALSE()</f>
        <v>0</v>
      </c>
      <c r="D1248" s="26" t="n">
        <v>45378</v>
      </c>
      <c r="E1248" s="25" t="n">
        <v>2024</v>
      </c>
      <c r="F1248" s="25" t="n">
        <v>1</v>
      </c>
      <c r="G1248" s="25" t="n">
        <v>3</v>
      </c>
    </row>
    <row r="1249" customFormat="false" ht="15" hidden="false" customHeight="false" outlineLevel="0" collapsed="false">
      <c r="A1249" s="25" t="n">
        <v>20240328</v>
      </c>
      <c r="B1249" s="25" t="s">
        <v>2245</v>
      </c>
      <c r="C1249" s="27" t="b">
        <f aca="false">FALSE()</f>
        <v>0</v>
      </c>
      <c r="D1249" s="26" t="n">
        <v>45379</v>
      </c>
      <c r="E1249" s="25" t="n">
        <v>2024</v>
      </c>
      <c r="F1249" s="25" t="n">
        <v>1</v>
      </c>
      <c r="G1249" s="25" t="n">
        <v>3</v>
      </c>
    </row>
    <row r="1250" customFormat="false" ht="15" hidden="false" customHeight="false" outlineLevel="0" collapsed="false">
      <c r="A1250" s="25" t="n">
        <v>20240329</v>
      </c>
      <c r="B1250" s="25" t="s">
        <v>2245</v>
      </c>
      <c r="C1250" s="27" t="b">
        <f aca="false">FALSE()</f>
        <v>0</v>
      </c>
      <c r="D1250" s="26" t="n">
        <v>45380</v>
      </c>
      <c r="E1250" s="25" t="n">
        <v>2024</v>
      </c>
      <c r="F1250" s="25" t="n">
        <v>1</v>
      </c>
      <c r="G1250" s="25" t="n">
        <v>3</v>
      </c>
    </row>
    <row r="1251" customFormat="false" ht="15" hidden="false" customHeight="false" outlineLevel="0" collapsed="false">
      <c r="A1251" s="25" t="n">
        <v>20240330</v>
      </c>
      <c r="B1251" s="25" t="s">
        <v>2245</v>
      </c>
      <c r="C1251" s="27" t="b">
        <f aca="false">TRUE()</f>
        <v>1</v>
      </c>
      <c r="D1251" s="26" t="n">
        <v>45381</v>
      </c>
      <c r="E1251" s="25" t="n">
        <v>2024</v>
      </c>
      <c r="F1251" s="25" t="n">
        <v>1</v>
      </c>
      <c r="G1251" s="25" t="n">
        <v>3</v>
      </c>
    </row>
    <row r="1252" customFormat="false" ht="15" hidden="false" customHeight="false" outlineLevel="0" collapsed="false">
      <c r="A1252" s="25" t="n">
        <v>20240331</v>
      </c>
      <c r="B1252" s="25" t="s">
        <v>2245</v>
      </c>
      <c r="C1252" s="27" t="b">
        <f aca="false">TRUE()</f>
        <v>1</v>
      </c>
      <c r="D1252" s="26" t="n">
        <v>45382</v>
      </c>
      <c r="E1252" s="25" t="n">
        <v>2024</v>
      </c>
      <c r="F1252" s="25" t="n">
        <v>1</v>
      </c>
      <c r="G1252" s="25" t="n">
        <v>3</v>
      </c>
    </row>
    <row r="1253" customFormat="false" ht="15" hidden="false" customHeight="false" outlineLevel="0" collapsed="false">
      <c r="A1253" s="25" t="n">
        <v>20240401</v>
      </c>
      <c r="B1253" s="25" t="s">
        <v>2246</v>
      </c>
      <c r="C1253" s="27" t="b">
        <f aca="false">FALSE()</f>
        <v>0</v>
      </c>
      <c r="D1253" s="26" t="n">
        <v>45383</v>
      </c>
      <c r="E1253" s="25" t="n">
        <v>2024</v>
      </c>
      <c r="F1253" s="25" t="n">
        <v>2</v>
      </c>
      <c r="G1253" s="25" t="n">
        <v>4</v>
      </c>
    </row>
    <row r="1254" customFormat="false" ht="15" hidden="false" customHeight="false" outlineLevel="0" collapsed="false">
      <c r="A1254" s="25" t="n">
        <v>20240402</v>
      </c>
      <c r="B1254" s="25" t="s">
        <v>2246</v>
      </c>
      <c r="C1254" s="27" t="b">
        <f aca="false">FALSE()</f>
        <v>0</v>
      </c>
      <c r="D1254" s="26" t="n">
        <v>45384</v>
      </c>
      <c r="E1254" s="25" t="n">
        <v>2024</v>
      </c>
      <c r="F1254" s="25" t="n">
        <v>2</v>
      </c>
      <c r="G1254" s="25" t="n">
        <v>4</v>
      </c>
    </row>
    <row r="1255" customFormat="false" ht="15" hidden="false" customHeight="false" outlineLevel="0" collapsed="false">
      <c r="A1255" s="25" t="n">
        <v>20240403</v>
      </c>
      <c r="B1255" s="25" t="s">
        <v>2246</v>
      </c>
      <c r="C1255" s="27" t="b">
        <f aca="false">FALSE()</f>
        <v>0</v>
      </c>
      <c r="D1255" s="26" t="n">
        <v>45385</v>
      </c>
      <c r="E1255" s="25" t="n">
        <v>2024</v>
      </c>
      <c r="F1255" s="25" t="n">
        <v>2</v>
      </c>
      <c r="G1255" s="25" t="n">
        <v>4</v>
      </c>
    </row>
    <row r="1256" customFormat="false" ht="15" hidden="false" customHeight="false" outlineLevel="0" collapsed="false">
      <c r="A1256" s="25" t="n">
        <v>20240404</v>
      </c>
      <c r="B1256" s="25" t="s">
        <v>2246</v>
      </c>
      <c r="C1256" s="27" t="b">
        <f aca="false">FALSE()</f>
        <v>0</v>
      </c>
      <c r="D1256" s="26" t="n">
        <v>45386</v>
      </c>
      <c r="E1256" s="25" t="n">
        <v>2024</v>
      </c>
      <c r="F1256" s="25" t="n">
        <v>2</v>
      </c>
      <c r="G1256" s="25" t="n">
        <v>4</v>
      </c>
    </row>
    <row r="1257" customFormat="false" ht="15" hidden="false" customHeight="false" outlineLevel="0" collapsed="false">
      <c r="A1257" s="25" t="n">
        <v>20240405</v>
      </c>
      <c r="B1257" s="25" t="s">
        <v>2246</v>
      </c>
      <c r="C1257" s="27" t="b">
        <f aca="false">FALSE()</f>
        <v>0</v>
      </c>
      <c r="D1257" s="26" t="n">
        <v>45387</v>
      </c>
      <c r="E1257" s="25" t="n">
        <v>2024</v>
      </c>
      <c r="F1257" s="25" t="n">
        <v>2</v>
      </c>
      <c r="G1257" s="25" t="n">
        <v>4</v>
      </c>
    </row>
    <row r="1258" customFormat="false" ht="15" hidden="false" customHeight="false" outlineLevel="0" collapsed="false">
      <c r="A1258" s="25" t="n">
        <v>20240406</v>
      </c>
      <c r="B1258" s="25" t="s">
        <v>2246</v>
      </c>
      <c r="C1258" s="27" t="b">
        <f aca="false">TRUE()</f>
        <v>1</v>
      </c>
      <c r="D1258" s="26" t="n">
        <v>45388</v>
      </c>
      <c r="E1258" s="25" t="n">
        <v>2024</v>
      </c>
      <c r="F1258" s="25" t="n">
        <v>2</v>
      </c>
      <c r="G1258" s="25" t="n">
        <v>4</v>
      </c>
    </row>
    <row r="1259" customFormat="false" ht="15" hidden="false" customHeight="false" outlineLevel="0" collapsed="false">
      <c r="A1259" s="25" t="n">
        <v>20240407</v>
      </c>
      <c r="B1259" s="25" t="s">
        <v>2246</v>
      </c>
      <c r="C1259" s="27" t="b">
        <f aca="false">TRUE()</f>
        <v>1</v>
      </c>
      <c r="D1259" s="26" t="n">
        <v>45389</v>
      </c>
      <c r="E1259" s="25" t="n">
        <v>2024</v>
      </c>
      <c r="F1259" s="25" t="n">
        <v>2</v>
      </c>
      <c r="G1259" s="25" t="n">
        <v>4</v>
      </c>
    </row>
    <row r="1260" customFormat="false" ht="15" hidden="false" customHeight="false" outlineLevel="0" collapsed="false">
      <c r="A1260" s="25" t="n">
        <v>20240408</v>
      </c>
      <c r="B1260" s="25" t="s">
        <v>2246</v>
      </c>
      <c r="C1260" s="27" t="b">
        <f aca="false">FALSE()</f>
        <v>0</v>
      </c>
      <c r="D1260" s="26" t="n">
        <v>45390</v>
      </c>
      <c r="E1260" s="25" t="n">
        <v>2024</v>
      </c>
      <c r="F1260" s="25" t="n">
        <v>2</v>
      </c>
      <c r="G1260" s="25" t="n">
        <v>4</v>
      </c>
    </row>
    <row r="1261" customFormat="false" ht="15" hidden="false" customHeight="false" outlineLevel="0" collapsed="false">
      <c r="A1261" s="25" t="n">
        <v>20240409</v>
      </c>
      <c r="B1261" s="25" t="s">
        <v>2246</v>
      </c>
      <c r="C1261" s="27" t="b">
        <f aca="false">FALSE()</f>
        <v>0</v>
      </c>
      <c r="D1261" s="26" t="n">
        <v>45391</v>
      </c>
      <c r="E1261" s="25" t="n">
        <v>2024</v>
      </c>
      <c r="F1261" s="25" t="n">
        <v>2</v>
      </c>
      <c r="G1261" s="25" t="n">
        <v>4</v>
      </c>
    </row>
    <row r="1262" customFormat="false" ht="15" hidden="false" customHeight="false" outlineLevel="0" collapsed="false">
      <c r="A1262" s="25" t="n">
        <v>20240410</v>
      </c>
      <c r="B1262" s="25" t="s">
        <v>2246</v>
      </c>
      <c r="C1262" s="27" t="b">
        <f aca="false">FALSE()</f>
        <v>0</v>
      </c>
      <c r="D1262" s="26" t="n">
        <v>45392</v>
      </c>
      <c r="E1262" s="25" t="n">
        <v>2024</v>
      </c>
      <c r="F1262" s="25" t="n">
        <v>2</v>
      </c>
      <c r="G1262" s="25" t="n">
        <v>4</v>
      </c>
    </row>
    <row r="1263" customFormat="false" ht="15" hidden="false" customHeight="false" outlineLevel="0" collapsed="false">
      <c r="A1263" s="25" t="n">
        <v>20240411</v>
      </c>
      <c r="B1263" s="25" t="s">
        <v>2246</v>
      </c>
      <c r="C1263" s="27" t="b">
        <f aca="false">FALSE()</f>
        <v>0</v>
      </c>
      <c r="D1263" s="26" t="n">
        <v>45393</v>
      </c>
      <c r="E1263" s="25" t="n">
        <v>2024</v>
      </c>
      <c r="F1263" s="25" t="n">
        <v>2</v>
      </c>
      <c r="G1263" s="25" t="n">
        <v>4</v>
      </c>
    </row>
    <row r="1264" customFormat="false" ht="15" hidden="false" customHeight="false" outlineLevel="0" collapsed="false">
      <c r="A1264" s="25" t="n">
        <v>20240412</v>
      </c>
      <c r="B1264" s="25" t="s">
        <v>2246</v>
      </c>
      <c r="C1264" s="27" t="b">
        <f aca="false">FALSE()</f>
        <v>0</v>
      </c>
      <c r="D1264" s="26" t="n">
        <v>45394</v>
      </c>
      <c r="E1264" s="25" t="n">
        <v>2024</v>
      </c>
      <c r="F1264" s="25" t="n">
        <v>2</v>
      </c>
      <c r="G1264" s="25" t="n">
        <v>4</v>
      </c>
    </row>
    <row r="1265" customFormat="false" ht="15" hidden="false" customHeight="false" outlineLevel="0" collapsed="false">
      <c r="A1265" s="25" t="n">
        <v>20240413</v>
      </c>
      <c r="B1265" s="25" t="s">
        <v>2246</v>
      </c>
      <c r="C1265" s="27" t="b">
        <f aca="false">TRUE()</f>
        <v>1</v>
      </c>
      <c r="D1265" s="26" t="n">
        <v>45395</v>
      </c>
      <c r="E1265" s="25" t="n">
        <v>2024</v>
      </c>
      <c r="F1265" s="25" t="n">
        <v>2</v>
      </c>
      <c r="G1265" s="25" t="n">
        <v>4</v>
      </c>
    </row>
    <row r="1266" customFormat="false" ht="15" hidden="false" customHeight="false" outlineLevel="0" collapsed="false">
      <c r="A1266" s="25" t="n">
        <v>20240414</v>
      </c>
      <c r="B1266" s="25" t="s">
        <v>2246</v>
      </c>
      <c r="C1266" s="27" t="b">
        <f aca="false">TRUE()</f>
        <v>1</v>
      </c>
      <c r="D1266" s="26" t="n">
        <v>45396</v>
      </c>
      <c r="E1266" s="25" t="n">
        <v>2024</v>
      </c>
      <c r="F1266" s="25" t="n">
        <v>2</v>
      </c>
      <c r="G1266" s="25" t="n">
        <v>4</v>
      </c>
    </row>
    <row r="1267" customFormat="false" ht="15" hidden="false" customHeight="false" outlineLevel="0" collapsed="false">
      <c r="A1267" s="25" t="n">
        <v>20240415</v>
      </c>
      <c r="B1267" s="25" t="s">
        <v>2246</v>
      </c>
      <c r="C1267" s="27" t="b">
        <f aca="false">FALSE()</f>
        <v>0</v>
      </c>
      <c r="D1267" s="26" t="n">
        <v>45397</v>
      </c>
      <c r="E1267" s="25" t="n">
        <v>2024</v>
      </c>
      <c r="F1267" s="25" t="n">
        <v>2</v>
      </c>
      <c r="G1267" s="25" t="n">
        <v>4</v>
      </c>
    </row>
    <row r="1268" customFormat="false" ht="15" hidden="false" customHeight="false" outlineLevel="0" collapsed="false">
      <c r="A1268" s="25" t="n">
        <v>20240416</v>
      </c>
      <c r="B1268" s="25" t="s">
        <v>2246</v>
      </c>
      <c r="C1268" s="27" t="b">
        <f aca="false">FALSE()</f>
        <v>0</v>
      </c>
      <c r="D1268" s="26" t="n">
        <v>45398</v>
      </c>
      <c r="E1268" s="25" t="n">
        <v>2024</v>
      </c>
      <c r="F1268" s="25" t="n">
        <v>2</v>
      </c>
      <c r="G1268" s="25" t="n">
        <v>4</v>
      </c>
    </row>
    <row r="1269" customFormat="false" ht="15" hidden="false" customHeight="false" outlineLevel="0" collapsed="false">
      <c r="A1269" s="25" t="n">
        <v>20240417</v>
      </c>
      <c r="B1269" s="25" t="s">
        <v>2246</v>
      </c>
      <c r="C1269" s="27" t="b">
        <f aca="false">FALSE()</f>
        <v>0</v>
      </c>
      <c r="D1269" s="26" t="n">
        <v>45399</v>
      </c>
      <c r="E1269" s="25" t="n">
        <v>2024</v>
      </c>
      <c r="F1269" s="25" t="n">
        <v>2</v>
      </c>
      <c r="G1269" s="25" t="n">
        <v>4</v>
      </c>
    </row>
    <row r="1270" customFormat="false" ht="15" hidden="false" customHeight="false" outlineLevel="0" collapsed="false">
      <c r="A1270" s="25" t="n">
        <v>20240418</v>
      </c>
      <c r="B1270" s="25" t="s">
        <v>2246</v>
      </c>
      <c r="C1270" s="27" t="b">
        <f aca="false">FALSE()</f>
        <v>0</v>
      </c>
      <c r="D1270" s="26" t="n">
        <v>45400</v>
      </c>
      <c r="E1270" s="25" t="n">
        <v>2024</v>
      </c>
      <c r="F1270" s="25" t="n">
        <v>2</v>
      </c>
      <c r="G1270" s="25" t="n">
        <v>4</v>
      </c>
    </row>
    <row r="1271" customFormat="false" ht="15" hidden="false" customHeight="false" outlineLevel="0" collapsed="false">
      <c r="A1271" s="25" t="n">
        <v>20240419</v>
      </c>
      <c r="B1271" s="25" t="s">
        <v>2246</v>
      </c>
      <c r="C1271" s="27" t="b">
        <f aca="false">FALSE()</f>
        <v>0</v>
      </c>
      <c r="D1271" s="26" t="n">
        <v>45401</v>
      </c>
      <c r="E1271" s="25" t="n">
        <v>2024</v>
      </c>
      <c r="F1271" s="25" t="n">
        <v>2</v>
      </c>
      <c r="G1271" s="25" t="n">
        <v>4</v>
      </c>
    </row>
    <row r="1272" customFormat="false" ht="15" hidden="false" customHeight="false" outlineLevel="0" collapsed="false">
      <c r="A1272" s="25" t="n">
        <v>20240420</v>
      </c>
      <c r="B1272" s="25" t="s">
        <v>2246</v>
      </c>
      <c r="C1272" s="27" t="b">
        <f aca="false">TRUE()</f>
        <v>1</v>
      </c>
      <c r="D1272" s="26" t="n">
        <v>45402</v>
      </c>
      <c r="E1272" s="25" t="n">
        <v>2024</v>
      </c>
      <c r="F1272" s="25" t="n">
        <v>2</v>
      </c>
      <c r="G1272" s="25" t="n">
        <v>4</v>
      </c>
    </row>
    <row r="1273" customFormat="false" ht="15" hidden="false" customHeight="false" outlineLevel="0" collapsed="false">
      <c r="A1273" s="25" t="n">
        <v>20240421</v>
      </c>
      <c r="B1273" s="25" t="s">
        <v>2246</v>
      </c>
      <c r="C1273" s="27" t="b">
        <f aca="false">TRUE()</f>
        <v>1</v>
      </c>
      <c r="D1273" s="26" t="n">
        <v>45403</v>
      </c>
      <c r="E1273" s="25" t="n">
        <v>2024</v>
      </c>
      <c r="F1273" s="25" t="n">
        <v>2</v>
      </c>
      <c r="G1273" s="25" t="n">
        <v>4</v>
      </c>
    </row>
    <row r="1274" customFormat="false" ht="15" hidden="false" customHeight="false" outlineLevel="0" collapsed="false">
      <c r="A1274" s="25" t="n">
        <v>20240422</v>
      </c>
      <c r="B1274" s="25" t="s">
        <v>2246</v>
      </c>
      <c r="C1274" s="27" t="b">
        <f aca="false">FALSE()</f>
        <v>0</v>
      </c>
      <c r="D1274" s="26" t="n">
        <v>45404</v>
      </c>
      <c r="E1274" s="25" t="n">
        <v>2024</v>
      </c>
      <c r="F1274" s="25" t="n">
        <v>2</v>
      </c>
      <c r="G1274" s="25" t="n">
        <v>4</v>
      </c>
    </row>
    <row r="1275" customFormat="false" ht="15" hidden="false" customHeight="false" outlineLevel="0" collapsed="false">
      <c r="A1275" s="25" t="n">
        <v>20240423</v>
      </c>
      <c r="B1275" s="25" t="s">
        <v>2246</v>
      </c>
      <c r="C1275" s="27" t="b">
        <f aca="false">FALSE()</f>
        <v>0</v>
      </c>
      <c r="D1275" s="26" t="n">
        <v>45405</v>
      </c>
      <c r="E1275" s="25" t="n">
        <v>2024</v>
      </c>
      <c r="F1275" s="25" t="n">
        <v>2</v>
      </c>
      <c r="G1275" s="25" t="n">
        <v>4</v>
      </c>
    </row>
    <row r="1276" customFormat="false" ht="15" hidden="false" customHeight="false" outlineLevel="0" collapsed="false">
      <c r="A1276" s="25" t="n">
        <v>20240424</v>
      </c>
      <c r="B1276" s="25" t="s">
        <v>2246</v>
      </c>
      <c r="C1276" s="27" t="b">
        <f aca="false">FALSE()</f>
        <v>0</v>
      </c>
      <c r="D1276" s="26" t="n">
        <v>45406</v>
      </c>
      <c r="E1276" s="25" t="n">
        <v>2024</v>
      </c>
      <c r="F1276" s="25" t="n">
        <v>2</v>
      </c>
      <c r="G1276" s="25" t="n">
        <v>4</v>
      </c>
    </row>
    <row r="1277" customFormat="false" ht="15" hidden="false" customHeight="false" outlineLevel="0" collapsed="false">
      <c r="A1277" s="25" t="n">
        <v>20240425</v>
      </c>
      <c r="B1277" s="25" t="s">
        <v>2246</v>
      </c>
      <c r="C1277" s="27" t="b">
        <f aca="false">FALSE()</f>
        <v>0</v>
      </c>
      <c r="D1277" s="26" t="n">
        <v>45407</v>
      </c>
      <c r="E1277" s="25" t="n">
        <v>2024</v>
      </c>
      <c r="F1277" s="25" t="n">
        <v>2</v>
      </c>
      <c r="G1277" s="25" t="n">
        <v>4</v>
      </c>
    </row>
    <row r="1278" customFormat="false" ht="15" hidden="false" customHeight="false" outlineLevel="0" collapsed="false">
      <c r="A1278" s="25" t="n">
        <v>20240426</v>
      </c>
      <c r="B1278" s="25" t="s">
        <v>2246</v>
      </c>
      <c r="C1278" s="27" t="b">
        <f aca="false">FALSE()</f>
        <v>0</v>
      </c>
      <c r="D1278" s="26" t="n">
        <v>45408</v>
      </c>
      <c r="E1278" s="25" t="n">
        <v>2024</v>
      </c>
      <c r="F1278" s="25" t="n">
        <v>2</v>
      </c>
      <c r="G1278" s="25" t="n">
        <v>4</v>
      </c>
    </row>
    <row r="1279" customFormat="false" ht="15" hidden="false" customHeight="false" outlineLevel="0" collapsed="false">
      <c r="A1279" s="25" t="n">
        <v>20240427</v>
      </c>
      <c r="B1279" s="25" t="s">
        <v>2246</v>
      </c>
      <c r="C1279" s="27" t="b">
        <f aca="false">TRUE()</f>
        <v>1</v>
      </c>
      <c r="D1279" s="26" t="n">
        <v>45409</v>
      </c>
      <c r="E1279" s="25" t="n">
        <v>2024</v>
      </c>
      <c r="F1279" s="25" t="n">
        <v>2</v>
      </c>
      <c r="G1279" s="25" t="n">
        <v>4</v>
      </c>
    </row>
    <row r="1280" customFormat="false" ht="15" hidden="false" customHeight="false" outlineLevel="0" collapsed="false">
      <c r="A1280" s="25" t="n">
        <v>20240428</v>
      </c>
      <c r="B1280" s="25" t="s">
        <v>2246</v>
      </c>
      <c r="C1280" s="27" t="b">
        <f aca="false">TRUE()</f>
        <v>1</v>
      </c>
      <c r="D1280" s="26" t="n">
        <v>45410</v>
      </c>
      <c r="E1280" s="25" t="n">
        <v>2024</v>
      </c>
      <c r="F1280" s="25" t="n">
        <v>2</v>
      </c>
      <c r="G1280" s="25" t="n">
        <v>4</v>
      </c>
    </row>
    <row r="1281" customFormat="false" ht="15" hidden="false" customHeight="false" outlineLevel="0" collapsed="false">
      <c r="A1281" s="25" t="n">
        <v>20240429</v>
      </c>
      <c r="B1281" s="25" t="s">
        <v>2246</v>
      </c>
      <c r="C1281" s="27" t="b">
        <f aca="false">FALSE()</f>
        <v>0</v>
      </c>
      <c r="D1281" s="26" t="n">
        <v>45411</v>
      </c>
      <c r="E1281" s="25" t="n">
        <v>2024</v>
      </c>
      <c r="F1281" s="25" t="n">
        <v>2</v>
      </c>
      <c r="G1281" s="25" t="n">
        <v>4</v>
      </c>
    </row>
    <row r="1282" customFormat="false" ht="15" hidden="false" customHeight="false" outlineLevel="0" collapsed="false">
      <c r="A1282" s="25" t="n">
        <v>20240430</v>
      </c>
      <c r="B1282" s="25" t="s">
        <v>2246</v>
      </c>
      <c r="C1282" s="27" t="b">
        <f aca="false">FALSE()</f>
        <v>0</v>
      </c>
      <c r="D1282" s="26" t="n">
        <v>45412</v>
      </c>
      <c r="E1282" s="25" t="n">
        <v>2024</v>
      </c>
      <c r="F1282" s="25" t="n">
        <v>2</v>
      </c>
      <c r="G1282" s="25" t="n">
        <v>4</v>
      </c>
    </row>
    <row r="1283" customFormat="false" ht="15" hidden="false" customHeight="false" outlineLevel="0" collapsed="false">
      <c r="A1283" s="25" t="n">
        <v>20240501</v>
      </c>
      <c r="B1283" s="25" t="s">
        <v>2247</v>
      </c>
      <c r="C1283" s="27" t="b">
        <f aca="false">FALSE()</f>
        <v>0</v>
      </c>
      <c r="D1283" s="26" t="n">
        <v>45413</v>
      </c>
      <c r="E1283" s="25" t="n">
        <v>2024</v>
      </c>
      <c r="F1283" s="25" t="n">
        <v>2</v>
      </c>
      <c r="G1283" s="25" t="n">
        <v>5</v>
      </c>
    </row>
    <row r="1284" customFormat="false" ht="15" hidden="false" customHeight="false" outlineLevel="0" collapsed="false">
      <c r="A1284" s="25" t="n">
        <v>20240502</v>
      </c>
      <c r="B1284" s="25" t="s">
        <v>2247</v>
      </c>
      <c r="C1284" s="27" t="b">
        <f aca="false">FALSE()</f>
        <v>0</v>
      </c>
      <c r="D1284" s="26" t="n">
        <v>45414</v>
      </c>
      <c r="E1284" s="25" t="n">
        <v>2024</v>
      </c>
      <c r="F1284" s="25" t="n">
        <v>2</v>
      </c>
      <c r="G1284" s="25" t="n">
        <v>5</v>
      </c>
    </row>
    <row r="1285" customFormat="false" ht="15" hidden="false" customHeight="false" outlineLevel="0" collapsed="false">
      <c r="A1285" s="25" t="n">
        <v>20240503</v>
      </c>
      <c r="B1285" s="25" t="s">
        <v>2247</v>
      </c>
      <c r="C1285" s="27" t="b">
        <f aca="false">FALSE()</f>
        <v>0</v>
      </c>
      <c r="D1285" s="26" t="n">
        <v>45415</v>
      </c>
      <c r="E1285" s="25" t="n">
        <v>2024</v>
      </c>
      <c r="F1285" s="25" t="n">
        <v>2</v>
      </c>
      <c r="G1285" s="25" t="n">
        <v>5</v>
      </c>
    </row>
    <row r="1286" customFormat="false" ht="15" hidden="false" customHeight="false" outlineLevel="0" collapsed="false">
      <c r="A1286" s="25" t="n">
        <v>20240504</v>
      </c>
      <c r="B1286" s="25" t="s">
        <v>2247</v>
      </c>
      <c r="C1286" s="27" t="b">
        <f aca="false">TRUE()</f>
        <v>1</v>
      </c>
      <c r="D1286" s="26" t="n">
        <v>45416</v>
      </c>
      <c r="E1286" s="25" t="n">
        <v>2024</v>
      </c>
      <c r="F1286" s="25" t="n">
        <v>2</v>
      </c>
      <c r="G1286" s="25" t="n">
        <v>5</v>
      </c>
    </row>
    <row r="1287" customFormat="false" ht="15" hidden="false" customHeight="false" outlineLevel="0" collapsed="false">
      <c r="A1287" s="25" t="n">
        <v>20240505</v>
      </c>
      <c r="B1287" s="25" t="s">
        <v>2247</v>
      </c>
      <c r="C1287" s="27" t="b">
        <f aca="false">TRUE()</f>
        <v>1</v>
      </c>
      <c r="D1287" s="26" t="n">
        <v>45417</v>
      </c>
      <c r="E1287" s="25" t="n">
        <v>2024</v>
      </c>
      <c r="F1287" s="25" t="n">
        <v>2</v>
      </c>
      <c r="G1287" s="25" t="n">
        <v>5</v>
      </c>
    </row>
    <row r="1288" customFormat="false" ht="15" hidden="false" customHeight="false" outlineLevel="0" collapsed="false">
      <c r="A1288" s="25" t="n">
        <v>20240506</v>
      </c>
      <c r="B1288" s="25" t="s">
        <v>2247</v>
      </c>
      <c r="C1288" s="27" t="b">
        <f aca="false">FALSE()</f>
        <v>0</v>
      </c>
      <c r="D1288" s="26" t="n">
        <v>45418</v>
      </c>
      <c r="E1288" s="25" t="n">
        <v>2024</v>
      </c>
      <c r="F1288" s="25" t="n">
        <v>2</v>
      </c>
      <c r="G1288" s="25" t="n">
        <v>5</v>
      </c>
    </row>
    <row r="1289" customFormat="false" ht="15" hidden="false" customHeight="false" outlineLevel="0" collapsed="false">
      <c r="A1289" s="25" t="n">
        <v>20240507</v>
      </c>
      <c r="B1289" s="25" t="s">
        <v>2247</v>
      </c>
      <c r="C1289" s="27" t="b">
        <f aca="false">FALSE()</f>
        <v>0</v>
      </c>
      <c r="D1289" s="26" t="n">
        <v>45419</v>
      </c>
      <c r="E1289" s="25" t="n">
        <v>2024</v>
      </c>
      <c r="F1289" s="25" t="n">
        <v>2</v>
      </c>
      <c r="G1289" s="25" t="n">
        <v>5</v>
      </c>
    </row>
    <row r="1290" customFormat="false" ht="15" hidden="false" customHeight="false" outlineLevel="0" collapsed="false">
      <c r="A1290" s="25" t="n">
        <v>20240508</v>
      </c>
      <c r="B1290" s="25" t="s">
        <v>2247</v>
      </c>
      <c r="C1290" s="27" t="b">
        <f aca="false">FALSE()</f>
        <v>0</v>
      </c>
      <c r="D1290" s="26" t="n">
        <v>45420</v>
      </c>
      <c r="E1290" s="25" t="n">
        <v>2024</v>
      </c>
      <c r="F1290" s="25" t="n">
        <v>2</v>
      </c>
      <c r="G1290" s="25" t="n">
        <v>5</v>
      </c>
    </row>
    <row r="1291" customFormat="false" ht="15" hidden="false" customHeight="false" outlineLevel="0" collapsed="false">
      <c r="A1291" s="25" t="n">
        <v>20240509</v>
      </c>
      <c r="B1291" s="25" t="s">
        <v>2247</v>
      </c>
      <c r="C1291" s="27" t="b">
        <f aca="false">FALSE()</f>
        <v>0</v>
      </c>
      <c r="D1291" s="26" t="n">
        <v>45421</v>
      </c>
      <c r="E1291" s="25" t="n">
        <v>2024</v>
      </c>
      <c r="F1291" s="25" t="n">
        <v>2</v>
      </c>
      <c r="G1291" s="25" t="n">
        <v>5</v>
      </c>
    </row>
    <row r="1292" customFormat="false" ht="15" hidden="false" customHeight="false" outlineLevel="0" collapsed="false">
      <c r="A1292" s="25" t="n">
        <v>20240510</v>
      </c>
      <c r="B1292" s="25" t="s">
        <v>2247</v>
      </c>
      <c r="C1292" s="27" t="b">
        <f aca="false">FALSE()</f>
        <v>0</v>
      </c>
      <c r="D1292" s="26" t="n">
        <v>45422</v>
      </c>
      <c r="E1292" s="25" t="n">
        <v>2024</v>
      </c>
      <c r="F1292" s="25" t="n">
        <v>2</v>
      </c>
      <c r="G1292" s="25" t="n">
        <v>5</v>
      </c>
    </row>
    <row r="1293" customFormat="false" ht="15" hidden="false" customHeight="false" outlineLevel="0" collapsed="false">
      <c r="A1293" s="25" t="n">
        <v>20240511</v>
      </c>
      <c r="B1293" s="25" t="s">
        <v>2247</v>
      </c>
      <c r="C1293" s="27" t="b">
        <f aca="false">TRUE()</f>
        <v>1</v>
      </c>
      <c r="D1293" s="26" t="n">
        <v>45423</v>
      </c>
      <c r="E1293" s="25" t="n">
        <v>2024</v>
      </c>
      <c r="F1293" s="25" t="n">
        <v>2</v>
      </c>
      <c r="G1293" s="25" t="n">
        <v>5</v>
      </c>
    </row>
    <row r="1294" customFormat="false" ht="15" hidden="false" customHeight="false" outlineLevel="0" collapsed="false">
      <c r="A1294" s="25" t="n">
        <v>20240512</v>
      </c>
      <c r="B1294" s="25" t="s">
        <v>2247</v>
      </c>
      <c r="C1294" s="27" t="b">
        <f aca="false">TRUE()</f>
        <v>1</v>
      </c>
      <c r="D1294" s="26" t="n">
        <v>45424</v>
      </c>
      <c r="E1294" s="25" t="n">
        <v>2024</v>
      </c>
      <c r="F1294" s="25" t="n">
        <v>2</v>
      </c>
      <c r="G1294" s="25" t="n">
        <v>5</v>
      </c>
    </row>
    <row r="1295" customFormat="false" ht="15" hidden="false" customHeight="false" outlineLevel="0" collapsed="false">
      <c r="A1295" s="25" t="n">
        <v>20240513</v>
      </c>
      <c r="B1295" s="25" t="s">
        <v>2247</v>
      </c>
      <c r="C1295" s="27" t="b">
        <f aca="false">FALSE()</f>
        <v>0</v>
      </c>
      <c r="D1295" s="26" t="n">
        <v>45425</v>
      </c>
      <c r="E1295" s="25" t="n">
        <v>2024</v>
      </c>
      <c r="F1295" s="25" t="n">
        <v>2</v>
      </c>
      <c r="G1295" s="25" t="n">
        <v>5</v>
      </c>
    </row>
    <row r="1296" customFormat="false" ht="15" hidden="false" customHeight="false" outlineLevel="0" collapsed="false">
      <c r="A1296" s="25" t="n">
        <v>20240514</v>
      </c>
      <c r="B1296" s="25" t="s">
        <v>2247</v>
      </c>
      <c r="C1296" s="27" t="b">
        <f aca="false">FALSE()</f>
        <v>0</v>
      </c>
      <c r="D1296" s="26" t="n">
        <v>45426</v>
      </c>
      <c r="E1296" s="25" t="n">
        <v>2024</v>
      </c>
      <c r="F1296" s="25" t="n">
        <v>2</v>
      </c>
      <c r="G1296" s="25" t="n">
        <v>5</v>
      </c>
    </row>
    <row r="1297" customFormat="false" ht="15" hidden="false" customHeight="false" outlineLevel="0" collapsed="false">
      <c r="A1297" s="25" t="n">
        <v>20240515</v>
      </c>
      <c r="B1297" s="25" t="s">
        <v>2247</v>
      </c>
      <c r="C1297" s="27" t="b">
        <f aca="false">FALSE()</f>
        <v>0</v>
      </c>
      <c r="D1297" s="26" t="n">
        <v>45427</v>
      </c>
      <c r="E1297" s="25" t="n">
        <v>2024</v>
      </c>
      <c r="F1297" s="25" t="n">
        <v>2</v>
      </c>
      <c r="G1297" s="25" t="n">
        <v>5</v>
      </c>
    </row>
    <row r="1298" customFormat="false" ht="15" hidden="false" customHeight="false" outlineLevel="0" collapsed="false">
      <c r="A1298" s="25" t="n">
        <v>20240516</v>
      </c>
      <c r="B1298" s="25" t="s">
        <v>2247</v>
      </c>
      <c r="C1298" s="27" t="b">
        <f aca="false">FALSE()</f>
        <v>0</v>
      </c>
      <c r="D1298" s="26" t="n">
        <v>45428</v>
      </c>
      <c r="E1298" s="25" t="n">
        <v>2024</v>
      </c>
      <c r="F1298" s="25" t="n">
        <v>2</v>
      </c>
      <c r="G1298" s="25" t="n">
        <v>5</v>
      </c>
    </row>
    <row r="1299" customFormat="false" ht="15" hidden="false" customHeight="false" outlineLevel="0" collapsed="false">
      <c r="A1299" s="25" t="n">
        <v>20240517</v>
      </c>
      <c r="B1299" s="25" t="s">
        <v>2247</v>
      </c>
      <c r="C1299" s="27" t="b">
        <f aca="false">FALSE()</f>
        <v>0</v>
      </c>
      <c r="D1299" s="26" t="n">
        <v>45429</v>
      </c>
      <c r="E1299" s="25" t="n">
        <v>2024</v>
      </c>
      <c r="F1299" s="25" t="n">
        <v>2</v>
      </c>
      <c r="G1299" s="25" t="n">
        <v>5</v>
      </c>
    </row>
    <row r="1300" customFormat="false" ht="15" hidden="false" customHeight="false" outlineLevel="0" collapsed="false">
      <c r="A1300" s="25" t="n">
        <v>20240518</v>
      </c>
      <c r="B1300" s="25" t="s">
        <v>2247</v>
      </c>
      <c r="C1300" s="27" t="b">
        <f aca="false">TRUE()</f>
        <v>1</v>
      </c>
      <c r="D1300" s="26" t="n">
        <v>45430</v>
      </c>
      <c r="E1300" s="25" t="n">
        <v>2024</v>
      </c>
      <c r="F1300" s="25" t="n">
        <v>2</v>
      </c>
      <c r="G1300" s="25" t="n">
        <v>5</v>
      </c>
    </row>
    <row r="1301" customFormat="false" ht="15" hidden="false" customHeight="false" outlineLevel="0" collapsed="false">
      <c r="A1301" s="25" t="n">
        <v>20240519</v>
      </c>
      <c r="B1301" s="25" t="s">
        <v>2247</v>
      </c>
      <c r="C1301" s="27" t="b">
        <f aca="false">TRUE()</f>
        <v>1</v>
      </c>
      <c r="D1301" s="26" t="n">
        <v>45431</v>
      </c>
      <c r="E1301" s="25" t="n">
        <v>2024</v>
      </c>
      <c r="F1301" s="25" t="n">
        <v>2</v>
      </c>
      <c r="G1301" s="25" t="n">
        <v>5</v>
      </c>
    </row>
    <row r="1302" customFormat="false" ht="15" hidden="false" customHeight="false" outlineLevel="0" collapsed="false">
      <c r="A1302" s="25" t="n">
        <v>20240520</v>
      </c>
      <c r="B1302" s="25" t="s">
        <v>2247</v>
      </c>
      <c r="C1302" s="27" t="b">
        <f aca="false">FALSE()</f>
        <v>0</v>
      </c>
      <c r="D1302" s="26" t="n">
        <v>45432</v>
      </c>
      <c r="E1302" s="25" t="n">
        <v>2024</v>
      </c>
      <c r="F1302" s="25" t="n">
        <v>2</v>
      </c>
      <c r="G1302" s="25" t="n">
        <v>5</v>
      </c>
    </row>
    <row r="1303" customFormat="false" ht="15" hidden="false" customHeight="false" outlineLevel="0" collapsed="false">
      <c r="A1303" s="25" t="n">
        <v>20240521</v>
      </c>
      <c r="B1303" s="25" t="s">
        <v>2247</v>
      </c>
      <c r="C1303" s="27" t="b">
        <f aca="false">FALSE()</f>
        <v>0</v>
      </c>
      <c r="D1303" s="26" t="n">
        <v>45433</v>
      </c>
      <c r="E1303" s="25" t="n">
        <v>2024</v>
      </c>
      <c r="F1303" s="25" t="n">
        <v>2</v>
      </c>
      <c r="G1303" s="25" t="n">
        <v>5</v>
      </c>
    </row>
    <row r="1304" customFormat="false" ht="15" hidden="false" customHeight="false" outlineLevel="0" collapsed="false">
      <c r="A1304" s="25" t="n">
        <v>20240522</v>
      </c>
      <c r="B1304" s="25" t="s">
        <v>2247</v>
      </c>
      <c r="C1304" s="27" t="b">
        <f aca="false">FALSE()</f>
        <v>0</v>
      </c>
      <c r="D1304" s="26" t="n">
        <v>45434</v>
      </c>
      <c r="E1304" s="25" t="n">
        <v>2024</v>
      </c>
      <c r="F1304" s="25" t="n">
        <v>2</v>
      </c>
      <c r="G1304" s="25" t="n">
        <v>5</v>
      </c>
    </row>
    <row r="1305" customFormat="false" ht="15" hidden="false" customHeight="false" outlineLevel="0" collapsed="false">
      <c r="A1305" s="25" t="n">
        <v>20240523</v>
      </c>
      <c r="B1305" s="25" t="s">
        <v>2247</v>
      </c>
      <c r="C1305" s="27" t="b">
        <f aca="false">FALSE()</f>
        <v>0</v>
      </c>
      <c r="D1305" s="26" t="n">
        <v>45435</v>
      </c>
      <c r="E1305" s="25" t="n">
        <v>2024</v>
      </c>
      <c r="F1305" s="25" t="n">
        <v>2</v>
      </c>
      <c r="G1305" s="25" t="n">
        <v>5</v>
      </c>
    </row>
    <row r="1306" customFormat="false" ht="15" hidden="false" customHeight="false" outlineLevel="0" collapsed="false">
      <c r="A1306" s="25" t="n">
        <v>20240524</v>
      </c>
      <c r="B1306" s="25" t="s">
        <v>2247</v>
      </c>
      <c r="C1306" s="27" t="b">
        <f aca="false">FALSE()</f>
        <v>0</v>
      </c>
      <c r="D1306" s="26" t="n">
        <v>45436</v>
      </c>
      <c r="E1306" s="25" t="n">
        <v>2024</v>
      </c>
      <c r="F1306" s="25" t="n">
        <v>2</v>
      </c>
      <c r="G1306" s="25" t="n">
        <v>5</v>
      </c>
    </row>
    <row r="1307" customFormat="false" ht="15" hidden="false" customHeight="false" outlineLevel="0" collapsed="false">
      <c r="A1307" s="25" t="n">
        <v>20240525</v>
      </c>
      <c r="B1307" s="25" t="s">
        <v>2247</v>
      </c>
      <c r="C1307" s="27" t="b">
        <f aca="false">TRUE()</f>
        <v>1</v>
      </c>
      <c r="D1307" s="26" t="n">
        <v>45437</v>
      </c>
      <c r="E1307" s="25" t="n">
        <v>2024</v>
      </c>
      <c r="F1307" s="25" t="n">
        <v>2</v>
      </c>
      <c r="G1307" s="25" t="n">
        <v>5</v>
      </c>
    </row>
    <row r="1308" customFormat="false" ht="15" hidden="false" customHeight="false" outlineLevel="0" collapsed="false">
      <c r="A1308" s="25" t="n">
        <v>20240526</v>
      </c>
      <c r="B1308" s="25" t="s">
        <v>2247</v>
      </c>
      <c r="C1308" s="27" t="b">
        <f aca="false">TRUE()</f>
        <v>1</v>
      </c>
      <c r="D1308" s="26" t="n">
        <v>45438</v>
      </c>
      <c r="E1308" s="25" t="n">
        <v>2024</v>
      </c>
      <c r="F1308" s="25" t="n">
        <v>2</v>
      </c>
      <c r="G1308" s="25" t="n">
        <v>5</v>
      </c>
    </row>
    <row r="1309" customFormat="false" ht="15" hidden="false" customHeight="false" outlineLevel="0" collapsed="false">
      <c r="A1309" s="25" t="n">
        <v>20240527</v>
      </c>
      <c r="B1309" s="25" t="s">
        <v>2247</v>
      </c>
      <c r="C1309" s="27" t="b">
        <f aca="false">FALSE()</f>
        <v>0</v>
      </c>
      <c r="D1309" s="26" t="n">
        <v>45439</v>
      </c>
      <c r="E1309" s="25" t="n">
        <v>2024</v>
      </c>
      <c r="F1309" s="25" t="n">
        <v>2</v>
      </c>
      <c r="G1309" s="25" t="n">
        <v>5</v>
      </c>
    </row>
    <row r="1310" customFormat="false" ht="15" hidden="false" customHeight="false" outlineLevel="0" collapsed="false">
      <c r="A1310" s="25" t="n">
        <v>20240528</v>
      </c>
      <c r="B1310" s="25" t="s">
        <v>2247</v>
      </c>
      <c r="C1310" s="27" t="b">
        <f aca="false">FALSE()</f>
        <v>0</v>
      </c>
      <c r="D1310" s="26" t="n">
        <v>45440</v>
      </c>
      <c r="E1310" s="25" t="n">
        <v>2024</v>
      </c>
      <c r="F1310" s="25" t="n">
        <v>2</v>
      </c>
      <c r="G1310" s="25" t="n">
        <v>5</v>
      </c>
    </row>
    <row r="1311" customFormat="false" ht="15" hidden="false" customHeight="false" outlineLevel="0" collapsed="false">
      <c r="A1311" s="25" t="n">
        <v>20240529</v>
      </c>
      <c r="B1311" s="25" t="s">
        <v>2247</v>
      </c>
      <c r="C1311" s="27" t="b">
        <f aca="false">FALSE()</f>
        <v>0</v>
      </c>
      <c r="D1311" s="26" t="n">
        <v>45441</v>
      </c>
      <c r="E1311" s="25" t="n">
        <v>2024</v>
      </c>
      <c r="F1311" s="25" t="n">
        <v>2</v>
      </c>
      <c r="G1311" s="25" t="n">
        <v>5</v>
      </c>
    </row>
    <row r="1312" customFormat="false" ht="15" hidden="false" customHeight="false" outlineLevel="0" collapsed="false">
      <c r="A1312" s="25" t="n">
        <v>20240530</v>
      </c>
      <c r="B1312" s="25" t="s">
        <v>2247</v>
      </c>
      <c r="C1312" s="27" t="b">
        <f aca="false">FALSE()</f>
        <v>0</v>
      </c>
      <c r="D1312" s="26" t="n">
        <v>45442</v>
      </c>
      <c r="E1312" s="25" t="n">
        <v>2024</v>
      </c>
      <c r="F1312" s="25" t="n">
        <v>2</v>
      </c>
      <c r="G1312" s="25" t="n">
        <v>5</v>
      </c>
    </row>
    <row r="1313" customFormat="false" ht="15" hidden="false" customHeight="false" outlineLevel="0" collapsed="false">
      <c r="A1313" s="25" t="n">
        <v>20240531</v>
      </c>
      <c r="B1313" s="25" t="s">
        <v>2247</v>
      </c>
      <c r="C1313" s="27" t="b">
        <f aca="false">FALSE()</f>
        <v>0</v>
      </c>
      <c r="D1313" s="26" t="n">
        <v>45443</v>
      </c>
      <c r="E1313" s="25" t="n">
        <v>2024</v>
      </c>
      <c r="F1313" s="25" t="n">
        <v>2</v>
      </c>
      <c r="G1313" s="25" t="n">
        <v>5</v>
      </c>
    </row>
    <row r="1314" customFormat="false" ht="15" hidden="false" customHeight="false" outlineLevel="0" collapsed="false">
      <c r="A1314" s="25" t="n">
        <v>20240601</v>
      </c>
      <c r="B1314" s="25" t="s">
        <v>2248</v>
      </c>
      <c r="C1314" s="27" t="b">
        <f aca="false">TRUE()</f>
        <v>1</v>
      </c>
      <c r="D1314" s="26" t="n">
        <v>45444</v>
      </c>
      <c r="E1314" s="25" t="n">
        <v>2024</v>
      </c>
      <c r="F1314" s="25" t="n">
        <v>2</v>
      </c>
      <c r="G1314" s="25" t="n">
        <v>6</v>
      </c>
    </row>
    <row r="1315" customFormat="false" ht="15" hidden="false" customHeight="false" outlineLevel="0" collapsed="false">
      <c r="A1315" s="25" t="n">
        <v>20240602</v>
      </c>
      <c r="B1315" s="25" t="s">
        <v>2248</v>
      </c>
      <c r="C1315" s="27" t="b">
        <f aca="false">TRUE()</f>
        <v>1</v>
      </c>
      <c r="D1315" s="26" t="n">
        <v>45445</v>
      </c>
      <c r="E1315" s="25" t="n">
        <v>2024</v>
      </c>
      <c r="F1315" s="25" t="n">
        <v>2</v>
      </c>
      <c r="G1315" s="25" t="n">
        <v>6</v>
      </c>
    </row>
    <row r="1316" customFormat="false" ht="15" hidden="false" customHeight="false" outlineLevel="0" collapsed="false">
      <c r="A1316" s="25" t="n">
        <v>20240603</v>
      </c>
      <c r="B1316" s="25" t="s">
        <v>2248</v>
      </c>
      <c r="C1316" s="27" t="b">
        <f aca="false">FALSE()</f>
        <v>0</v>
      </c>
      <c r="D1316" s="26" t="n">
        <v>45446</v>
      </c>
      <c r="E1316" s="25" t="n">
        <v>2024</v>
      </c>
      <c r="F1316" s="25" t="n">
        <v>2</v>
      </c>
      <c r="G1316" s="25" t="n">
        <v>6</v>
      </c>
    </row>
    <row r="1317" customFormat="false" ht="15" hidden="false" customHeight="false" outlineLevel="0" collapsed="false">
      <c r="A1317" s="25" t="n">
        <v>20240604</v>
      </c>
      <c r="B1317" s="25" t="s">
        <v>2248</v>
      </c>
      <c r="C1317" s="27" t="b">
        <f aca="false">FALSE()</f>
        <v>0</v>
      </c>
      <c r="D1317" s="26" t="n">
        <v>45447</v>
      </c>
      <c r="E1317" s="25" t="n">
        <v>2024</v>
      </c>
      <c r="F1317" s="25" t="n">
        <v>2</v>
      </c>
      <c r="G1317" s="25" t="n">
        <v>6</v>
      </c>
    </row>
    <row r="1318" customFormat="false" ht="15" hidden="false" customHeight="false" outlineLevel="0" collapsed="false">
      <c r="A1318" s="25" t="n">
        <v>20240605</v>
      </c>
      <c r="B1318" s="25" t="s">
        <v>2248</v>
      </c>
      <c r="C1318" s="27" t="b">
        <f aca="false">FALSE()</f>
        <v>0</v>
      </c>
      <c r="D1318" s="26" t="n">
        <v>45448</v>
      </c>
      <c r="E1318" s="25" t="n">
        <v>2024</v>
      </c>
      <c r="F1318" s="25" t="n">
        <v>2</v>
      </c>
      <c r="G1318" s="25" t="n">
        <v>6</v>
      </c>
    </row>
    <row r="1319" customFormat="false" ht="15" hidden="false" customHeight="false" outlineLevel="0" collapsed="false">
      <c r="A1319" s="25" t="n">
        <v>20240606</v>
      </c>
      <c r="B1319" s="25" t="s">
        <v>2248</v>
      </c>
      <c r="C1319" s="27" t="b">
        <f aca="false">FALSE()</f>
        <v>0</v>
      </c>
      <c r="D1319" s="26" t="n">
        <v>45449</v>
      </c>
      <c r="E1319" s="25" t="n">
        <v>2024</v>
      </c>
      <c r="F1319" s="25" t="n">
        <v>2</v>
      </c>
      <c r="G1319" s="25" t="n">
        <v>6</v>
      </c>
    </row>
    <row r="1320" customFormat="false" ht="15" hidden="false" customHeight="false" outlineLevel="0" collapsed="false">
      <c r="A1320" s="25" t="n">
        <v>20240607</v>
      </c>
      <c r="B1320" s="25" t="s">
        <v>2248</v>
      </c>
      <c r="C1320" s="27" t="b">
        <f aca="false">FALSE()</f>
        <v>0</v>
      </c>
      <c r="D1320" s="26" t="n">
        <v>45450</v>
      </c>
      <c r="E1320" s="25" t="n">
        <v>2024</v>
      </c>
      <c r="F1320" s="25" t="n">
        <v>2</v>
      </c>
      <c r="G1320" s="25" t="n">
        <v>6</v>
      </c>
    </row>
    <row r="1321" customFormat="false" ht="15" hidden="false" customHeight="false" outlineLevel="0" collapsed="false">
      <c r="A1321" s="25" t="n">
        <v>20240608</v>
      </c>
      <c r="B1321" s="25" t="s">
        <v>2248</v>
      </c>
      <c r="C1321" s="27" t="b">
        <f aca="false">TRUE()</f>
        <v>1</v>
      </c>
      <c r="D1321" s="26" t="n">
        <v>45451</v>
      </c>
      <c r="E1321" s="25" t="n">
        <v>2024</v>
      </c>
      <c r="F1321" s="25" t="n">
        <v>2</v>
      </c>
      <c r="G1321" s="25" t="n">
        <v>6</v>
      </c>
    </row>
    <row r="1322" customFormat="false" ht="15" hidden="false" customHeight="false" outlineLevel="0" collapsed="false">
      <c r="A1322" s="25" t="n">
        <v>20240609</v>
      </c>
      <c r="B1322" s="25" t="s">
        <v>2248</v>
      </c>
      <c r="C1322" s="27" t="b">
        <f aca="false">TRUE()</f>
        <v>1</v>
      </c>
      <c r="D1322" s="26" t="n">
        <v>45452</v>
      </c>
      <c r="E1322" s="25" t="n">
        <v>2024</v>
      </c>
      <c r="F1322" s="25" t="n">
        <v>2</v>
      </c>
      <c r="G1322" s="25" t="n">
        <v>6</v>
      </c>
    </row>
    <row r="1323" customFormat="false" ht="15" hidden="false" customHeight="false" outlineLevel="0" collapsed="false">
      <c r="A1323" s="25" t="n">
        <v>20240610</v>
      </c>
      <c r="B1323" s="25" t="s">
        <v>2248</v>
      </c>
      <c r="C1323" s="27" t="b">
        <f aca="false">FALSE()</f>
        <v>0</v>
      </c>
      <c r="D1323" s="26" t="n">
        <v>45453</v>
      </c>
      <c r="E1323" s="25" t="n">
        <v>2024</v>
      </c>
      <c r="F1323" s="25" t="n">
        <v>2</v>
      </c>
      <c r="G1323" s="25" t="n">
        <v>6</v>
      </c>
    </row>
    <row r="1324" customFormat="false" ht="15" hidden="false" customHeight="false" outlineLevel="0" collapsed="false">
      <c r="A1324" s="25" t="n">
        <v>20240611</v>
      </c>
      <c r="B1324" s="25" t="s">
        <v>2248</v>
      </c>
      <c r="C1324" s="27" t="b">
        <f aca="false">FALSE()</f>
        <v>0</v>
      </c>
      <c r="D1324" s="26" t="n">
        <v>45454</v>
      </c>
      <c r="E1324" s="25" t="n">
        <v>2024</v>
      </c>
      <c r="F1324" s="25" t="n">
        <v>2</v>
      </c>
      <c r="G1324" s="25" t="n">
        <v>6</v>
      </c>
    </row>
    <row r="1325" customFormat="false" ht="15" hidden="false" customHeight="false" outlineLevel="0" collapsed="false">
      <c r="A1325" s="25" t="n">
        <v>20240612</v>
      </c>
      <c r="B1325" s="25" t="s">
        <v>2248</v>
      </c>
      <c r="C1325" s="27" t="b">
        <f aca="false">FALSE()</f>
        <v>0</v>
      </c>
      <c r="D1325" s="26" t="n">
        <v>45455</v>
      </c>
      <c r="E1325" s="25" t="n">
        <v>2024</v>
      </c>
      <c r="F1325" s="25" t="n">
        <v>2</v>
      </c>
      <c r="G1325" s="25" t="n">
        <v>6</v>
      </c>
    </row>
    <row r="1326" customFormat="false" ht="15" hidden="false" customHeight="false" outlineLevel="0" collapsed="false">
      <c r="A1326" s="25" t="n">
        <v>20240613</v>
      </c>
      <c r="B1326" s="25" t="s">
        <v>2248</v>
      </c>
      <c r="C1326" s="27" t="b">
        <f aca="false">FALSE()</f>
        <v>0</v>
      </c>
      <c r="D1326" s="26" t="n">
        <v>45456</v>
      </c>
      <c r="E1326" s="25" t="n">
        <v>2024</v>
      </c>
      <c r="F1326" s="25" t="n">
        <v>2</v>
      </c>
      <c r="G1326" s="25" t="n">
        <v>6</v>
      </c>
    </row>
    <row r="1327" customFormat="false" ht="15" hidden="false" customHeight="false" outlineLevel="0" collapsed="false">
      <c r="A1327" s="25" t="n">
        <v>20240614</v>
      </c>
      <c r="B1327" s="25" t="s">
        <v>2248</v>
      </c>
      <c r="C1327" s="27" t="b">
        <f aca="false">FALSE()</f>
        <v>0</v>
      </c>
      <c r="D1327" s="26" t="n">
        <v>45457</v>
      </c>
      <c r="E1327" s="25" t="n">
        <v>2024</v>
      </c>
      <c r="F1327" s="25" t="n">
        <v>2</v>
      </c>
      <c r="G1327" s="25" t="n">
        <v>6</v>
      </c>
    </row>
    <row r="1328" customFormat="false" ht="15" hidden="false" customHeight="false" outlineLevel="0" collapsed="false">
      <c r="A1328" s="25" t="n">
        <v>20240615</v>
      </c>
      <c r="B1328" s="25" t="s">
        <v>2248</v>
      </c>
      <c r="C1328" s="27" t="b">
        <f aca="false">TRUE()</f>
        <v>1</v>
      </c>
      <c r="D1328" s="26" t="n">
        <v>45458</v>
      </c>
      <c r="E1328" s="25" t="n">
        <v>2024</v>
      </c>
      <c r="F1328" s="25" t="n">
        <v>2</v>
      </c>
      <c r="G1328" s="25" t="n">
        <v>6</v>
      </c>
    </row>
    <row r="1329" customFormat="false" ht="15" hidden="false" customHeight="false" outlineLevel="0" collapsed="false">
      <c r="A1329" s="25" t="n">
        <v>20240616</v>
      </c>
      <c r="B1329" s="25" t="s">
        <v>2248</v>
      </c>
      <c r="C1329" s="27" t="b">
        <f aca="false">TRUE()</f>
        <v>1</v>
      </c>
      <c r="D1329" s="26" t="n">
        <v>45459</v>
      </c>
      <c r="E1329" s="25" t="n">
        <v>2024</v>
      </c>
      <c r="F1329" s="25" t="n">
        <v>2</v>
      </c>
      <c r="G1329" s="25" t="n">
        <v>6</v>
      </c>
    </row>
    <row r="1330" customFormat="false" ht="15" hidden="false" customHeight="false" outlineLevel="0" collapsed="false">
      <c r="A1330" s="25" t="n">
        <v>20240617</v>
      </c>
      <c r="B1330" s="25" t="s">
        <v>2248</v>
      </c>
      <c r="C1330" s="27" t="b">
        <f aca="false">FALSE()</f>
        <v>0</v>
      </c>
      <c r="D1330" s="26" t="n">
        <v>45460</v>
      </c>
      <c r="E1330" s="25" t="n">
        <v>2024</v>
      </c>
      <c r="F1330" s="25" t="n">
        <v>2</v>
      </c>
      <c r="G1330" s="25" t="n">
        <v>6</v>
      </c>
    </row>
    <row r="1331" customFormat="false" ht="15" hidden="false" customHeight="false" outlineLevel="0" collapsed="false">
      <c r="A1331" s="25" t="n">
        <v>20240618</v>
      </c>
      <c r="B1331" s="25" t="s">
        <v>2248</v>
      </c>
      <c r="C1331" s="27" t="b">
        <f aca="false">FALSE()</f>
        <v>0</v>
      </c>
      <c r="D1331" s="26" t="n">
        <v>45461</v>
      </c>
      <c r="E1331" s="25" t="n">
        <v>2024</v>
      </c>
      <c r="F1331" s="25" t="n">
        <v>2</v>
      </c>
      <c r="G1331" s="25" t="n">
        <v>6</v>
      </c>
    </row>
    <row r="1332" customFormat="false" ht="15" hidden="false" customHeight="false" outlineLevel="0" collapsed="false">
      <c r="A1332" s="25" t="n">
        <v>20240619</v>
      </c>
      <c r="B1332" s="25" t="s">
        <v>2248</v>
      </c>
      <c r="C1332" s="27" t="b">
        <f aca="false">FALSE()</f>
        <v>0</v>
      </c>
      <c r="D1332" s="26" t="n">
        <v>45462</v>
      </c>
      <c r="E1332" s="25" t="n">
        <v>2024</v>
      </c>
      <c r="F1332" s="25" t="n">
        <v>2</v>
      </c>
      <c r="G1332" s="25" t="n">
        <v>6</v>
      </c>
    </row>
    <row r="1333" customFormat="false" ht="15" hidden="false" customHeight="false" outlineLevel="0" collapsed="false">
      <c r="A1333" s="25" t="n">
        <v>20240620</v>
      </c>
      <c r="B1333" s="25" t="s">
        <v>2248</v>
      </c>
      <c r="C1333" s="27" t="b">
        <f aca="false">FALSE()</f>
        <v>0</v>
      </c>
      <c r="D1333" s="26" t="n">
        <v>45463</v>
      </c>
      <c r="E1333" s="25" t="n">
        <v>2024</v>
      </c>
      <c r="F1333" s="25" t="n">
        <v>2</v>
      </c>
      <c r="G1333" s="25" t="n">
        <v>6</v>
      </c>
    </row>
    <row r="1334" customFormat="false" ht="15" hidden="false" customHeight="false" outlineLevel="0" collapsed="false">
      <c r="A1334" s="25" t="n">
        <v>20240621</v>
      </c>
      <c r="B1334" s="25" t="s">
        <v>2248</v>
      </c>
      <c r="C1334" s="27" t="b">
        <f aca="false">FALSE()</f>
        <v>0</v>
      </c>
      <c r="D1334" s="26" t="n">
        <v>45464</v>
      </c>
      <c r="E1334" s="25" t="n">
        <v>2024</v>
      </c>
      <c r="F1334" s="25" t="n">
        <v>2</v>
      </c>
      <c r="G1334" s="25" t="n">
        <v>6</v>
      </c>
    </row>
    <row r="1335" customFormat="false" ht="15" hidden="false" customHeight="false" outlineLevel="0" collapsed="false">
      <c r="A1335" s="25" t="n">
        <v>20240622</v>
      </c>
      <c r="B1335" s="25" t="s">
        <v>2248</v>
      </c>
      <c r="C1335" s="27" t="b">
        <f aca="false">TRUE()</f>
        <v>1</v>
      </c>
      <c r="D1335" s="26" t="n">
        <v>45465</v>
      </c>
      <c r="E1335" s="25" t="n">
        <v>2024</v>
      </c>
      <c r="F1335" s="25" t="n">
        <v>2</v>
      </c>
      <c r="G1335" s="25" t="n">
        <v>6</v>
      </c>
    </row>
    <row r="1336" customFormat="false" ht="15" hidden="false" customHeight="false" outlineLevel="0" collapsed="false">
      <c r="A1336" s="25" t="n">
        <v>20240623</v>
      </c>
      <c r="B1336" s="25" t="s">
        <v>2248</v>
      </c>
      <c r="C1336" s="27" t="b">
        <f aca="false">TRUE()</f>
        <v>1</v>
      </c>
      <c r="D1336" s="26" t="n">
        <v>45466</v>
      </c>
      <c r="E1336" s="25" t="n">
        <v>2024</v>
      </c>
      <c r="F1336" s="25" t="n">
        <v>2</v>
      </c>
      <c r="G1336" s="25" t="n">
        <v>6</v>
      </c>
    </row>
    <row r="1337" customFormat="false" ht="15" hidden="false" customHeight="false" outlineLevel="0" collapsed="false">
      <c r="A1337" s="25" t="n">
        <v>20240624</v>
      </c>
      <c r="B1337" s="25" t="s">
        <v>2248</v>
      </c>
      <c r="C1337" s="27" t="b">
        <f aca="false">FALSE()</f>
        <v>0</v>
      </c>
      <c r="D1337" s="26" t="n">
        <v>45467</v>
      </c>
      <c r="E1337" s="25" t="n">
        <v>2024</v>
      </c>
      <c r="F1337" s="25" t="n">
        <v>2</v>
      </c>
      <c r="G1337" s="25" t="n">
        <v>6</v>
      </c>
    </row>
    <row r="1338" customFormat="false" ht="15" hidden="false" customHeight="false" outlineLevel="0" collapsed="false">
      <c r="A1338" s="25" t="n">
        <v>20240625</v>
      </c>
      <c r="B1338" s="25" t="s">
        <v>2248</v>
      </c>
      <c r="C1338" s="27" t="b">
        <f aca="false">FALSE()</f>
        <v>0</v>
      </c>
      <c r="D1338" s="26" t="n">
        <v>45468</v>
      </c>
      <c r="E1338" s="25" t="n">
        <v>2024</v>
      </c>
      <c r="F1338" s="25" t="n">
        <v>2</v>
      </c>
      <c r="G1338" s="25" t="n">
        <v>6</v>
      </c>
    </row>
    <row r="1339" customFormat="false" ht="15" hidden="false" customHeight="false" outlineLevel="0" collapsed="false">
      <c r="A1339" s="25" t="n">
        <v>20240626</v>
      </c>
      <c r="B1339" s="25" t="s">
        <v>2248</v>
      </c>
      <c r="C1339" s="27" t="b">
        <f aca="false">FALSE()</f>
        <v>0</v>
      </c>
      <c r="D1339" s="26" t="n">
        <v>45469</v>
      </c>
      <c r="E1339" s="25" t="n">
        <v>2024</v>
      </c>
      <c r="F1339" s="25" t="n">
        <v>2</v>
      </c>
      <c r="G1339" s="25" t="n">
        <v>6</v>
      </c>
    </row>
    <row r="1340" customFormat="false" ht="15" hidden="false" customHeight="false" outlineLevel="0" collapsed="false">
      <c r="A1340" s="25" t="n">
        <v>20240627</v>
      </c>
      <c r="B1340" s="25" t="s">
        <v>2248</v>
      </c>
      <c r="C1340" s="27" t="b">
        <f aca="false">FALSE()</f>
        <v>0</v>
      </c>
      <c r="D1340" s="26" t="n">
        <v>45470</v>
      </c>
      <c r="E1340" s="25" t="n">
        <v>2024</v>
      </c>
      <c r="F1340" s="25" t="n">
        <v>2</v>
      </c>
      <c r="G1340" s="25" t="n">
        <v>6</v>
      </c>
    </row>
    <row r="1341" customFormat="false" ht="15" hidden="false" customHeight="false" outlineLevel="0" collapsed="false">
      <c r="A1341" s="25" t="n">
        <v>20240628</v>
      </c>
      <c r="B1341" s="25" t="s">
        <v>2248</v>
      </c>
      <c r="C1341" s="27" t="b">
        <f aca="false">FALSE()</f>
        <v>0</v>
      </c>
      <c r="D1341" s="26" t="n">
        <v>45471</v>
      </c>
      <c r="E1341" s="25" t="n">
        <v>2024</v>
      </c>
      <c r="F1341" s="25" t="n">
        <v>2</v>
      </c>
      <c r="G1341" s="25" t="n">
        <v>6</v>
      </c>
    </row>
    <row r="1342" customFormat="false" ht="15" hidden="false" customHeight="false" outlineLevel="0" collapsed="false">
      <c r="A1342" s="25" t="n">
        <v>20240629</v>
      </c>
      <c r="B1342" s="25" t="s">
        <v>2248</v>
      </c>
      <c r="C1342" s="27" t="b">
        <f aca="false">TRUE()</f>
        <v>1</v>
      </c>
      <c r="D1342" s="26" t="n">
        <v>45472</v>
      </c>
      <c r="E1342" s="25" t="n">
        <v>2024</v>
      </c>
      <c r="F1342" s="25" t="n">
        <v>2</v>
      </c>
      <c r="G1342" s="25" t="n">
        <v>6</v>
      </c>
    </row>
    <row r="1343" customFormat="false" ht="15" hidden="false" customHeight="false" outlineLevel="0" collapsed="false">
      <c r="A1343" s="25" t="n">
        <v>20240630</v>
      </c>
      <c r="B1343" s="25" t="s">
        <v>2248</v>
      </c>
      <c r="C1343" s="27" t="b">
        <f aca="false">TRUE()</f>
        <v>1</v>
      </c>
      <c r="D1343" s="26" t="n">
        <v>45473</v>
      </c>
      <c r="E1343" s="25" t="n">
        <v>2024</v>
      </c>
      <c r="F1343" s="25" t="n">
        <v>2</v>
      </c>
      <c r="G1343" s="25" t="n">
        <v>6</v>
      </c>
    </row>
    <row r="1344" customFormat="false" ht="15" hidden="false" customHeight="false" outlineLevel="0" collapsed="false">
      <c r="A1344" s="25" t="n">
        <v>20240701</v>
      </c>
      <c r="B1344" s="25" t="s">
        <v>2249</v>
      </c>
      <c r="C1344" s="27" t="b">
        <f aca="false">FALSE()</f>
        <v>0</v>
      </c>
      <c r="D1344" s="26" t="n">
        <v>45474</v>
      </c>
      <c r="E1344" s="25" t="n">
        <v>2024</v>
      </c>
      <c r="F1344" s="25" t="n">
        <v>3</v>
      </c>
      <c r="G1344" s="25" t="n">
        <v>7</v>
      </c>
    </row>
    <row r="1345" customFormat="false" ht="15" hidden="false" customHeight="false" outlineLevel="0" collapsed="false">
      <c r="A1345" s="25" t="n">
        <v>20240702</v>
      </c>
      <c r="B1345" s="25" t="s">
        <v>2249</v>
      </c>
      <c r="C1345" s="27" t="b">
        <f aca="false">FALSE()</f>
        <v>0</v>
      </c>
      <c r="D1345" s="26" t="n">
        <v>45475</v>
      </c>
      <c r="E1345" s="25" t="n">
        <v>2024</v>
      </c>
      <c r="F1345" s="25" t="n">
        <v>3</v>
      </c>
      <c r="G1345" s="25" t="n">
        <v>7</v>
      </c>
    </row>
    <row r="1346" customFormat="false" ht="15" hidden="false" customHeight="false" outlineLevel="0" collapsed="false">
      <c r="A1346" s="25" t="n">
        <v>20240703</v>
      </c>
      <c r="B1346" s="25" t="s">
        <v>2249</v>
      </c>
      <c r="C1346" s="27" t="b">
        <f aca="false">FALSE()</f>
        <v>0</v>
      </c>
      <c r="D1346" s="26" t="n">
        <v>45476</v>
      </c>
      <c r="E1346" s="25" t="n">
        <v>2024</v>
      </c>
      <c r="F1346" s="25" t="n">
        <v>3</v>
      </c>
      <c r="G1346" s="25" t="n">
        <v>7</v>
      </c>
    </row>
    <row r="1347" customFormat="false" ht="15" hidden="false" customHeight="false" outlineLevel="0" collapsed="false">
      <c r="A1347" s="25" t="n">
        <v>20240704</v>
      </c>
      <c r="B1347" s="25" t="s">
        <v>2249</v>
      </c>
      <c r="C1347" s="27" t="b">
        <f aca="false">FALSE()</f>
        <v>0</v>
      </c>
      <c r="D1347" s="26" t="n">
        <v>45477</v>
      </c>
      <c r="E1347" s="25" t="n">
        <v>2024</v>
      </c>
      <c r="F1347" s="25" t="n">
        <v>3</v>
      </c>
      <c r="G1347" s="25" t="n">
        <v>7</v>
      </c>
    </row>
    <row r="1348" customFormat="false" ht="15" hidden="false" customHeight="false" outlineLevel="0" collapsed="false">
      <c r="A1348" s="25" t="n">
        <v>20240705</v>
      </c>
      <c r="B1348" s="25" t="s">
        <v>2249</v>
      </c>
      <c r="C1348" s="27" t="b">
        <f aca="false">FALSE()</f>
        <v>0</v>
      </c>
      <c r="D1348" s="26" t="n">
        <v>45478</v>
      </c>
      <c r="E1348" s="25" t="n">
        <v>2024</v>
      </c>
      <c r="F1348" s="25" t="n">
        <v>3</v>
      </c>
      <c r="G1348" s="25" t="n">
        <v>7</v>
      </c>
    </row>
    <row r="1349" customFormat="false" ht="15" hidden="false" customHeight="false" outlineLevel="0" collapsed="false">
      <c r="A1349" s="25" t="n">
        <v>20240706</v>
      </c>
      <c r="B1349" s="25" t="s">
        <v>2249</v>
      </c>
      <c r="C1349" s="27" t="b">
        <f aca="false">TRUE()</f>
        <v>1</v>
      </c>
      <c r="D1349" s="26" t="n">
        <v>45479</v>
      </c>
      <c r="E1349" s="25" t="n">
        <v>2024</v>
      </c>
      <c r="F1349" s="25" t="n">
        <v>3</v>
      </c>
      <c r="G1349" s="25" t="n">
        <v>7</v>
      </c>
    </row>
    <row r="1350" customFormat="false" ht="15" hidden="false" customHeight="false" outlineLevel="0" collapsed="false">
      <c r="A1350" s="25" t="n">
        <v>20240707</v>
      </c>
      <c r="B1350" s="25" t="s">
        <v>2249</v>
      </c>
      <c r="C1350" s="27" t="b">
        <f aca="false">TRUE()</f>
        <v>1</v>
      </c>
      <c r="D1350" s="26" t="n">
        <v>45480</v>
      </c>
      <c r="E1350" s="25" t="n">
        <v>2024</v>
      </c>
      <c r="F1350" s="25" t="n">
        <v>3</v>
      </c>
      <c r="G1350" s="25" t="n">
        <v>7</v>
      </c>
    </row>
    <row r="1351" customFormat="false" ht="15" hidden="false" customHeight="false" outlineLevel="0" collapsed="false">
      <c r="A1351" s="25" t="n">
        <v>20240708</v>
      </c>
      <c r="B1351" s="25" t="s">
        <v>2249</v>
      </c>
      <c r="C1351" s="27" t="b">
        <f aca="false">FALSE()</f>
        <v>0</v>
      </c>
      <c r="D1351" s="26" t="n">
        <v>45481</v>
      </c>
      <c r="E1351" s="25" t="n">
        <v>2024</v>
      </c>
      <c r="F1351" s="25" t="n">
        <v>3</v>
      </c>
      <c r="G1351" s="25" t="n">
        <v>7</v>
      </c>
    </row>
    <row r="1352" customFormat="false" ht="15" hidden="false" customHeight="false" outlineLevel="0" collapsed="false">
      <c r="A1352" s="25" t="n">
        <v>20240709</v>
      </c>
      <c r="B1352" s="25" t="s">
        <v>2249</v>
      </c>
      <c r="C1352" s="27" t="b">
        <f aca="false">FALSE()</f>
        <v>0</v>
      </c>
      <c r="D1352" s="26" t="n">
        <v>45482</v>
      </c>
      <c r="E1352" s="25" t="n">
        <v>2024</v>
      </c>
      <c r="F1352" s="25" t="n">
        <v>3</v>
      </c>
      <c r="G1352" s="25" t="n">
        <v>7</v>
      </c>
    </row>
    <row r="1353" customFormat="false" ht="15" hidden="false" customHeight="false" outlineLevel="0" collapsed="false">
      <c r="A1353" s="25" t="n">
        <v>20240710</v>
      </c>
      <c r="B1353" s="25" t="s">
        <v>2249</v>
      </c>
      <c r="C1353" s="27" t="b">
        <f aca="false">FALSE()</f>
        <v>0</v>
      </c>
      <c r="D1353" s="26" t="n">
        <v>45483</v>
      </c>
      <c r="E1353" s="25" t="n">
        <v>2024</v>
      </c>
      <c r="F1353" s="25" t="n">
        <v>3</v>
      </c>
      <c r="G1353" s="25" t="n">
        <v>7</v>
      </c>
    </row>
    <row r="1354" customFormat="false" ht="15" hidden="false" customHeight="false" outlineLevel="0" collapsed="false">
      <c r="A1354" s="25" t="n">
        <v>20240711</v>
      </c>
      <c r="B1354" s="25" t="s">
        <v>2249</v>
      </c>
      <c r="C1354" s="27" t="b">
        <f aca="false">FALSE()</f>
        <v>0</v>
      </c>
      <c r="D1354" s="26" t="n">
        <v>45484</v>
      </c>
      <c r="E1354" s="25" t="n">
        <v>2024</v>
      </c>
      <c r="F1354" s="25" t="n">
        <v>3</v>
      </c>
      <c r="G1354" s="25" t="n">
        <v>7</v>
      </c>
    </row>
    <row r="1355" customFormat="false" ht="15" hidden="false" customHeight="false" outlineLevel="0" collapsed="false">
      <c r="A1355" s="25" t="n">
        <v>20240712</v>
      </c>
      <c r="B1355" s="25" t="s">
        <v>2249</v>
      </c>
      <c r="C1355" s="27" t="b">
        <f aca="false">FALSE()</f>
        <v>0</v>
      </c>
      <c r="D1355" s="26" t="n">
        <v>45485</v>
      </c>
      <c r="E1355" s="25" t="n">
        <v>2024</v>
      </c>
      <c r="F1355" s="25" t="n">
        <v>3</v>
      </c>
      <c r="G1355" s="25" t="n">
        <v>7</v>
      </c>
    </row>
    <row r="1356" customFormat="false" ht="15" hidden="false" customHeight="false" outlineLevel="0" collapsed="false">
      <c r="A1356" s="25" t="n">
        <v>20240713</v>
      </c>
      <c r="B1356" s="25" t="s">
        <v>2249</v>
      </c>
      <c r="C1356" s="27" t="b">
        <f aca="false">TRUE()</f>
        <v>1</v>
      </c>
      <c r="D1356" s="26" t="n">
        <v>45486</v>
      </c>
      <c r="E1356" s="25" t="n">
        <v>2024</v>
      </c>
      <c r="F1356" s="25" t="n">
        <v>3</v>
      </c>
      <c r="G1356" s="25" t="n">
        <v>7</v>
      </c>
    </row>
    <row r="1357" customFormat="false" ht="15" hidden="false" customHeight="false" outlineLevel="0" collapsed="false">
      <c r="A1357" s="25" t="n">
        <v>20240714</v>
      </c>
      <c r="B1357" s="25" t="s">
        <v>2249</v>
      </c>
      <c r="C1357" s="27" t="b">
        <f aca="false">TRUE()</f>
        <v>1</v>
      </c>
      <c r="D1357" s="26" t="n">
        <v>45487</v>
      </c>
      <c r="E1357" s="25" t="n">
        <v>2024</v>
      </c>
      <c r="F1357" s="25" t="n">
        <v>3</v>
      </c>
      <c r="G1357" s="25" t="n">
        <v>7</v>
      </c>
    </row>
    <row r="1358" customFormat="false" ht="15" hidden="false" customHeight="false" outlineLevel="0" collapsed="false">
      <c r="A1358" s="25" t="n">
        <v>20240715</v>
      </c>
      <c r="B1358" s="25" t="s">
        <v>2249</v>
      </c>
      <c r="C1358" s="27" t="b">
        <f aca="false">FALSE()</f>
        <v>0</v>
      </c>
      <c r="D1358" s="26" t="n">
        <v>45488</v>
      </c>
      <c r="E1358" s="25" t="n">
        <v>2024</v>
      </c>
      <c r="F1358" s="25" t="n">
        <v>3</v>
      </c>
      <c r="G1358" s="25" t="n">
        <v>7</v>
      </c>
    </row>
    <row r="1359" customFormat="false" ht="15" hidden="false" customHeight="false" outlineLevel="0" collapsed="false">
      <c r="A1359" s="25" t="n">
        <v>20240716</v>
      </c>
      <c r="B1359" s="25" t="s">
        <v>2249</v>
      </c>
      <c r="C1359" s="27" t="b">
        <f aca="false">FALSE()</f>
        <v>0</v>
      </c>
      <c r="D1359" s="26" t="n">
        <v>45489</v>
      </c>
      <c r="E1359" s="25" t="n">
        <v>2024</v>
      </c>
      <c r="F1359" s="25" t="n">
        <v>3</v>
      </c>
      <c r="G1359" s="25" t="n">
        <v>7</v>
      </c>
    </row>
    <row r="1360" customFormat="false" ht="15" hidden="false" customHeight="false" outlineLevel="0" collapsed="false">
      <c r="A1360" s="25" t="n">
        <v>20240717</v>
      </c>
      <c r="B1360" s="25" t="s">
        <v>2249</v>
      </c>
      <c r="C1360" s="27" t="b">
        <f aca="false">FALSE()</f>
        <v>0</v>
      </c>
      <c r="D1360" s="26" t="n">
        <v>45490</v>
      </c>
      <c r="E1360" s="25" t="n">
        <v>2024</v>
      </c>
      <c r="F1360" s="25" t="n">
        <v>3</v>
      </c>
      <c r="G1360" s="25" t="n">
        <v>7</v>
      </c>
    </row>
    <row r="1361" customFormat="false" ht="15" hidden="false" customHeight="false" outlineLevel="0" collapsed="false">
      <c r="A1361" s="25" t="n">
        <v>20240718</v>
      </c>
      <c r="B1361" s="25" t="s">
        <v>2249</v>
      </c>
      <c r="C1361" s="27" t="b">
        <f aca="false">FALSE()</f>
        <v>0</v>
      </c>
      <c r="D1361" s="26" t="n">
        <v>45491</v>
      </c>
      <c r="E1361" s="25" t="n">
        <v>2024</v>
      </c>
      <c r="F1361" s="25" t="n">
        <v>3</v>
      </c>
      <c r="G1361" s="25" t="n">
        <v>7</v>
      </c>
    </row>
    <row r="1362" customFormat="false" ht="15" hidden="false" customHeight="false" outlineLevel="0" collapsed="false">
      <c r="A1362" s="25" t="n">
        <v>20240719</v>
      </c>
      <c r="B1362" s="25" t="s">
        <v>2249</v>
      </c>
      <c r="C1362" s="27" t="b">
        <f aca="false">FALSE()</f>
        <v>0</v>
      </c>
      <c r="D1362" s="26" t="n">
        <v>45492</v>
      </c>
      <c r="E1362" s="25" t="n">
        <v>2024</v>
      </c>
      <c r="F1362" s="25" t="n">
        <v>3</v>
      </c>
      <c r="G1362" s="25" t="n">
        <v>7</v>
      </c>
    </row>
    <row r="1363" customFormat="false" ht="15" hidden="false" customHeight="false" outlineLevel="0" collapsed="false">
      <c r="A1363" s="25" t="n">
        <v>20240720</v>
      </c>
      <c r="B1363" s="25" t="s">
        <v>2249</v>
      </c>
      <c r="C1363" s="27" t="b">
        <f aca="false">TRUE()</f>
        <v>1</v>
      </c>
      <c r="D1363" s="26" t="n">
        <v>45493</v>
      </c>
      <c r="E1363" s="25" t="n">
        <v>2024</v>
      </c>
      <c r="F1363" s="25" t="n">
        <v>3</v>
      </c>
      <c r="G1363" s="25" t="n">
        <v>7</v>
      </c>
    </row>
    <row r="1364" customFormat="false" ht="15" hidden="false" customHeight="false" outlineLevel="0" collapsed="false">
      <c r="A1364" s="25" t="n">
        <v>20240721</v>
      </c>
      <c r="B1364" s="25" t="s">
        <v>2249</v>
      </c>
      <c r="C1364" s="27" t="b">
        <f aca="false">TRUE()</f>
        <v>1</v>
      </c>
      <c r="D1364" s="26" t="n">
        <v>45494</v>
      </c>
      <c r="E1364" s="25" t="n">
        <v>2024</v>
      </c>
      <c r="F1364" s="25" t="n">
        <v>3</v>
      </c>
      <c r="G1364" s="25" t="n">
        <v>7</v>
      </c>
    </row>
    <row r="1365" customFormat="false" ht="15" hidden="false" customHeight="false" outlineLevel="0" collapsed="false">
      <c r="A1365" s="25" t="n">
        <v>20240722</v>
      </c>
      <c r="B1365" s="25" t="s">
        <v>2249</v>
      </c>
      <c r="C1365" s="27" t="b">
        <f aca="false">FALSE()</f>
        <v>0</v>
      </c>
      <c r="D1365" s="26" t="n">
        <v>45495</v>
      </c>
      <c r="E1365" s="25" t="n">
        <v>2024</v>
      </c>
      <c r="F1365" s="25" t="n">
        <v>3</v>
      </c>
      <c r="G1365" s="25" t="n">
        <v>7</v>
      </c>
    </row>
    <row r="1366" customFormat="false" ht="15" hidden="false" customHeight="false" outlineLevel="0" collapsed="false">
      <c r="A1366" s="25" t="n">
        <v>20240723</v>
      </c>
      <c r="B1366" s="25" t="s">
        <v>2249</v>
      </c>
      <c r="C1366" s="27" t="b">
        <f aca="false">FALSE()</f>
        <v>0</v>
      </c>
      <c r="D1366" s="26" t="n">
        <v>45496</v>
      </c>
      <c r="E1366" s="25" t="n">
        <v>2024</v>
      </c>
      <c r="F1366" s="25" t="n">
        <v>3</v>
      </c>
      <c r="G1366" s="25" t="n">
        <v>7</v>
      </c>
    </row>
    <row r="1367" customFormat="false" ht="15" hidden="false" customHeight="false" outlineLevel="0" collapsed="false">
      <c r="A1367" s="25" t="n">
        <v>20240724</v>
      </c>
      <c r="B1367" s="25" t="s">
        <v>2249</v>
      </c>
      <c r="C1367" s="27" t="b">
        <f aca="false">FALSE()</f>
        <v>0</v>
      </c>
      <c r="D1367" s="26" t="n">
        <v>45497</v>
      </c>
      <c r="E1367" s="25" t="n">
        <v>2024</v>
      </c>
      <c r="F1367" s="25" t="n">
        <v>3</v>
      </c>
      <c r="G1367" s="25" t="n">
        <v>7</v>
      </c>
    </row>
    <row r="1368" customFormat="false" ht="15" hidden="false" customHeight="false" outlineLevel="0" collapsed="false">
      <c r="A1368" s="25" t="n">
        <v>20240725</v>
      </c>
      <c r="B1368" s="25" t="s">
        <v>2249</v>
      </c>
      <c r="C1368" s="27" t="b">
        <f aca="false">FALSE()</f>
        <v>0</v>
      </c>
      <c r="D1368" s="26" t="n">
        <v>45498</v>
      </c>
      <c r="E1368" s="25" t="n">
        <v>2024</v>
      </c>
      <c r="F1368" s="25" t="n">
        <v>3</v>
      </c>
      <c r="G1368" s="25" t="n">
        <v>7</v>
      </c>
    </row>
    <row r="1369" customFormat="false" ht="15" hidden="false" customHeight="false" outlineLevel="0" collapsed="false">
      <c r="A1369" s="25" t="n">
        <v>20240726</v>
      </c>
      <c r="B1369" s="25" t="s">
        <v>2249</v>
      </c>
      <c r="C1369" s="27" t="b">
        <f aca="false">FALSE()</f>
        <v>0</v>
      </c>
      <c r="D1369" s="26" t="n">
        <v>45499</v>
      </c>
      <c r="E1369" s="25" t="n">
        <v>2024</v>
      </c>
      <c r="F1369" s="25" t="n">
        <v>3</v>
      </c>
      <c r="G1369" s="25" t="n">
        <v>7</v>
      </c>
    </row>
    <row r="1370" customFormat="false" ht="15" hidden="false" customHeight="false" outlineLevel="0" collapsed="false">
      <c r="A1370" s="25" t="n">
        <v>20240727</v>
      </c>
      <c r="B1370" s="25" t="s">
        <v>2249</v>
      </c>
      <c r="C1370" s="27" t="b">
        <f aca="false">TRUE()</f>
        <v>1</v>
      </c>
      <c r="D1370" s="26" t="n">
        <v>45500</v>
      </c>
      <c r="E1370" s="25" t="n">
        <v>2024</v>
      </c>
      <c r="F1370" s="25" t="n">
        <v>3</v>
      </c>
      <c r="G1370" s="25" t="n">
        <v>7</v>
      </c>
    </row>
    <row r="1371" customFormat="false" ht="15" hidden="false" customHeight="false" outlineLevel="0" collapsed="false">
      <c r="A1371" s="25" t="n">
        <v>20240728</v>
      </c>
      <c r="B1371" s="25" t="s">
        <v>2249</v>
      </c>
      <c r="C1371" s="27" t="b">
        <f aca="false">TRUE()</f>
        <v>1</v>
      </c>
      <c r="D1371" s="26" t="n">
        <v>45501</v>
      </c>
      <c r="E1371" s="25" t="n">
        <v>2024</v>
      </c>
      <c r="F1371" s="25" t="n">
        <v>3</v>
      </c>
      <c r="G1371" s="25" t="n">
        <v>7</v>
      </c>
    </row>
    <row r="1372" customFormat="false" ht="15" hidden="false" customHeight="false" outlineLevel="0" collapsed="false">
      <c r="A1372" s="25" t="n">
        <v>20240729</v>
      </c>
      <c r="B1372" s="25" t="s">
        <v>2249</v>
      </c>
      <c r="C1372" s="27" t="b">
        <f aca="false">FALSE()</f>
        <v>0</v>
      </c>
      <c r="D1372" s="26" t="n">
        <v>45502</v>
      </c>
      <c r="E1372" s="25" t="n">
        <v>2024</v>
      </c>
      <c r="F1372" s="25" t="n">
        <v>3</v>
      </c>
      <c r="G1372" s="25" t="n">
        <v>7</v>
      </c>
    </row>
    <row r="1373" customFormat="false" ht="15" hidden="false" customHeight="false" outlineLevel="0" collapsed="false">
      <c r="A1373" s="25" t="n">
        <v>20240730</v>
      </c>
      <c r="B1373" s="25" t="s">
        <v>2249</v>
      </c>
      <c r="C1373" s="27" t="b">
        <f aca="false">FALSE()</f>
        <v>0</v>
      </c>
      <c r="D1373" s="26" t="n">
        <v>45503</v>
      </c>
      <c r="E1373" s="25" t="n">
        <v>2024</v>
      </c>
      <c r="F1373" s="25" t="n">
        <v>3</v>
      </c>
      <c r="G1373" s="25" t="n">
        <v>7</v>
      </c>
    </row>
    <row r="1374" customFormat="false" ht="15" hidden="false" customHeight="false" outlineLevel="0" collapsed="false">
      <c r="A1374" s="25" t="n">
        <v>20240731</v>
      </c>
      <c r="B1374" s="25" t="s">
        <v>2249</v>
      </c>
      <c r="C1374" s="27" t="b">
        <f aca="false">FALSE()</f>
        <v>0</v>
      </c>
      <c r="D1374" s="26" t="n">
        <v>45504</v>
      </c>
      <c r="E1374" s="25" t="n">
        <v>2024</v>
      </c>
      <c r="F1374" s="25" t="n">
        <v>3</v>
      </c>
      <c r="G1374" s="25" t="n">
        <v>7</v>
      </c>
    </row>
    <row r="1375" customFormat="false" ht="15" hidden="false" customHeight="false" outlineLevel="0" collapsed="false">
      <c r="A1375" s="25" t="n">
        <v>20240801</v>
      </c>
      <c r="B1375" s="25" t="s">
        <v>2250</v>
      </c>
      <c r="C1375" s="27" t="b">
        <f aca="false">FALSE()</f>
        <v>0</v>
      </c>
      <c r="D1375" s="26" t="n">
        <v>45505</v>
      </c>
      <c r="E1375" s="25" t="n">
        <v>2024</v>
      </c>
      <c r="F1375" s="25" t="n">
        <v>3</v>
      </c>
      <c r="G1375" s="25" t="n">
        <v>8</v>
      </c>
    </row>
    <row r="1376" customFormat="false" ht="15" hidden="false" customHeight="false" outlineLevel="0" collapsed="false">
      <c r="A1376" s="25" t="n">
        <v>20240802</v>
      </c>
      <c r="B1376" s="25" t="s">
        <v>2250</v>
      </c>
      <c r="C1376" s="27" t="b">
        <f aca="false">FALSE()</f>
        <v>0</v>
      </c>
      <c r="D1376" s="26" t="n">
        <v>45506</v>
      </c>
      <c r="E1376" s="25" t="n">
        <v>2024</v>
      </c>
      <c r="F1376" s="25" t="n">
        <v>3</v>
      </c>
      <c r="G1376" s="25" t="n">
        <v>8</v>
      </c>
    </row>
    <row r="1377" customFormat="false" ht="15" hidden="false" customHeight="false" outlineLevel="0" collapsed="false">
      <c r="A1377" s="25" t="n">
        <v>20240803</v>
      </c>
      <c r="B1377" s="25" t="s">
        <v>2250</v>
      </c>
      <c r="C1377" s="27" t="b">
        <f aca="false">TRUE()</f>
        <v>1</v>
      </c>
      <c r="D1377" s="26" t="n">
        <v>45507</v>
      </c>
      <c r="E1377" s="25" t="n">
        <v>2024</v>
      </c>
      <c r="F1377" s="25" t="n">
        <v>3</v>
      </c>
      <c r="G1377" s="25" t="n">
        <v>8</v>
      </c>
    </row>
    <row r="1378" customFormat="false" ht="15" hidden="false" customHeight="false" outlineLevel="0" collapsed="false">
      <c r="A1378" s="25" t="n">
        <v>20240804</v>
      </c>
      <c r="B1378" s="25" t="s">
        <v>2250</v>
      </c>
      <c r="C1378" s="27" t="b">
        <f aca="false">TRUE()</f>
        <v>1</v>
      </c>
      <c r="D1378" s="26" t="n">
        <v>45508</v>
      </c>
      <c r="E1378" s="25" t="n">
        <v>2024</v>
      </c>
      <c r="F1378" s="25" t="n">
        <v>3</v>
      </c>
      <c r="G1378" s="25" t="n">
        <v>8</v>
      </c>
    </row>
    <row r="1379" customFormat="false" ht="15" hidden="false" customHeight="false" outlineLevel="0" collapsed="false">
      <c r="A1379" s="25" t="n">
        <v>20240805</v>
      </c>
      <c r="B1379" s="25" t="s">
        <v>2250</v>
      </c>
      <c r="C1379" s="27" t="b">
        <f aca="false">FALSE()</f>
        <v>0</v>
      </c>
      <c r="D1379" s="26" t="n">
        <v>45509</v>
      </c>
      <c r="E1379" s="25" t="n">
        <v>2024</v>
      </c>
      <c r="F1379" s="25" t="n">
        <v>3</v>
      </c>
      <c r="G1379" s="25" t="n">
        <v>8</v>
      </c>
    </row>
    <row r="1380" customFormat="false" ht="15" hidden="false" customHeight="false" outlineLevel="0" collapsed="false">
      <c r="A1380" s="25" t="n">
        <v>20240806</v>
      </c>
      <c r="B1380" s="25" t="s">
        <v>2250</v>
      </c>
      <c r="C1380" s="27" t="b">
        <f aca="false">FALSE()</f>
        <v>0</v>
      </c>
      <c r="D1380" s="26" t="n">
        <v>45510</v>
      </c>
      <c r="E1380" s="25" t="n">
        <v>2024</v>
      </c>
      <c r="F1380" s="25" t="n">
        <v>3</v>
      </c>
      <c r="G1380" s="25" t="n">
        <v>8</v>
      </c>
    </row>
    <row r="1381" customFormat="false" ht="15" hidden="false" customHeight="false" outlineLevel="0" collapsed="false">
      <c r="A1381" s="25" t="n">
        <v>20240807</v>
      </c>
      <c r="B1381" s="25" t="s">
        <v>2250</v>
      </c>
      <c r="C1381" s="27" t="b">
        <f aca="false">FALSE()</f>
        <v>0</v>
      </c>
      <c r="D1381" s="26" t="n">
        <v>45511</v>
      </c>
      <c r="E1381" s="25" t="n">
        <v>2024</v>
      </c>
      <c r="F1381" s="25" t="n">
        <v>3</v>
      </c>
      <c r="G1381" s="25" t="n">
        <v>8</v>
      </c>
    </row>
    <row r="1382" customFormat="false" ht="15" hidden="false" customHeight="false" outlineLevel="0" collapsed="false">
      <c r="A1382" s="25" t="n">
        <v>20240808</v>
      </c>
      <c r="B1382" s="25" t="s">
        <v>2250</v>
      </c>
      <c r="C1382" s="27" t="b">
        <f aca="false">FALSE()</f>
        <v>0</v>
      </c>
      <c r="D1382" s="26" t="n">
        <v>45512</v>
      </c>
      <c r="E1382" s="25" t="n">
        <v>2024</v>
      </c>
      <c r="F1382" s="25" t="n">
        <v>3</v>
      </c>
      <c r="G1382" s="25" t="n">
        <v>8</v>
      </c>
    </row>
    <row r="1383" customFormat="false" ht="15" hidden="false" customHeight="false" outlineLevel="0" collapsed="false">
      <c r="A1383" s="25" t="n">
        <v>20240809</v>
      </c>
      <c r="B1383" s="25" t="s">
        <v>2250</v>
      </c>
      <c r="C1383" s="27" t="b">
        <f aca="false">FALSE()</f>
        <v>0</v>
      </c>
      <c r="D1383" s="26" t="n">
        <v>45513</v>
      </c>
      <c r="E1383" s="25" t="n">
        <v>2024</v>
      </c>
      <c r="F1383" s="25" t="n">
        <v>3</v>
      </c>
      <c r="G1383" s="25" t="n">
        <v>8</v>
      </c>
    </row>
    <row r="1384" customFormat="false" ht="15" hidden="false" customHeight="false" outlineLevel="0" collapsed="false">
      <c r="A1384" s="25" t="n">
        <v>20240810</v>
      </c>
      <c r="B1384" s="25" t="s">
        <v>2250</v>
      </c>
      <c r="C1384" s="27" t="b">
        <f aca="false">TRUE()</f>
        <v>1</v>
      </c>
      <c r="D1384" s="26" t="n">
        <v>45514</v>
      </c>
      <c r="E1384" s="25" t="n">
        <v>2024</v>
      </c>
      <c r="F1384" s="25" t="n">
        <v>3</v>
      </c>
      <c r="G1384" s="25" t="n">
        <v>8</v>
      </c>
    </row>
    <row r="1385" customFormat="false" ht="15" hidden="false" customHeight="false" outlineLevel="0" collapsed="false">
      <c r="A1385" s="25" t="n">
        <v>20240811</v>
      </c>
      <c r="B1385" s="25" t="s">
        <v>2250</v>
      </c>
      <c r="C1385" s="27" t="b">
        <f aca="false">TRUE()</f>
        <v>1</v>
      </c>
      <c r="D1385" s="26" t="n">
        <v>45515</v>
      </c>
      <c r="E1385" s="25" t="n">
        <v>2024</v>
      </c>
      <c r="F1385" s="25" t="n">
        <v>3</v>
      </c>
      <c r="G1385" s="25" t="n">
        <v>8</v>
      </c>
    </row>
    <row r="1386" customFormat="false" ht="15" hidden="false" customHeight="false" outlineLevel="0" collapsed="false">
      <c r="A1386" s="25" t="n">
        <v>20240812</v>
      </c>
      <c r="B1386" s="25" t="s">
        <v>2250</v>
      </c>
      <c r="C1386" s="27" t="b">
        <f aca="false">FALSE()</f>
        <v>0</v>
      </c>
      <c r="D1386" s="26" t="n">
        <v>45516</v>
      </c>
      <c r="E1386" s="25" t="n">
        <v>2024</v>
      </c>
      <c r="F1386" s="25" t="n">
        <v>3</v>
      </c>
      <c r="G1386" s="25" t="n">
        <v>8</v>
      </c>
    </row>
    <row r="1387" customFormat="false" ht="15" hidden="false" customHeight="false" outlineLevel="0" collapsed="false">
      <c r="A1387" s="25" t="n">
        <v>20240813</v>
      </c>
      <c r="B1387" s="25" t="s">
        <v>2250</v>
      </c>
      <c r="C1387" s="27" t="b">
        <f aca="false">FALSE()</f>
        <v>0</v>
      </c>
      <c r="D1387" s="26" t="n">
        <v>45517</v>
      </c>
      <c r="E1387" s="25" t="n">
        <v>2024</v>
      </c>
      <c r="F1387" s="25" t="n">
        <v>3</v>
      </c>
      <c r="G1387" s="25" t="n">
        <v>8</v>
      </c>
    </row>
    <row r="1388" customFormat="false" ht="15" hidden="false" customHeight="false" outlineLevel="0" collapsed="false">
      <c r="A1388" s="25" t="n">
        <v>20240814</v>
      </c>
      <c r="B1388" s="25" t="s">
        <v>2250</v>
      </c>
      <c r="C1388" s="27" t="b">
        <f aca="false">FALSE()</f>
        <v>0</v>
      </c>
      <c r="D1388" s="26" t="n">
        <v>45518</v>
      </c>
      <c r="E1388" s="25" t="n">
        <v>2024</v>
      </c>
      <c r="F1388" s="25" t="n">
        <v>3</v>
      </c>
      <c r="G1388" s="25" t="n">
        <v>8</v>
      </c>
    </row>
    <row r="1389" customFormat="false" ht="15" hidden="false" customHeight="false" outlineLevel="0" collapsed="false">
      <c r="A1389" s="25" t="n">
        <v>20240815</v>
      </c>
      <c r="B1389" s="25" t="s">
        <v>2250</v>
      </c>
      <c r="C1389" s="27" t="b">
        <f aca="false">FALSE()</f>
        <v>0</v>
      </c>
      <c r="D1389" s="26" t="n">
        <v>45519</v>
      </c>
      <c r="E1389" s="25" t="n">
        <v>2024</v>
      </c>
      <c r="F1389" s="25" t="n">
        <v>3</v>
      </c>
      <c r="G1389" s="25" t="n">
        <v>8</v>
      </c>
    </row>
    <row r="1390" customFormat="false" ht="15" hidden="false" customHeight="false" outlineLevel="0" collapsed="false">
      <c r="A1390" s="25" t="n">
        <v>20240816</v>
      </c>
      <c r="B1390" s="25" t="s">
        <v>2250</v>
      </c>
      <c r="C1390" s="27" t="b">
        <f aca="false">FALSE()</f>
        <v>0</v>
      </c>
      <c r="D1390" s="26" t="n">
        <v>45520</v>
      </c>
      <c r="E1390" s="25" t="n">
        <v>2024</v>
      </c>
      <c r="F1390" s="25" t="n">
        <v>3</v>
      </c>
      <c r="G1390" s="25" t="n">
        <v>8</v>
      </c>
    </row>
    <row r="1391" customFormat="false" ht="15" hidden="false" customHeight="false" outlineLevel="0" collapsed="false">
      <c r="A1391" s="25" t="n">
        <v>20240817</v>
      </c>
      <c r="B1391" s="25" t="s">
        <v>2250</v>
      </c>
      <c r="C1391" s="27" t="b">
        <f aca="false">TRUE()</f>
        <v>1</v>
      </c>
      <c r="D1391" s="26" t="n">
        <v>45521</v>
      </c>
      <c r="E1391" s="25" t="n">
        <v>2024</v>
      </c>
      <c r="F1391" s="25" t="n">
        <v>3</v>
      </c>
      <c r="G1391" s="25" t="n">
        <v>8</v>
      </c>
    </row>
    <row r="1392" customFormat="false" ht="15" hidden="false" customHeight="false" outlineLevel="0" collapsed="false">
      <c r="A1392" s="25" t="n">
        <v>20240818</v>
      </c>
      <c r="B1392" s="25" t="s">
        <v>2250</v>
      </c>
      <c r="C1392" s="27" t="b">
        <f aca="false">TRUE()</f>
        <v>1</v>
      </c>
      <c r="D1392" s="26" t="n">
        <v>45522</v>
      </c>
      <c r="E1392" s="25" t="n">
        <v>2024</v>
      </c>
      <c r="F1392" s="25" t="n">
        <v>3</v>
      </c>
      <c r="G1392" s="25" t="n">
        <v>8</v>
      </c>
    </row>
    <row r="1393" customFormat="false" ht="15" hidden="false" customHeight="false" outlineLevel="0" collapsed="false">
      <c r="A1393" s="25" t="n">
        <v>20240819</v>
      </c>
      <c r="B1393" s="25" t="s">
        <v>2250</v>
      </c>
      <c r="C1393" s="27" t="b">
        <f aca="false">FALSE()</f>
        <v>0</v>
      </c>
      <c r="D1393" s="26" t="n">
        <v>45523</v>
      </c>
      <c r="E1393" s="25" t="n">
        <v>2024</v>
      </c>
      <c r="F1393" s="25" t="n">
        <v>3</v>
      </c>
      <c r="G1393" s="25" t="n">
        <v>8</v>
      </c>
    </row>
    <row r="1394" customFormat="false" ht="15" hidden="false" customHeight="false" outlineLevel="0" collapsed="false">
      <c r="A1394" s="25" t="n">
        <v>20240820</v>
      </c>
      <c r="B1394" s="25" t="s">
        <v>2250</v>
      </c>
      <c r="C1394" s="27" t="b">
        <f aca="false">FALSE()</f>
        <v>0</v>
      </c>
      <c r="D1394" s="26" t="n">
        <v>45524</v>
      </c>
      <c r="E1394" s="25" t="n">
        <v>2024</v>
      </c>
      <c r="F1394" s="25" t="n">
        <v>3</v>
      </c>
      <c r="G1394" s="25" t="n">
        <v>8</v>
      </c>
    </row>
    <row r="1395" customFormat="false" ht="15" hidden="false" customHeight="false" outlineLevel="0" collapsed="false">
      <c r="A1395" s="25" t="n">
        <v>20240821</v>
      </c>
      <c r="B1395" s="25" t="s">
        <v>2250</v>
      </c>
      <c r="C1395" s="27" t="b">
        <f aca="false">FALSE()</f>
        <v>0</v>
      </c>
      <c r="D1395" s="26" t="n">
        <v>45525</v>
      </c>
      <c r="E1395" s="25" t="n">
        <v>2024</v>
      </c>
      <c r="F1395" s="25" t="n">
        <v>3</v>
      </c>
      <c r="G1395" s="25" t="n">
        <v>8</v>
      </c>
    </row>
    <row r="1396" customFormat="false" ht="15" hidden="false" customHeight="false" outlineLevel="0" collapsed="false">
      <c r="A1396" s="25" t="n">
        <v>20240822</v>
      </c>
      <c r="B1396" s="25" t="s">
        <v>2250</v>
      </c>
      <c r="C1396" s="27" t="b">
        <f aca="false">FALSE()</f>
        <v>0</v>
      </c>
      <c r="D1396" s="26" t="n">
        <v>45526</v>
      </c>
      <c r="E1396" s="25" t="n">
        <v>2024</v>
      </c>
      <c r="F1396" s="25" t="n">
        <v>3</v>
      </c>
      <c r="G1396" s="25" t="n">
        <v>8</v>
      </c>
    </row>
    <row r="1397" customFormat="false" ht="15" hidden="false" customHeight="false" outlineLevel="0" collapsed="false">
      <c r="A1397" s="25" t="n">
        <v>20240823</v>
      </c>
      <c r="B1397" s="25" t="s">
        <v>2250</v>
      </c>
      <c r="C1397" s="27" t="b">
        <f aca="false">FALSE()</f>
        <v>0</v>
      </c>
      <c r="D1397" s="26" t="n">
        <v>45527</v>
      </c>
      <c r="E1397" s="25" t="n">
        <v>2024</v>
      </c>
      <c r="F1397" s="25" t="n">
        <v>3</v>
      </c>
      <c r="G1397" s="25" t="n">
        <v>8</v>
      </c>
    </row>
    <row r="1398" customFormat="false" ht="15" hidden="false" customHeight="false" outlineLevel="0" collapsed="false">
      <c r="A1398" s="25" t="n">
        <v>20240824</v>
      </c>
      <c r="B1398" s="25" t="s">
        <v>2250</v>
      </c>
      <c r="C1398" s="27" t="b">
        <f aca="false">TRUE()</f>
        <v>1</v>
      </c>
      <c r="D1398" s="26" t="n">
        <v>45528</v>
      </c>
      <c r="E1398" s="25" t="n">
        <v>2024</v>
      </c>
      <c r="F1398" s="25" t="n">
        <v>3</v>
      </c>
      <c r="G1398" s="25" t="n">
        <v>8</v>
      </c>
    </row>
    <row r="1399" customFormat="false" ht="15" hidden="false" customHeight="false" outlineLevel="0" collapsed="false">
      <c r="A1399" s="25" t="n">
        <v>20240825</v>
      </c>
      <c r="B1399" s="25" t="s">
        <v>2250</v>
      </c>
      <c r="C1399" s="27" t="b">
        <f aca="false">TRUE()</f>
        <v>1</v>
      </c>
      <c r="D1399" s="26" t="n">
        <v>45529</v>
      </c>
      <c r="E1399" s="25" t="n">
        <v>2024</v>
      </c>
      <c r="F1399" s="25" t="n">
        <v>3</v>
      </c>
      <c r="G1399" s="25" t="n">
        <v>8</v>
      </c>
    </row>
    <row r="1400" customFormat="false" ht="15" hidden="false" customHeight="false" outlineLevel="0" collapsed="false">
      <c r="A1400" s="25" t="n">
        <v>20240826</v>
      </c>
      <c r="B1400" s="25" t="s">
        <v>2250</v>
      </c>
      <c r="C1400" s="27" t="b">
        <f aca="false">FALSE()</f>
        <v>0</v>
      </c>
      <c r="D1400" s="26" t="n">
        <v>45530</v>
      </c>
      <c r="E1400" s="25" t="n">
        <v>2024</v>
      </c>
      <c r="F1400" s="25" t="n">
        <v>3</v>
      </c>
      <c r="G1400" s="25" t="n">
        <v>8</v>
      </c>
    </row>
    <row r="1401" customFormat="false" ht="15" hidden="false" customHeight="false" outlineLevel="0" collapsed="false">
      <c r="A1401" s="25" t="n">
        <v>20240827</v>
      </c>
      <c r="B1401" s="25" t="s">
        <v>2250</v>
      </c>
      <c r="C1401" s="27" t="b">
        <f aca="false">FALSE()</f>
        <v>0</v>
      </c>
      <c r="D1401" s="26" t="n">
        <v>45531</v>
      </c>
      <c r="E1401" s="25" t="n">
        <v>2024</v>
      </c>
      <c r="F1401" s="25" t="n">
        <v>3</v>
      </c>
      <c r="G1401" s="25" t="n">
        <v>8</v>
      </c>
    </row>
    <row r="1402" customFormat="false" ht="15" hidden="false" customHeight="false" outlineLevel="0" collapsed="false">
      <c r="A1402" s="25" t="n">
        <v>20240828</v>
      </c>
      <c r="B1402" s="25" t="s">
        <v>2250</v>
      </c>
      <c r="C1402" s="27" t="b">
        <f aca="false">FALSE()</f>
        <v>0</v>
      </c>
      <c r="D1402" s="26" t="n">
        <v>45532</v>
      </c>
      <c r="E1402" s="25" t="n">
        <v>2024</v>
      </c>
      <c r="F1402" s="25" t="n">
        <v>3</v>
      </c>
      <c r="G1402" s="25" t="n">
        <v>8</v>
      </c>
    </row>
    <row r="1403" customFormat="false" ht="15" hidden="false" customHeight="false" outlineLevel="0" collapsed="false">
      <c r="A1403" s="25" t="n">
        <v>20240829</v>
      </c>
      <c r="B1403" s="25" t="s">
        <v>2250</v>
      </c>
      <c r="C1403" s="27" t="b">
        <f aca="false">FALSE()</f>
        <v>0</v>
      </c>
      <c r="D1403" s="26" t="n">
        <v>45533</v>
      </c>
      <c r="E1403" s="25" t="n">
        <v>2024</v>
      </c>
      <c r="F1403" s="25" t="n">
        <v>3</v>
      </c>
      <c r="G1403" s="25" t="n">
        <v>8</v>
      </c>
    </row>
    <row r="1404" customFormat="false" ht="15" hidden="false" customHeight="false" outlineLevel="0" collapsed="false">
      <c r="A1404" s="25" t="n">
        <v>20240830</v>
      </c>
      <c r="B1404" s="25" t="s">
        <v>2250</v>
      </c>
      <c r="C1404" s="27" t="b">
        <f aca="false">FALSE()</f>
        <v>0</v>
      </c>
      <c r="D1404" s="26" t="n">
        <v>45534</v>
      </c>
      <c r="E1404" s="25" t="n">
        <v>2024</v>
      </c>
      <c r="F1404" s="25" t="n">
        <v>3</v>
      </c>
      <c r="G1404" s="25" t="n">
        <v>8</v>
      </c>
    </row>
    <row r="1405" customFormat="false" ht="15" hidden="false" customHeight="false" outlineLevel="0" collapsed="false">
      <c r="A1405" s="25" t="n">
        <v>20240831</v>
      </c>
      <c r="B1405" s="25" t="s">
        <v>2250</v>
      </c>
      <c r="C1405" s="27" t="b">
        <f aca="false">TRUE()</f>
        <v>1</v>
      </c>
      <c r="D1405" s="26" t="n">
        <v>45535</v>
      </c>
      <c r="E1405" s="25" t="n">
        <v>2024</v>
      </c>
      <c r="F1405" s="25" t="n">
        <v>3</v>
      </c>
      <c r="G1405" s="25" t="n">
        <v>8</v>
      </c>
    </row>
    <row r="1406" customFormat="false" ht="15" hidden="false" customHeight="false" outlineLevel="0" collapsed="false">
      <c r="A1406" s="25" t="n">
        <v>20240901</v>
      </c>
      <c r="B1406" s="25" t="s">
        <v>2251</v>
      </c>
      <c r="C1406" s="27" t="b">
        <f aca="false">TRUE()</f>
        <v>1</v>
      </c>
      <c r="D1406" s="26" t="n">
        <v>45536</v>
      </c>
      <c r="E1406" s="25" t="n">
        <v>2024</v>
      </c>
      <c r="F1406" s="25" t="n">
        <v>3</v>
      </c>
      <c r="G1406" s="25" t="n">
        <v>9</v>
      </c>
    </row>
    <row r="1407" customFormat="false" ht="15" hidden="false" customHeight="false" outlineLevel="0" collapsed="false">
      <c r="A1407" s="25" t="n">
        <v>20240902</v>
      </c>
      <c r="B1407" s="25" t="s">
        <v>2251</v>
      </c>
      <c r="C1407" s="27" t="b">
        <f aca="false">FALSE()</f>
        <v>0</v>
      </c>
      <c r="D1407" s="26" t="n">
        <v>45537</v>
      </c>
      <c r="E1407" s="25" t="n">
        <v>2024</v>
      </c>
      <c r="F1407" s="25" t="n">
        <v>3</v>
      </c>
      <c r="G1407" s="25" t="n">
        <v>9</v>
      </c>
    </row>
    <row r="1408" customFormat="false" ht="15" hidden="false" customHeight="false" outlineLevel="0" collapsed="false">
      <c r="A1408" s="25" t="n">
        <v>20240903</v>
      </c>
      <c r="B1408" s="25" t="s">
        <v>2251</v>
      </c>
      <c r="C1408" s="27" t="b">
        <f aca="false">FALSE()</f>
        <v>0</v>
      </c>
      <c r="D1408" s="26" t="n">
        <v>45538</v>
      </c>
      <c r="E1408" s="25" t="n">
        <v>2024</v>
      </c>
      <c r="F1408" s="25" t="n">
        <v>3</v>
      </c>
      <c r="G1408" s="25" t="n">
        <v>9</v>
      </c>
    </row>
    <row r="1409" customFormat="false" ht="15" hidden="false" customHeight="false" outlineLevel="0" collapsed="false">
      <c r="A1409" s="25" t="n">
        <v>20240904</v>
      </c>
      <c r="B1409" s="25" t="s">
        <v>2251</v>
      </c>
      <c r="C1409" s="27" t="b">
        <f aca="false">FALSE()</f>
        <v>0</v>
      </c>
      <c r="D1409" s="26" t="n">
        <v>45539</v>
      </c>
      <c r="E1409" s="25" t="n">
        <v>2024</v>
      </c>
      <c r="F1409" s="25" t="n">
        <v>3</v>
      </c>
      <c r="G1409" s="25" t="n">
        <v>9</v>
      </c>
    </row>
    <row r="1410" customFormat="false" ht="15" hidden="false" customHeight="false" outlineLevel="0" collapsed="false">
      <c r="A1410" s="25" t="n">
        <v>20240905</v>
      </c>
      <c r="B1410" s="25" t="s">
        <v>2251</v>
      </c>
      <c r="C1410" s="27" t="b">
        <f aca="false">FALSE()</f>
        <v>0</v>
      </c>
      <c r="D1410" s="26" t="n">
        <v>45540</v>
      </c>
      <c r="E1410" s="25" t="n">
        <v>2024</v>
      </c>
      <c r="F1410" s="25" t="n">
        <v>3</v>
      </c>
      <c r="G1410" s="25" t="n">
        <v>9</v>
      </c>
    </row>
    <row r="1411" customFormat="false" ht="15" hidden="false" customHeight="false" outlineLevel="0" collapsed="false">
      <c r="A1411" s="25" t="n">
        <v>20240906</v>
      </c>
      <c r="B1411" s="25" t="s">
        <v>2251</v>
      </c>
      <c r="C1411" s="27" t="b">
        <f aca="false">FALSE()</f>
        <v>0</v>
      </c>
      <c r="D1411" s="26" t="n">
        <v>45541</v>
      </c>
      <c r="E1411" s="25" t="n">
        <v>2024</v>
      </c>
      <c r="F1411" s="25" t="n">
        <v>3</v>
      </c>
      <c r="G1411" s="25" t="n">
        <v>9</v>
      </c>
    </row>
    <row r="1412" customFormat="false" ht="15" hidden="false" customHeight="false" outlineLevel="0" collapsed="false">
      <c r="A1412" s="25" t="n">
        <v>20240907</v>
      </c>
      <c r="B1412" s="25" t="s">
        <v>2251</v>
      </c>
      <c r="C1412" s="27" t="b">
        <f aca="false">TRUE()</f>
        <v>1</v>
      </c>
      <c r="D1412" s="26" t="n">
        <v>45542</v>
      </c>
      <c r="E1412" s="25" t="n">
        <v>2024</v>
      </c>
      <c r="F1412" s="25" t="n">
        <v>3</v>
      </c>
      <c r="G1412" s="25" t="n">
        <v>9</v>
      </c>
    </row>
    <row r="1413" customFormat="false" ht="15" hidden="false" customHeight="false" outlineLevel="0" collapsed="false">
      <c r="A1413" s="25" t="n">
        <v>20240908</v>
      </c>
      <c r="B1413" s="25" t="s">
        <v>2251</v>
      </c>
      <c r="C1413" s="27" t="b">
        <f aca="false">TRUE()</f>
        <v>1</v>
      </c>
      <c r="D1413" s="26" t="n">
        <v>45543</v>
      </c>
      <c r="E1413" s="25" t="n">
        <v>2024</v>
      </c>
      <c r="F1413" s="25" t="n">
        <v>3</v>
      </c>
      <c r="G1413" s="25" t="n">
        <v>9</v>
      </c>
    </row>
    <row r="1414" customFormat="false" ht="15" hidden="false" customHeight="false" outlineLevel="0" collapsed="false">
      <c r="A1414" s="25" t="n">
        <v>20240909</v>
      </c>
      <c r="B1414" s="25" t="s">
        <v>2251</v>
      </c>
      <c r="C1414" s="27" t="b">
        <f aca="false">FALSE()</f>
        <v>0</v>
      </c>
      <c r="D1414" s="26" t="n">
        <v>45544</v>
      </c>
      <c r="E1414" s="25" t="n">
        <v>2024</v>
      </c>
      <c r="F1414" s="25" t="n">
        <v>3</v>
      </c>
      <c r="G1414" s="25" t="n">
        <v>9</v>
      </c>
    </row>
    <row r="1415" customFormat="false" ht="15" hidden="false" customHeight="false" outlineLevel="0" collapsed="false">
      <c r="A1415" s="25" t="n">
        <v>20240910</v>
      </c>
      <c r="B1415" s="25" t="s">
        <v>2251</v>
      </c>
      <c r="C1415" s="27" t="b">
        <f aca="false">FALSE()</f>
        <v>0</v>
      </c>
      <c r="D1415" s="26" t="n">
        <v>45545</v>
      </c>
      <c r="E1415" s="25" t="n">
        <v>2024</v>
      </c>
      <c r="F1415" s="25" t="n">
        <v>3</v>
      </c>
      <c r="G1415" s="25" t="n">
        <v>9</v>
      </c>
    </row>
    <row r="1416" customFormat="false" ht="15" hidden="false" customHeight="false" outlineLevel="0" collapsed="false">
      <c r="A1416" s="25" t="n">
        <v>20240911</v>
      </c>
      <c r="B1416" s="25" t="s">
        <v>2251</v>
      </c>
      <c r="C1416" s="27" t="b">
        <f aca="false">FALSE()</f>
        <v>0</v>
      </c>
      <c r="D1416" s="26" t="n">
        <v>45546</v>
      </c>
      <c r="E1416" s="25" t="n">
        <v>2024</v>
      </c>
      <c r="F1416" s="25" t="n">
        <v>3</v>
      </c>
      <c r="G1416" s="25" t="n">
        <v>9</v>
      </c>
    </row>
    <row r="1417" customFormat="false" ht="15" hidden="false" customHeight="false" outlineLevel="0" collapsed="false">
      <c r="A1417" s="25" t="n">
        <v>20240912</v>
      </c>
      <c r="B1417" s="25" t="s">
        <v>2251</v>
      </c>
      <c r="C1417" s="27" t="b">
        <f aca="false">FALSE()</f>
        <v>0</v>
      </c>
      <c r="D1417" s="26" t="n">
        <v>45547</v>
      </c>
      <c r="E1417" s="25" t="n">
        <v>2024</v>
      </c>
      <c r="F1417" s="25" t="n">
        <v>3</v>
      </c>
      <c r="G1417" s="25" t="n">
        <v>9</v>
      </c>
    </row>
    <row r="1418" customFormat="false" ht="15" hidden="false" customHeight="false" outlineLevel="0" collapsed="false">
      <c r="A1418" s="25" t="n">
        <v>20240913</v>
      </c>
      <c r="B1418" s="25" t="s">
        <v>2251</v>
      </c>
      <c r="C1418" s="27" t="b">
        <f aca="false">FALSE()</f>
        <v>0</v>
      </c>
      <c r="D1418" s="26" t="n">
        <v>45548</v>
      </c>
      <c r="E1418" s="25" t="n">
        <v>2024</v>
      </c>
      <c r="F1418" s="25" t="n">
        <v>3</v>
      </c>
      <c r="G1418" s="25" t="n">
        <v>9</v>
      </c>
    </row>
    <row r="1419" customFormat="false" ht="15" hidden="false" customHeight="false" outlineLevel="0" collapsed="false">
      <c r="A1419" s="25" t="n">
        <v>20240914</v>
      </c>
      <c r="B1419" s="25" t="s">
        <v>2251</v>
      </c>
      <c r="C1419" s="27" t="b">
        <f aca="false">TRUE()</f>
        <v>1</v>
      </c>
      <c r="D1419" s="26" t="n">
        <v>45549</v>
      </c>
      <c r="E1419" s="25" t="n">
        <v>2024</v>
      </c>
      <c r="F1419" s="25" t="n">
        <v>3</v>
      </c>
      <c r="G1419" s="25" t="n">
        <v>9</v>
      </c>
    </row>
    <row r="1420" customFormat="false" ht="15" hidden="false" customHeight="false" outlineLevel="0" collapsed="false">
      <c r="A1420" s="25" t="n">
        <v>20240915</v>
      </c>
      <c r="B1420" s="25" t="s">
        <v>2251</v>
      </c>
      <c r="C1420" s="27" t="b">
        <f aca="false">TRUE()</f>
        <v>1</v>
      </c>
      <c r="D1420" s="26" t="n">
        <v>45550</v>
      </c>
      <c r="E1420" s="25" t="n">
        <v>2024</v>
      </c>
      <c r="F1420" s="25" t="n">
        <v>3</v>
      </c>
      <c r="G1420" s="25" t="n">
        <v>9</v>
      </c>
    </row>
    <row r="1421" customFormat="false" ht="15" hidden="false" customHeight="false" outlineLevel="0" collapsed="false">
      <c r="A1421" s="25" t="n">
        <v>20240916</v>
      </c>
      <c r="B1421" s="25" t="s">
        <v>2251</v>
      </c>
      <c r="C1421" s="27" t="b">
        <f aca="false">FALSE()</f>
        <v>0</v>
      </c>
      <c r="D1421" s="26" t="n">
        <v>45551</v>
      </c>
      <c r="E1421" s="25" t="n">
        <v>2024</v>
      </c>
      <c r="F1421" s="25" t="n">
        <v>3</v>
      </c>
      <c r="G1421" s="25" t="n">
        <v>9</v>
      </c>
    </row>
    <row r="1422" customFormat="false" ht="15" hidden="false" customHeight="false" outlineLevel="0" collapsed="false">
      <c r="A1422" s="25" t="n">
        <v>20240917</v>
      </c>
      <c r="B1422" s="25" t="s">
        <v>2251</v>
      </c>
      <c r="C1422" s="27" t="b">
        <f aca="false">FALSE()</f>
        <v>0</v>
      </c>
      <c r="D1422" s="26" t="n">
        <v>45552</v>
      </c>
      <c r="E1422" s="25" t="n">
        <v>2024</v>
      </c>
      <c r="F1422" s="25" t="n">
        <v>3</v>
      </c>
      <c r="G1422" s="25" t="n">
        <v>9</v>
      </c>
    </row>
    <row r="1423" customFormat="false" ht="15" hidden="false" customHeight="false" outlineLevel="0" collapsed="false">
      <c r="A1423" s="25" t="n">
        <v>20240918</v>
      </c>
      <c r="B1423" s="25" t="s">
        <v>2251</v>
      </c>
      <c r="C1423" s="27" t="b">
        <f aca="false">FALSE()</f>
        <v>0</v>
      </c>
      <c r="D1423" s="26" t="n">
        <v>45553</v>
      </c>
      <c r="E1423" s="25" t="n">
        <v>2024</v>
      </c>
      <c r="F1423" s="25" t="n">
        <v>3</v>
      </c>
      <c r="G1423" s="25" t="n">
        <v>9</v>
      </c>
    </row>
    <row r="1424" customFormat="false" ht="15" hidden="false" customHeight="false" outlineLevel="0" collapsed="false">
      <c r="A1424" s="25" t="n">
        <v>20240919</v>
      </c>
      <c r="B1424" s="25" t="s">
        <v>2251</v>
      </c>
      <c r="C1424" s="27" t="b">
        <f aca="false">FALSE()</f>
        <v>0</v>
      </c>
      <c r="D1424" s="26" t="n">
        <v>45554</v>
      </c>
      <c r="E1424" s="25" t="n">
        <v>2024</v>
      </c>
      <c r="F1424" s="25" t="n">
        <v>3</v>
      </c>
      <c r="G1424" s="25" t="n">
        <v>9</v>
      </c>
    </row>
    <row r="1425" customFormat="false" ht="15" hidden="false" customHeight="false" outlineLevel="0" collapsed="false">
      <c r="A1425" s="25" t="n">
        <v>20240920</v>
      </c>
      <c r="B1425" s="25" t="s">
        <v>2251</v>
      </c>
      <c r="C1425" s="27" t="b">
        <f aca="false">FALSE()</f>
        <v>0</v>
      </c>
      <c r="D1425" s="26" t="n">
        <v>45555</v>
      </c>
      <c r="E1425" s="25" t="n">
        <v>2024</v>
      </c>
      <c r="F1425" s="25" t="n">
        <v>3</v>
      </c>
      <c r="G1425" s="25" t="n">
        <v>9</v>
      </c>
    </row>
    <row r="1426" customFormat="false" ht="15" hidden="false" customHeight="false" outlineLevel="0" collapsed="false">
      <c r="A1426" s="25" t="n">
        <v>20240921</v>
      </c>
      <c r="B1426" s="25" t="s">
        <v>2251</v>
      </c>
      <c r="C1426" s="27" t="b">
        <f aca="false">TRUE()</f>
        <v>1</v>
      </c>
      <c r="D1426" s="26" t="n">
        <v>45556</v>
      </c>
      <c r="E1426" s="25" t="n">
        <v>2024</v>
      </c>
      <c r="F1426" s="25" t="n">
        <v>3</v>
      </c>
      <c r="G1426" s="25" t="n">
        <v>9</v>
      </c>
    </row>
    <row r="1427" customFormat="false" ht="15" hidden="false" customHeight="false" outlineLevel="0" collapsed="false">
      <c r="A1427" s="25" t="n">
        <v>20240922</v>
      </c>
      <c r="B1427" s="25" t="s">
        <v>2251</v>
      </c>
      <c r="C1427" s="27" t="b">
        <f aca="false">TRUE()</f>
        <v>1</v>
      </c>
      <c r="D1427" s="26" t="n">
        <v>45557</v>
      </c>
      <c r="E1427" s="25" t="n">
        <v>2024</v>
      </c>
      <c r="F1427" s="25" t="n">
        <v>3</v>
      </c>
      <c r="G1427" s="25" t="n">
        <v>9</v>
      </c>
    </row>
    <row r="1428" customFormat="false" ht="15" hidden="false" customHeight="false" outlineLevel="0" collapsed="false">
      <c r="A1428" s="25" t="n">
        <v>20240923</v>
      </c>
      <c r="B1428" s="25" t="s">
        <v>2251</v>
      </c>
      <c r="C1428" s="27" t="b">
        <f aca="false">FALSE()</f>
        <v>0</v>
      </c>
      <c r="D1428" s="26" t="n">
        <v>45558</v>
      </c>
      <c r="E1428" s="25" t="n">
        <v>2024</v>
      </c>
      <c r="F1428" s="25" t="n">
        <v>3</v>
      </c>
      <c r="G1428" s="25" t="n">
        <v>9</v>
      </c>
    </row>
    <row r="1429" customFormat="false" ht="15" hidden="false" customHeight="false" outlineLevel="0" collapsed="false">
      <c r="A1429" s="25" t="n">
        <v>20240924</v>
      </c>
      <c r="B1429" s="25" t="s">
        <v>2251</v>
      </c>
      <c r="C1429" s="27" t="b">
        <f aca="false">FALSE()</f>
        <v>0</v>
      </c>
      <c r="D1429" s="26" t="n">
        <v>45559</v>
      </c>
      <c r="E1429" s="25" t="n">
        <v>2024</v>
      </c>
      <c r="F1429" s="25" t="n">
        <v>3</v>
      </c>
      <c r="G1429" s="25" t="n">
        <v>9</v>
      </c>
    </row>
    <row r="1430" customFormat="false" ht="15" hidden="false" customHeight="false" outlineLevel="0" collapsed="false">
      <c r="A1430" s="25" t="n">
        <v>20240925</v>
      </c>
      <c r="B1430" s="25" t="s">
        <v>2251</v>
      </c>
      <c r="C1430" s="27" t="b">
        <f aca="false">FALSE()</f>
        <v>0</v>
      </c>
      <c r="D1430" s="26" t="n">
        <v>45560</v>
      </c>
      <c r="E1430" s="25" t="n">
        <v>2024</v>
      </c>
      <c r="F1430" s="25" t="n">
        <v>3</v>
      </c>
      <c r="G1430" s="25" t="n">
        <v>9</v>
      </c>
    </row>
    <row r="1431" customFormat="false" ht="15" hidden="false" customHeight="false" outlineLevel="0" collapsed="false">
      <c r="A1431" s="25" t="n">
        <v>20240926</v>
      </c>
      <c r="B1431" s="25" t="s">
        <v>2251</v>
      </c>
      <c r="C1431" s="27" t="b">
        <f aca="false">FALSE()</f>
        <v>0</v>
      </c>
      <c r="D1431" s="26" t="n">
        <v>45561</v>
      </c>
      <c r="E1431" s="25" t="n">
        <v>2024</v>
      </c>
      <c r="F1431" s="25" t="n">
        <v>3</v>
      </c>
      <c r="G1431" s="25" t="n">
        <v>9</v>
      </c>
    </row>
    <row r="1432" customFormat="false" ht="15" hidden="false" customHeight="false" outlineLevel="0" collapsed="false">
      <c r="A1432" s="25" t="n">
        <v>20240927</v>
      </c>
      <c r="B1432" s="25" t="s">
        <v>2251</v>
      </c>
      <c r="C1432" s="27" t="b">
        <f aca="false">FALSE()</f>
        <v>0</v>
      </c>
      <c r="D1432" s="26" t="n">
        <v>45562</v>
      </c>
      <c r="E1432" s="25" t="n">
        <v>2024</v>
      </c>
      <c r="F1432" s="25" t="n">
        <v>3</v>
      </c>
      <c r="G1432" s="25" t="n">
        <v>9</v>
      </c>
    </row>
    <row r="1433" customFormat="false" ht="15" hidden="false" customHeight="false" outlineLevel="0" collapsed="false">
      <c r="A1433" s="25" t="n">
        <v>20240928</v>
      </c>
      <c r="B1433" s="25" t="s">
        <v>2251</v>
      </c>
      <c r="C1433" s="27" t="b">
        <f aca="false">TRUE()</f>
        <v>1</v>
      </c>
      <c r="D1433" s="26" t="n">
        <v>45563</v>
      </c>
      <c r="E1433" s="25" t="n">
        <v>2024</v>
      </c>
      <c r="F1433" s="25" t="n">
        <v>3</v>
      </c>
      <c r="G1433" s="25" t="n">
        <v>9</v>
      </c>
    </row>
    <row r="1434" customFormat="false" ht="15" hidden="false" customHeight="false" outlineLevel="0" collapsed="false">
      <c r="A1434" s="25" t="n">
        <v>20240929</v>
      </c>
      <c r="B1434" s="25" t="s">
        <v>2251</v>
      </c>
      <c r="C1434" s="27" t="b">
        <f aca="false">TRUE()</f>
        <v>1</v>
      </c>
      <c r="D1434" s="26" t="n">
        <v>45564</v>
      </c>
      <c r="E1434" s="25" t="n">
        <v>2024</v>
      </c>
      <c r="F1434" s="25" t="n">
        <v>3</v>
      </c>
      <c r="G1434" s="25" t="n">
        <v>9</v>
      </c>
    </row>
    <row r="1435" customFormat="false" ht="15" hidden="false" customHeight="false" outlineLevel="0" collapsed="false">
      <c r="A1435" s="25" t="n">
        <v>20240930</v>
      </c>
      <c r="B1435" s="25" t="s">
        <v>2251</v>
      </c>
      <c r="C1435" s="27" t="b">
        <f aca="false">FALSE()</f>
        <v>0</v>
      </c>
      <c r="D1435" s="26" t="n">
        <v>45565</v>
      </c>
      <c r="E1435" s="25" t="n">
        <v>2024</v>
      </c>
      <c r="F1435" s="25" t="n">
        <v>3</v>
      </c>
      <c r="G1435" s="25" t="n">
        <v>9</v>
      </c>
    </row>
    <row r="1436" customFormat="false" ht="15" hidden="false" customHeight="false" outlineLevel="0" collapsed="false">
      <c r="A1436" s="25" t="n">
        <v>20241001</v>
      </c>
      <c r="B1436" s="25" t="s">
        <v>2240</v>
      </c>
      <c r="C1436" s="27" t="b">
        <f aca="false">FALSE()</f>
        <v>0</v>
      </c>
      <c r="D1436" s="26" t="n">
        <v>45566</v>
      </c>
      <c r="E1436" s="25" t="n">
        <v>2024</v>
      </c>
      <c r="F1436" s="25" t="n">
        <v>4</v>
      </c>
      <c r="G1436" s="25" t="n">
        <v>10</v>
      </c>
    </row>
    <row r="1437" customFormat="false" ht="15" hidden="false" customHeight="false" outlineLevel="0" collapsed="false">
      <c r="A1437" s="25" t="n">
        <v>20241002</v>
      </c>
      <c r="B1437" s="25" t="s">
        <v>2240</v>
      </c>
      <c r="C1437" s="27" t="b">
        <f aca="false">FALSE()</f>
        <v>0</v>
      </c>
      <c r="D1437" s="26" t="n">
        <v>45567</v>
      </c>
      <c r="E1437" s="25" t="n">
        <v>2024</v>
      </c>
      <c r="F1437" s="25" t="n">
        <v>4</v>
      </c>
      <c r="G1437" s="25" t="n">
        <v>10</v>
      </c>
    </row>
    <row r="1438" customFormat="false" ht="15" hidden="false" customHeight="false" outlineLevel="0" collapsed="false">
      <c r="A1438" s="25" t="n">
        <v>20241003</v>
      </c>
      <c r="B1438" s="25" t="s">
        <v>2240</v>
      </c>
      <c r="C1438" s="27" t="b">
        <f aca="false">FALSE()</f>
        <v>0</v>
      </c>
      <c r="D1438" s="26" t="n">
        <v>45568</v>
      </c>
      <c r="E1438" s="25" t="n">
        <v>2024</v>
      </c>
      <c r="F1438" s="25" t="n">
        <v>4</v>
      </c>
      <c r="G1438" s="25" t="n">
        <v>10</v>
      </c>
    </row>
    <row r="1439" customFormat="false" ht="15" hidden="false" customHeight="false" outlineLevel="0" collapsed="false">
      <c r="A1439" s="25" t="n">
        <v>20241004</v>
      </c>
      <c r="B1439" s="25" t="s">
        <v>2240</v>
      </c>
      <c r="C1439" s="27" t="b">
        <f aca="false">FALSE()</f>
        <v>0</v>
      </c>
      <c r="D1439" s="26" t="n">
        <v>45569</v>
      </c>
      <c r="E1439" s="25" t="n">
        <v>2024</v>
      </c>
      <c r="F1439" s="25" t="n">
        <v>4</v>
      </c>
      <c r="G1439" s="25" t="n">
        <v>10</v>
      </c>
    </row>
    <row r="1440" customFormat="false" ht="15" hidden="false" customHeight="false" outlineLevel="0" collapsed="false">
      <c r="A1440" s="25" t="n">
        <v>20241005</v>
      </c>
      <c r="B1440" s="25" t="s">
        <v>2240</v>
      </c>
      <c r="C1440" s="27" t="b">
        <f aca="false">TRUE()</f>
        <v>1</v>
      </c>
      <c r="D1440" s="26" t="n">
        <v>45570</v>
      </c>
      <c r="E1440" s="25" t="n">
        <v>2024</v>
      </c>
      <c r="F1440" s="25" t="n">
        <v>4</v>
      </c>
      <c r="G1440" s="25" t="n">
        <v>10</v>
      </c>
    </row>
    <row r="1441" customFormat="false" ht="15" hidden="false" customHeight="false" outlineLevel="0" collapsed="false">
      <c r="A1441" s="25" t="n">
        <v>20241006</v>
      </c>
      <c r="B1441" s="25" t="s">
        <v>2240</v>
      </c>
      <c r="C1441" s="27" t="b">
        <f aca="false">TRUE()</f>
        <v>1</v>
      </c>
      <c r="D1441" s="26" t="n">
        <v>45571</v>
      </c>
      <c r="E1441" s="25" t="n">
        <v>2024</v>
      </c>
      <c r="F1441" s="25" t="n">
        <v>4</v>
      </c>
      <c r="G1441" s="25" t="n">
        <v>10</v>
      </c>
    </row>
    <row r="1442" customFormat="false" ht="15" hidden="false" customHeight="false" outlineLevel="0" collapsed="false">
      <c r="A1442" s="25" t="n">
        <v>20241007</v>
      </c>
      <c r="B1442" s="25" t="s">
        <v>2240</v>
      </c>
      <c r="C1442" s="27" t="b">
        <f aca="false">FALSE()</f>
        <v>0</v>
      </c>
      <c r="D1442" s="26" t="n">
        <v>45572</v>
      </c>
      <c r="E1442" s="25" t="n">
        <v>2024</v>
      </c>
      <c r="F1442" s="25" t="n">
        <v>4</v>
      </c>
      <c r="G1442" s="25" t="n">
        <v>10</v>
      </c>
    </row>
    <row r="1443" customFormat="false" ht="15" hidden="false" customHeight="false" outlineLevel="0" collapsed="false">
      <c r="A1443" s="25" t="n">
        <v>20241008</v>
      </c>
      <c r="B1443" s="25" t="s">
        <v>2240</v>
      </c>
      <c r="C1443" s="27" t="b">
        <f aca="false">FALSE()</f>
        <v>0</v>
      </c>
      <c r="D1443" s="26" t="n">
        <v>45573</v>
      </c>
      <c r="E1443" s="25" t="n">
        <v>2024</v>
      </c>
      <c r="F1443" s="25" t="n">
        <v>4</v>
      </c>
      <c r="G1443" s="25" t="n">
        <v>10</v>
      </c>
    </row>
    <row r="1444" customFormat="false" ht="15" hidden="false" customHeight="false" outlineLevel="0" collapsed="false">
      <c r="A1444" s="25" t="n">
        <v>20241009</v>
      </c>
      <c r="B1444" s="25" t="s">
        <v>2240</v>
      </c>
      <c r="C1444" s="27" t="b">
        <f aca="false">FALSE()</f>
        <v>0</v>
      </c>
      <c r="D1444" s="26" t="n">
        <v>45574</v>
      </c>
      <c r="E1444" s="25" t="n">
        <v>2024</v>
      </c>
      <c r="F1444" s="25" t="n">
        <v>4</v>
      </c>
      <c r="G1444" s="25" t="n">
        <v>10</v>
      </c>
    </row>
    <row r="1445" customFormat="false" ht="15" hidden="false" customHeight="false" outlineLevel="0" collapsed="false">
      <c r="A1445" s="25" t="n">
        <v>20241010</v>
      </c>
      <c r="B1445" s="25" t="s">
        <v>2240</v>
      </c>
      <c r="C1445" s="27" t="b">
        <f aca="false">FALSE()</f>
        <v>0</v>
      </c>
      <c r="D1445" s="26" t="n">
        <v>45575</v>
      </c>
      <c r="E1445" s="25" t="n">
        <v>2024</v>
      </c>
      <c r="F1445" s="25" t="n">
        <v>4</v>
      </c>
      <c r="G1445" s="25" t="n">
        <v>10</v>
      </c>
    </row>
    <row r="1446" customFormat="false" ht="15" hidden="false" customHeight="false" outlineLevel="0" collapsed="false">
      <c r="A1446" s="25" t="n">
        <v>20241011</v>
      </c>
      <c r="B1446" s="25" t="s">
        <v>2240</v>
      </c>
      <c r="C1446" s="27" t="b">
        <f aca="false">FALSE()</f>
        <v>0</v>
      </c>
      <c r="D1446" s="26" t="n">
        <v>45576</v>
      </c>
      <c r="E1446" s="25" t="n">
        <v>2024</v>
      </c>
      <c r="F1446" s="25" t="n">
        <v>4</v>
      </c>
      <c r="G1446" s="25" t="n">
        <v>10</v>
      </c>
    </row>
    <row r="1447" customFormat="false" ht="15" hidden="false" customHeight="false" outlineLevel="0" collapsed="false">
      <c r="A1447" s="25" t="n">
        <v>20241012</v>
      </c>
      <c r="B1447" s="25" t="s">
        <v>2240</v>
      </c>
      <c r="C1447" s="27" t="b">
        <f aca="false">TRUE()</f>
        <v>1</v>
      </c>
      <c r="D1447" s="26" t="n">
        <v>45577</v>
      </c>
      <c r="E1447" s="25" t="n">
        <v>2024</v>
      </c>
      <c r="F1447" s="25" t="n">
        <v>4</v>
      </c>
      <c r="G1447" s="25" t="n">
        <v>10</v>
      </c>
    </row>
    <row r="1448" customFormat="false" ht="15" hidden="false" customHeight="false" outlineLevel="0" collapsed="false">
      <c r="A1448" s="25" t="n">
        <v>20241013</v>
      </c>
      <c r="B1448" s="25" t="s">
        <v>2240</v>
      </c>
      <c r="C1448" s="27" t="b">
        <f aca="false">TRUE()</f>
        <v>1</v>
      </c>
      <c r="D1448" s="26" t="n">
        <v>45578</v>
      </c>
      <c r="E1448" s="25" t="n">
        <v>2024</v>
      </c>
      <c r="F1448" s="25" t="n">
        <v>4</v>
      </c>
      <c r="G1448" s="25" t="n">
        <v>10</v>
      </c>
    </row>
    <row r="1449" customFormat="false" ht="15" hidden="false" customHeight="false" outlineLevel="0" collapsed="false">
      <c r="A1449" s="25" t="n">
        <v>20241014</v>
      </c>
      <c r="B1449" s="25" t="s">
        <v>2240</v>
      </c>
      <c r="C1449" s="27" t="b">
        <f aca="false">FALSE()</f>
        <v>0</v>
      </c>
      <c r="D1449" s="26" t="n">
        <v>45579</v>
      </c>
      <c r="E1449" s="25" t="n">
        <v>2024</v>
      </c>
      <c r="F1449" s="25" t="n">
        <v>4</v>
      </c>
      <c r="G1449" s="25" t="n">
        <v>10</v>
      </c>
    </row>
    <row r="1450" customFormat="false" ht="15" hidden="false" customHeight="false" outlineLevel="0" collapsed="false">
      <c r="A1450" s="25" t="n">
        <v>20241015</v>
      </c>
      <c r="B1450" s="25" t="s">
        <v>2240</v>
      </c>
      <c r="C1450" s="27" t="b">
        <f aca="false">FALSE()</f>
        <v>0</v>
      </c>
      <c r="D1450" s="26" t="n">
        <v>45580</v>
      </c>
      <c r="E1450" s="25" t="n">
        <v>2024</v>
      </c>
      <c r="F1450" s="25" t="n">
        <v>4</v>
      </c>
      <c r="G1450" s="25" t="n">
        <v>10</v>
      </c>
    </row>
    <row r="1451" customFormat="false" ht="15" hidden="false" customHeight="false" outlineLevel="0" collapsed="false">
      <c r="A1451" s="25" t="n">
        <v>20241016</v>
      </c>
      <c r="B1451" s="25" t="s">
        <v>2240</v>
      </c>
      <c r="C1451" s="27" t="b">
        <f aca="false">FALSE()</f>
        <v>0</v>
      </c>
      <c r="D1451" s="26" t="n">
        <v>45581</v>
      </c>
      <c r="E1451" s="25" t="n">
        <v>2024</v>
      </c>
      <c r="F1451" s="25" t="n">
        <v>4</v>
      </c>
      <c r="G1451" s="25" t="n">
        <v>10</v>
      </c>
    </row>
    <row r="1452" customFormat="false" ht="15" hidden="false" customHeight="false" outlineLevel="0" collapsed="false">
      <c r="A1452" s="25" t="n">
        <v>20241017</v>
      </c>
      <c r="B1452" s="25" t="s">
        <v>2240</v>
      </c>
      <c r="C1452" s="27" t="b">
        <f aca="false">FALSE()</f>
        <v>0</v>
      </c>
      <c r="D1452" s="26" t="n">
        <v>45582</v>
      </c>
      <c r="E1452" s="25" t="n">
        <v>2024</v>
      </c>
      <c r="F1452" s="25" t="n">
        <v>4</v>
      </c>
      <c r="G1452" s="25" t="n">
        <v>10</v>
      </c>
    </row>
    <row r="1453" customFormat="false" ht="15" hidden="false" customHeight="false" outlineLevel="0" collapsed="false">
      <c r="A1453" s="25" t="n">
        <v>20241018</v>
      </c>
      <c r="B1453" s="25" t="s">
        <v>2240</v>
      </c>
      <c r="C1453" s="27" t="b">
        <f aca="false">FALSE()</f>
        <v>0</v>
      </c>
      <c r="D1453" s="26" t="n">
        <v>45583</v>
      </c>
      <c r="E1453" s="25" t="n">
        <v>2024</v>
      </c>
      <c r="F1453" s="25" t="n">
        <v>4</v>
      </c>
      <c r="G1453" s="25" t="n">
        <v>10</v>
      </c>
    </row>
    <row r="1454" customFormat="false" ht="15" hidden="false" customHeight="false" outlineLevel="0" collapsed="false">
      <c r="A1454" s="25" t="n">
        <v>20241019</v>
      </c>
      <c r="B1454" s="25" t="s">
        <v>2240</v>
      </c>
      <c r="C1454" s="27" t="b">
        <f aca="false">TRUE()</f>
        <v>1</v>
      </c>
      <c r="D1454" s="26" t="n">
        <v>45584</v>
      </c>
      <c r="E1454" s="25" t="n">
        <v>2024</v>
      </c>
      <c r="F1454" s="25" t="n">
        <v>4</v>
      </c>
      <c r="G1454" s="25" t="n">
        <v>10</v>
      </c>
    </row>
    <row r="1455" customFormat="false" ht="15" hidden="false" customHeight="false" outlineLevel="0" collapsed="false">
      <c r="A1455" s="25" t="n">
        <v>20241020</v>
      </c>
      <c r="B1455" s="25" t="s">
        <v>2240</v>
      </c>
      <c r="C1455" s="27" t="b">
        <f aca="false">TRUE()</f>
        <v>1</v>
      </c>
      <c r="D1455" s="26" t="n">
        <v>45585</v>
      </c>
      <c r="E1455" s="25" t="n">
        <v>2024</v>
      </c>
      <c r="F1455" s="25" t="n">
        <v>4</v>
      </c>
      <c r="G1455" s="25" t="n">
        <v>10</v>
      </c>
    </row>
    <row r="1456" customFormat="false" ht="15" hidden="false" customHeight="false" outlineLevel="0" collapsed="false">
      <c r="A1456" s="25" t="n">
        <v>20241021</v>
      </c>
      <c r="B1456" s="25" t="s">
        <v>2240</v>
      </c>
      <c r="C1456" s="27" t="b">
        <f aca="false">FALSE()</f>
        <v>0</v>
      </c>
      <c r="D1456" s="26" t="n">
        <v>45586</v>
      </c>
      <c r="E1456" s="25" t="n">
        <v>2024</v>
      </c>
      <c r="F1456" s="25" t="n">
        <v>4</v>
      </c>
      <c r="G1456" s="25" t="n">
        <v>10</v>
      </c>
    </row>
    <row r="1457" customFormat="false" ht="15" hidden="false" customHeight="false" outlineLevel="0" collapsed="false">
      <c r="A1457" s="25" t="n">
        <v>20241022</v>
      </c>
      <c r="B1457" s="25" t="s">
        <v>2240</v>
      </c>
      <c r="C1457" s="27" t="b">
        <f aca="false">FALSE()</f>
        <v>0</v>
      </c>
      <c r="D1457" s="26" t="n">
        <v>45587</v>
      </c>
      <c r="E1457" s="25" t="n">
        <v>2024</v>
      </c>
      <c r="F1457" s="25" t="n">
        <v>4</v>
      </c>
      <c r="G1457" s="25" t="n">
        <v>10</v>
      </c>
    </row>
    <row r="1458" customFormat="false" ht="15" hidden="false" customHeight="false" outlineLevel="0" collapsed="false">
      <c r="A1458" s="25" t="n">
        <v>20241023</v>
      </c>
      <c r="B1458" s="25" t="s">
        <v>2240</v>
      </c>
      <c r="C1458" s="27" t="b">
        <f aca="false">FALSE()</f>
        <v>0</v>
      </c>
      <c r="D1458" s="26" t="n">
        <v>45588</v>
      </c>
      <c r="E1458" s="25" t="n">
        <v>2024</v>
      </c>
      <c r="F1458" s="25" t="n">
        <v>4</v>
      </c>
      <c r="G1458" s="25" t="n">
        <v>10</v>
      </c>
    </row>
    <row r="1459" customFormat="false" ht="15" hidden="false" customHeight="false" outlineLevel="0" collapsed="false">
      <c r="A1459" s="25" t="n">
        <v>20241024</v>
      </c>
      <c r="B1459" s="25" t="s">
        <v>2240</v>
      </c>
      <c r="C1459" s="27" t="b">
        <f aca="false">FALSE()</f>
        <v>0</v>
      </c>
      <c r="D1459" s="26" t="n">
        <v>45589</v>
      </c>
      <c r="E1459" s="25" t="n">
        <v>2024</v>
      </c>
      <c r="F1459" s="25" t="n">
        <v>4</v>
      </c>
      <c r="G1459" s="25" t="n">
        <v>10</v>
      </c>
    </row>
    <row r="1460" customFormat="false" ht="15" hidden="false" customHeight="false" outlineLevel="0" collapsed="false">
      <c r="A1460" s="25" t="n">
        <v>20241025</v>
      </c>
      <c r="B1460" s="25" t="s">
        <v>2240</v>
      </c>
      <c r="C1460" s="27" t="b">
        <f aca="false">FALSE()</f>
        <v>0</v>
      </c>
      <c r="D1460" s="26" t="n">
        <v>45590</v>
      </c>
      <c r="E1460" s="25" t="n">
        <v>2024</v>
      </c>
      <c r="F1460" s="25" t="n">
        <v>4</v>
      </c>
      <c r="G1460" s="25" t="n">
        <v>10</v>
      </c>
    </row>
    <row r="1461" customFormat="false" ht="15" hidden="false" customHeight="false" outlineLevel="0" collapsed="false">
      <c r="A1461" s="25" t="n">
        <v>20241026</v>
      </c>
      <c r="B1461" s="25" t="s">
        <v>2240</v>
      </c>
      <c r="C1461" s="27" t="b">
        <f aca="false">TRUE()</f>
        <v>1</v>
      </c>
      <c r="D1461" s="26" t="n">
        <v>45591</v>
      </c>
      <c r="E1461" s="25" t="n">
        <v>2024</v>
      </c>
      <c r="F1461" s="25" t="n">
        <v>4</v>
      </c>
      <c r="G1461" s="25" t="n">
        <v>10</v>
      </c>
    </row>
    <row r="1462" customFormat="false" ht="15" hidden="false" customHeight="false" outlineLevel="0" collapsed="false">
      <c r="A1462" s="25" t="n">
        <v>20241027</v>
      </c>
      <c r="B1462" s="25" t="s">
        <v>2240</v>
      </c>
      <c r="C1462" s="27" t="b">
        <f aca="false">TRUE()</f>
        <v>1</v>
      </c>
      <c r="D1462" s="26" t="n">
        <v>45592</v>
      </c>
      <c r="E1462" s="25" t="n">
        <v>2024</v>
      </c>
      <c r="F1462" s="25" t="n">
        <v>4</v>
      </c>
      <c r="G1462" s="25" t="n">
        <v>10</v>
      </c>
    </row>
    <row r="1463" customFormat="false" ht="15" hidden="false" customHeight="false" outlineLevel="0" collapsed="false">
      <c r="A1463" s="25" t="n">
        <v>20241028</v>
      </c>
      <c r="B1463" s="25" t="s">
        <v>2240</v>
      </c>
      <c r="C1463" s="27" t="b">
        <f aca="false">FALSE()</f>
        <v>0</v>
      </c>
      <c r="D1463" s="26" t="n">
        <v>45593</v>
      </c>
      <c r="E1463" s="25" t="n">
        <v>2024</v>
      </c>
      <c r="F1463" s="25" t="n">
        <v>4</v>
      </c>
      <c r="G1463" s="25" t="n">
        <v>10</v>
      </c>
    </row>
    <row r="1464" customFormat="false" ht="15" hidden="false" customHeight="false" outlineLevel="0" collapsed="false">
      <c r="A1464" s="25" t="n">
        <v>20241029</v>
      </c>
      <c r="B1464" s="25" t="s">
        <v>2240</v>
      </c>
      <c r="C1464" s="27" t="b">
        <f aca="false">FALSE()</f>
        <v>0</v>
      </c>
      <c r="D1464" s="26" t="n">
        <v>45594</v>
      </c>
      <c r="E1464" s="25" t="n">
        <v>2024</v>
      </c>
      <c r="F1464" s="25" t="n">
        <v>4</v>
      </c>
      <c r="G1464" s="25" t="n">
        <v>10</v>
      </c>
    </row>
    <row r="1465" customFormat="false" ht="15" hidden="false" customHeight="false" outlineLevel="0" collapsed="false">
      <c r="A1465" s="25" t="n">
        <v>20241030</v>
      </c>
      <c r="B1465" s="25" t="s">
        <v>2240</v>
      </c>
      <c r="C1465" s="27" t="b">
        <f aca="false">FALSE()</f>
        <v>0</v>
      </c>
      <c r="D1465" s="26" t="n">
        <v>45595</v>
      </c>
      <c r="E1465" s="25" t="n">
        <v>2024</v>
      </c>
      <c r="F1465" s="25" t="n">
        <v>4</v>
      </c>
      <c r="G1465" s="25" t="n">
        <v>10</v>
      </c>
    </row>
    <row r="1466" customFormat="false" ht="15" hidden="false" customHeight="false" outlineLevel="0" collapsed="false">
      <c r="A1466" s="25" t="n">
        <v>20241031</v>
      </c>
      <c r="B1466" s="25" t="s">
        <v>2240</v>
      </c>
      <c r="C1466" s="27" t="b">
        <f aca="false">FALSE()</f>
        <v>0</v>
      </c>
      <c r="D1466" s="26" t="n">
        <v>45596</v>
      </c>
      <c r="E1466" s="25" t="n">
        <v>2024</v>
      </c>
      <c r="F1466" s="25" t="n">
        <v>4</v>
      </c>
      <c r="G1466" s="25" t="n">
        <v>10</v>
      </c>
    </row>
    <row r="1467" customFormat="false" ht="15" hidden="false" customHeight="false" outlineLevel="0" collapsed="false">
      <c r="A1467" s="25" t="n">
        <v>20241101</v>
      </c>
      <c r="B1467" s="25" t="s">
        <v>2241</v>
      </c>
      <c r="C1467" s="27" t="b">
        <f aca="false">FALSE()</f>
        <v>0</v>
      </c>
      <c r="D1467" s="26" t="n">
        <v>45597</v>
      </c>
      <c r="E1467" s="25" t="n">
        <v>2024</v>
      </c>
      <c r="F1467" s="25" t="n">
        <v>4</v>
      </c>
      <c r="G1467" s="25" t="n">
        <v>11</v>
      </c>
    </row>
    <row r="1468" customFormat="false" ht="15" hidden="false" customHeight="false" outlineLevel="0" collapsed="false">
      <c r="A1468" s="25" t="n">
        <v>20241102</v>
      </c>
      <c r="B1468" s="25" t="s">
        <v>2241</v>
      </c>
      <c r="C1468" s="27" t="b">
        <f aca="false">TRUE()</f>
        <v>1</v>
      </c>
      <c r="D1468" s="26" t="n">
        <v>45598</v>
      </c>
      <c r="E1468" s="25" t="n">
        <v>2024</v>
      </c>
      <c r="F1468" s="25" t="n">
        <v>4</v>
      </c>
      <c r="G1468" s="25" t="n">
        <v>11</v>
      </c>
    </row>
    <row r="1469" customFormat="false" ht="15" hidden="false" customHeight="false" outlineLevel="0" collapsed="false">
      <c r="A1469" s="25" t="n">
        <v>20241103</v>
      </c>
      <c r="B1469" s="25" t="s">
        <v>2241</v>
      </c>
      <c r="C1469" s="27" t="b">
        <f aca="false">TRUE()</f>
        <v>1</v>
      </c>
      <c r="D1469" s="26" t="n">
        <v>45599</v>
      </c>
      <c r="E1469" s="25" t="n">
        <v>2024</v>
      </c>
      <c r="F1469" s="25" t="n">
        <v>4</v>
      </c>
      <c r="G1469" s="25" t="n">
        <v>11</v>
      </c>
    </row>
    <row r="1470" customFormat="false" ht="15" hidden="false" customHeight="false" outlineLevel="0" collapsed="false">
      <c r="A1470" s="25" t="n">
        <v>20241104</v>
      </c>
      <c r="B1470" s="25" t="s">
        <v>2241</v>
      </c>
      <c r="C1470" s="27" t="b">
        <f aca="false">FALSE()</f>
        <v>0</v>
      </c>
      <c r="D1470" s="26" t="n">
        <v>45600</v>
      </c>
      <c r="E1470" s="25" t="n">
        <v>2024</v>
      </c>
      <c r="F1470" s="25" t="n">
        <v>4</v>
      </c>
      <c r="G1470" s="25" t="n">
        <v>11</v>
      </c>
    </row>
    <row r="1471" customFormat="false" ht="15" hidden="false" customHeight="false" outlineLevel="0" collapsed="false">
      <c r="A1471" s="25" t="n">
        <v>20241105</v>
      </c>
      <c r="B1471" s="25" t="s">
        <v>2241</v>
      </c>
      <c r="C1471" s="27" t="b">
        <f aca="false">FALSE()</f>
        <v>0</v>
      </c>
      <c r="D1471" s="26" t="n">
        <v>45601</v>
      </c>
      <c r="E1471" s="25" t="n">
        <v>2024</v>
      </c>
      <c r="F1471" s="25" t="n">
        <v>4</v>
      </c>
      <c r="G1471" s="25" t="n">
        <v>11</v>
      </c>
    </row>
    <row r="1472" customFormat="false" ht="15" hidden="false" customHeight="false" outlineLevel="0" collapsed="false">
      <c r="A1472" s="25" t="n">
        <v>20241106</v>
      </c>
      <c r="B1472" s="25" t="s">
        <v>2241</v>
      </c>
      <c r="C1472" s="27" t="b">
        <f aca="false">FALSE()</f>
        <v>0</v>
      </c>
      <c r="D1472" s="26" t="n">
        <v>45602</v>
      </c>
      <c r="E1472" s="25" t="n">
        <v>2024</v>
      </c>
      <c r="F1472" s="25" t="n">
        <v>4</v>
      </c>
      <c r="G1472" s="25" t="n">
        <v>11</v>
      </c>
    </row>
    <row r="1473" customFormat="false" ht="15" hidden="false" customHeight="false" outlineLevel="0" collapsed="false">
      <c r="A1473" s="25" t="n">
        <v>20241107</v>
      </c>
      <c r="B1473" s="25" t="s">
        <v>2241</v>
      </c>
      <c r="C1473" s="27" t="b">
        <f aca="false">FALSE()</f>
        <v>0</v>
      </c>
      <c r="D1473" s="26" t="n">
        <v>45603</v>
      </c>
      <c r="E1473" s="25" t="n">
        <v>2024</v>
      </c>
      <c r="F1473" s="25" t="n">
        <v>4</v>
      </c>
      <c r="G1473" s="25" t="n">
        <v>11</v>
      </c>
    </row>
    <row r="1474" customFormat="false" ht="15" hidden="false" customHeight="false" outlineLevel="0" collapsed="false">
      <c r="A1474" s="25" t="n">
        <v>20241108</v>
      </c>
      <c r="B1474" s="25" t="s">
        <v>2241</v>
      </c>
      <c r="C1474" s="27" t="b">
        <f aca="false">FALSE()</f>
        <v>0</v>
      </c>
      <c r="D1474" s="26" t="n">
        <v>45604</v>
      </c>
      <c r="E1474" s="25" t="n">
        <v>2024</v>
      </c>
      <c r="F1474" s="25" t="n">
        <v>4</v>
      </c>
      <c r="G1474" s="25" t="n">
        <v>11</v>
      </c>
    </row>
    <row r="1475" customFormat="false" ht="15" hidden="false" customHeight="false" outlineLevel="0" collapsed="false">
      <c r="A1475" s="25" t="n">
        <v>20241109</v>
      </c>
      <c r="B1475" s="25" t="s">
        <v>2241</v>
      </c>
      <c r="C1475" s="27" t="b">
        <f aca="false">TRUE()</f>
        <v>1</v>
      </c>
      <c r="D1475" s="26" t="n">
        <v>45605</v>
      </c>
      <c r="E1475" s="25" t="n">
        <v>2024</v>
      </c>
      <c r="F1475" s="25" t="n">
        <v>4</v>
      </c>
      <c r="G1475" s="25" t="n">
        <v>11</v>
      </c>
    </row>
    <row r="1476" customFormat="false" ht="15" hidden="false" customHeight="false" outlineLevel="0" collapsed="false">
      <c r="A1476" s="25" t="n">
        <v>20241110</v>
      </c>
      <c r="B1476" s="25" t="s">
        <v>2241</v>
      </c>
      <c r="C1476" s="27" t="b">
        <f aca="false">TRUE()</f>
        <v>1</v>
      </c>
      <c r="D1476" s="26" t="n">
        <v>45606</v>
      </c>
      <c r="E1476" s="25" t="n">
        <v>2024</v>
      </c>
      <c r="F1476" s="25" t="n">
        <v>4</v>
      </c>
      <c r="G1476" s="25" t="n">
        <v>11</v>
      </c>
    </row>
    <row r="1477" customFormat="false" ht="15" hidden="false" customHeight="false" outlineLevel="0" collapsed="false">
      <c r="A1477" s="25" t="n">
        <v>20241111</v>
      </c>
      <c r="B1477" s="25" t="s">
        <v>2241</v>
      </c>
      <c r="C1477" s="27" t="b">
        <f aca="false">FALSE()</f>
        <v>0</v>
      </c>
      <c r="D1477" s="26" t="n">
        <v>45607</v>
      </c>
      <c r="E1477" s="25" t="n">
        <v>2024</v>
      </c>
      <c r="F1477" s="25" t="n">
        <v>4</v>
      </c>
      <c r="G1477" s="25" t="n">
        <v>11</v>
      </c>
    </row>
    <row r="1478" customFormat="false" ht="15" hidden="false" customHeight="false" outlineLevel="0" collapsed="false">
      <c r="A1478" s="25" t="n">
        <v>20241112</v>
      </c>
      <c r="B1478" s="25" t="s">
        <v>2241</v>
      </c>
      <c r="C1478" s="27" t="b">
        <f aca="false">FALSE()</f>
        <v>0</v>
      </c>
      <c r="D1478" s="26" t="n">
        <v>45608</v>
      </c>
      <c r="E1478" s="25" t="n">
        <v>2024</v>
      </c>
      <c r="F1478" s="25" t="n">
        <v>4</v>
      </c>
      <c r="G1478" s="25" t="n">
        <v>11</v>
      </c>
    </row>
    <row r="1479" customFormat="false" ht="15" hidden="false" customHeight="false" outlineLevel="0" collapsed="false">
      <c r="A1479" s="25" t="n">
        <v>20241113</v>
      </c>
      <c r="B1479" s="25" t="s">
        <v>2241</v>
      </c>
      <c r="C1479" s="27" t="b">
        <f aca="false">FALSE()</f>
        <v>0</v>
      </c>
      <c r="D1479" s="26" t="n">
        <v>45609</v>
      </c>
      <c r="E1479" s="25" t="n">
        <v>2024</v>
      </c>
      <c r="F1479" s="25" t="n">
        <v>4</v>
      </c>
      <c r="G1479" s="25" t="n">
        <v>11</v>
      </c>
    </row>
    <row r="1480" customFormat="false" ht="15" hidden="false" customHeight="false" outlineLevel="0" collapsed="false">
      <c r="A1480" s="25" t="n">
        <v>20241114</v>
      </c>
      <c r="B1480" s="25" t="s">
        <v>2241</v>
      </c>
      <c r="C1480" s="27" t="b">
        <f aca="false">FALSE()</f>
        <v>0</v>
      </c>
      <c r="D1480" s="26" t="n">
        <v>45610</v>
      </c>
      <c r="E1480" s="25" t="n">
        <v>2024</v>
      </c>
      <c r="F1480" s="25" t="n">
        <v>4</v>
      </c>
      <c r="G1480" s="25" t="n">
        <v>11</v>
      </c>
    </row>
    <row r="1481" customFormat="false" ht="15" hidden="false" customHeight="false" outlineLevel="0" collapsed="false">
      <c r="A1481" s="25" t="n">
        <v>20241115</v>
      </c>
      <c r="B1481" s="25" t="s">
        <v>2241</v>
      </c>
      <c r="C1481" s="27" t="b">
        <f aca="false">FALSE()</f>
        <v>0</v>
      </c>
      <c r="D1481" s="26" t="n">
        <v>45611</v>
      </c>
      <c r="E1481" s="25" t="n">
        <v>2024</v>
      </c>
      <c r="F1481" s="25" t="n">
        <v>4</v>
      </c>
      <c r="G1481" s="25" t="n">
        <v>11</v>
      </c>
    </row>
    <row r="1482" customFormat="false" ht="15" hidden="false" customHeight="false" outlineLevel="0" collapsed="false">
      <c r="A1482" s="25" t="n">
        <v>20241116</v>
      </c>
      <c r="B1482" s="25" t="s">
        <v>2241</v>
      </c>
      <c r="C1482" s="27" t="b">
        <f aca="false">TRUE()</f>
        <v>1</v>
      </c>
      <c r="D1482" s="26" t="n">
        <v>45612</v>
      </c>
      <c r="E1482" s="25" t="n">
        <v>2024</v>
      </c>
      <c r="F1482" s="25" t="n">
        <v>4</v>
      </c>
      <c r="G1482" s="25" t="n">
        <v>11</v>
      </c>
    </row>
    <row r="1483" customFormat="false" ht="15" hidden="false" customHeight="false" outlineLevel="0" collapsed="false">
      <c r="A1483" s="25" t="n">
        <v>20241117</v>
      </c>
      <c r="B1483" s="25" t="s">
        <v>2241</v>
      </c>
      <c r="C1483" s="27" t="b">
        <f aca="false">TRUE()</f>
        <v>1</v>
      </c>
      <c r="D1483" s="26" t="n">
        <v>45613</v>
      </c>
      <c r="E1483" s="25" t="n">
        <v>2024</v>
      </c>
      <c r="F1483" s="25" t="n">
        <v>4</v>
      </c>
      <c r="G1483" s="25" t="n">
        <v>11</v>
      </c>
    </row>
    <row r="1484" customFormat="false" ht="15" hidden="false" customHeight="false" outlineLevel="0" collapsed="false">
      <c r="A1484" s="25" t="n">
        <v>20241118</v>
      </c>
      <c r="B1484" s="25" t="s">
        <v>2241</v>
      </c>
      <c r="C1484" s="27" t="b">
        <f aca="false">FALSE()</f>
        <v>0</v>
      </c>
      <c r="D1484" s="26" t="n">
        <v>45614</v>
      </c>
      <c r="E1484" s="25" t="n">
        <v>2024</v>
      </c>
      <c r="F1484" s="25" t="n">
        <v>4</v>
      </c>
      <c r="G1484" s="25" t="n">
        <v>11</v>
      </c>
    </row>
    <row r="1485" customFormat="false" ht="15" hidden="false" customHeight="false" outlineLevel="0" collapsed="false">
      <c r="A1485" s="25" t="n">
        <v>20241119</v>
      </c>
      <c r="B1485" s="25" t="s">
        <v>2241</v>
      </c>
      <c r="C1485" s="27" t="b">
        <f aca="false">FALSE()</f>
        <v>0</v>
      </c>
      <c r="D1485" s="26" t="n">
        <v>45615</v>
      </c>
      <c r="E1485" s="25" t="n">
        <v>2024</v>
      </c>
      <c r="F1485" s="25" t="n">
        <v>4</v>
      </c>
      <c r="G1485" s="25" t="n">
        <v>11</v>
      </c>
    </row>
    <row r="1486" customFormat="false" ht="15" hidden="false" customHeight="false" outlineLevel="0" collapsed="false">
      <c r="A1486" s="25" t="n">
        <v>20241120</v>
      </c>
      <c r="B1486" s="25" t="s">
        <v>2241</v>
      </c>
      <c r="C1486" s="27" t="b">
        <f aca="false">FALSE()</f>
        <v>0</v>
      </c>
      <c r="D1486" s="26" t="n">
        <v>45616</v>
      </c>
      <c r="E1486" s="25" t="n">
        <v>2024</v>
      </c>
      <c r="F1486" s="25" t="n">
        <v>4</v>
      </c>
      <c r="G1486" s="25" t="n">
        <v>11</v>
      </c>
    </row>
    <row r="1487" customFormat="false" ht="15" hidden="false" customHeight="false" outlineLevel="0" collapsed="false">
      <c r="A1487" s="25" t="n">
        <v>20241121</v>
      </c>
      <c r="B1487" s="25" t="s">
        <v>2241</v>
      </c>
      <c r="C1487" s="27" t="b">
        <f aca="false">FALSE()</f>
        <v>0</v>
      </c>
      <c r="D1487" s="26" t="n">
        <v>45617</v>
      </c>
      <c r="E1487" s="25" t="n">
        <v>2024</v>
      </c>
      <c r="F1487" s="25" t="n">
        <v>4</v>
      </c>
      <c r="G1487" s="25" t="n">
        <v>11</v>
      </c>
    </row>
    <row r="1488" customFormat="false" ht="15" hidden="false" customHeight="false" outlineLevel="0" collapsed="false">
      <c r="A1488" s="25" t="n">
        <v>20241122</v>
      </c>
      <c r="B1488" s="25" t="s">
        <v>2241</v>
      </c>
      <c r="C1488" s="27" t="b">
        <f aca="false">FALSE()</f>
        <v>0</v>
      </c>
      <c r="D1488" s="26" t="n">
        <v>45618</v>
      </c>
      <c r="E1488" s="25" t="n">
        <v>2024</v>
      </c>
      <c r="F1488" s="25" t="n">
        <v>4</v>
      </c>
      <c r="G1488" s="25" t="n">
        <v>11</v>
      </c>
    </row>
    <row r="1489" customFormat="false" ht="15" hidden="false" customHeight="false" outlineLevel="0" collapsed="false">
      <c r="A1489" s="25" t="n">
        <v>20241123</v>
      </c>
      <c r="B1489" s="25" t="s">
        <v>2241</v>
      </c>
      <c r="C1489" s="27" t="b">
        <f aca="false">TRUE()</f>
        <v>1</v>
      </c>
      <c r="D1489" s="26" t="n">
        <v>45619</v>
      </c>
      <c r="E1489" s="25" t="n">
        <v>2024</v>
      </c>
      <c r="F1489" s="25" t="n">
        <v>4</v>
      </c>
      <c r="G1489" s="25" t="n">
        <v>11</v>
      </c>
    </row>
    <row r="1490" customFormat="false" ht="15" hidden="false" customHeight="false" outlineLevel="0" collapsed="false">
      <c r="A1490" s="25" t="n">
        <v>20241124</v>
      </c>
      <c r="B1490" s="25" t="s">
        <v>2241</v>
      </c>
      <c r="C1490" s="27" t="b">
        <f aca="false">TRUE()</f>
        <v>1</v>
      </c>
      <c r="D1490" s="26" t="n">
        <v>45620</v>
      </c>
      <c r="E1490" s="25" t="n">
        <v>2024</v>
      </c>
      <c r="F1490" s="25" t="n">
        <v>4</v>
      </c>
      <c r="G1490" s="25" t="n">
        <v>11</v>
      </c>
    </row>
    <row r="1491" customFormat="false" ht="15" hidden="false" customHeight="false" outlineLevel="0" collapsed="false">
      <c r="A1491" s="25" t="n">
        <v>20241125</v>
      </c>
      <c r="B1491" s="25" t="s">
        <v>2241</v>
      </c>
      <c r="C1491" s="27" t="b">
        <f aca="false">FALSE()</f>
        <v>0</v>
      </c>
      <c r="D1491" s="26" t="n">
        <v>45621</v>
      </c>
      <c r="E1491" s="25" t="n">
        <v>2024</v>
      </c>
      <c r="F1491" s="25" t="n">
        <v>4</v>
      </c>
      <c r="G1491" s="25" t="n">
        <v>11</v>
      </c>
    </row>
    <row r="1492" customFormat="false" ht="15" hidden="false" customHeight="false" outlineLevel="0" collapsed="false">
      <c r="A1492" s="25" t="n">
        <v>20241126</v>
      </c>
      <c r="B1492" s="25" t="s">
        <v>2241</v>
      </c>
      <c r="C1492" s="27" t="b">
        <f aca="false">FALSE()</f>
        <v>0</v>
      </c>
      <c r="D1492" s="26" t="n">
        <v>45622</v>
      </c>
      <c r="E1492" s="25" t="n">
        <v>2024</v>
      </c>
      <c r="F1492" s="25" t="n">
        <v>4</v>
      </c>
      <c r="G1492" s="25" t="n">
        <v>11</v>
      </c>
    </row>
    <row r="1493" customFormat="false" ht="15" hidden="false" customHeight="false" outlineLevel="0" collapsed="false">
      <c r="A1493" s="25" t="n">
        <v>20241127</v>
      </c>
      <c r="B1493" s="25" t="s">
        <v>2241</v>
      </c>
      <c r="C1493" s="27" t="b">
        <f aca="false">FALSE()</f>
        <v>0</v>
      </c>
      <c r="D1493" s="26" t="n">
        <v>45623</v>
      </c>
      <c r="E1493" s="25" t="n">
        <v>2024</v>
      </c>
      <c r="F1493" s="25" t="n">
        <v>4</v>
      </c>
      <c r="G1493" s="25" t="n">
        <v>11</v>
      </c>
    </row>
    <row r="1494" customFormat="false" ht="15" hidden="false" customHeight="false" outlineLevel="0" collapsed="false">
      <c r="A1494" s="25" t="n">
        <v>20241128</v>
      </c>
      <c r="B1494" s="25" t="s">
        <v>2241</v>
      </c>
      <c r="C1494" s="27" t="b">
        <f aca="false">FALSE()</f>
        <v>0</v>
      </c>
      <c r="D1494" s="26" t="n">
        <v>45624</v>
      </c>
      <c r="E1494" s="25" t="n">
        <v>2024</v>
      </c>
      <c r="F1494" s="25" t="n">
        <v>4</v>
      </c>
      <c r="G1494" s="25" t="n">
        <v>11</v>
      </c>
    </row>
    <row r="1495" customFormat="false" ht="15" hidden="false" customHeight="false" outlineLevel="0" collapsed="false">
      <c r="A1495" s="25" t="n">
        <v>20241129</v>
      </c>
      <c r="B1495" s="25" t="s">
        <v>2241</v>
      </c>
      <c r="C1495" s="27" t="b">
        <f aca="false">FALSE()</f>
        <v>0</v>
      </c>
      <c r="D1495" s="26" t="n">
        <v>45625</v>
      </c>
      <c r="E1495" s="25" t="n">
        <v>2024</v>
      </c>
      <c r="F1495" s="25" t="n">
        <v>4</v>
      </c>
      <c r="G1495" s="25" t="n">
        <v>11</v>
      </c>
    </row>
    <row r="1496" customFormat="false" ht="15" hidden="false" customHeight="false" outlineLevel="0" collapsed="false">
      <c r="A1496" s="25" t="n">
        <v>20241130</v>
      </c>
      <c r="B1496" s="25" t="s">
        <v>2241</v>
      </c>
      <c r="C1496" s="27" t="b">
        <f aca="false">TRUE()</f>
        <v>1</v>
      </c>
      <c r="D1496" s="26" t="n">
        <v>45626</v>
      </c>
      <c r="E1496" s="25" t="n">
        <v>2024</v>
      </c>
      <c r="F1496" s="25" t="n">
        <v>4</v>
      </c>
      <c r="G1496" s="25" t="n">
        <v>11</v>
      </c>
    </row>
    <row r="1497" customFormat="false" ht="15" hidden="false" customHeight="false" outlineLevel="0" collapsed="false">
      <c r="A1497" s="25" t="n">
        <v>20241201</v>
      </c>
      <c r="B1497" s="25" t="s">
        <v>2242</v>
      </c>
      <c r="C1497" s="27" t="b">
        <f aca="false">TRUE()</f>
        <v>1</v>
      </c>
      <c r="D1497" s="26" t="n">
        <v>45627</v>
      </c>
      <c r="E1497" s="25" t="n">
        <v>2024</v>
      </c>
      <c r="F1497" s="25" t="n">
        <v>4</v>
      </c>
      <c r="G1497" s="25" t="n">
        <v>12</v>
      </c>
    </row>
    <row r="1498" customFormat="false" ht="15" hidden="false" customHeight="false" outlineLevel="0" collapsed="false">
      <c r="A1498" s="25" t="n">
        <v>20241202</v>
      </c>
      <c r="B1498" s="25" t="s">
        <v>2242</v>
      </c>
      <c r="C1498" s="27" t="b">
        <f aca="false">FALSE()</f>
        <v>0</v>
      </c>
      <c r="D1498" s="26" t="n">
        <v>45628</v>
      </c>
      <c r="E1498" s="25" t="n">
        <v>2024</v>
      </c>
      <c r="F1498" s="25" t="n">
        <v>4</v>
      </c>
      <c r="G1498" s="25" t="n">
        <v>12</v>
      </c>
    </row>
    <row r="1499" customFormat="false" ht="15" hidden="false" customHeight="false" outlineLevel="0" collapsed="false">
      <c r="A1499" s="25" t="n">
        <v>20241203</v>
      </c>
      <c r="B1499" s="25" t="s">
        <v>2242</v>
      </c>
      <c r="C1499" s="27" t="b">
        <f aca="false">FALSE()</f>
        <v>0</v>
      </c>
      <c r="D1499" s="26" t="n">
        <v>45629</v>
      </c>
      <c r="E1499" s="25" t="n">
        <v>2024</v>
      </c>
      <c r="F1499" s="25" t="n">
        <v>4</v>
      </c>
      <c r="G1499" s="25" t="n">
        <v>12</v>
      </c>
    </row>
    <row r="1500" customFormat="false" ht="15" hidden="false" customHeight="false" outlineLevel="0" collapsed="false">
      <c r="A1500" s="25" t="n">
        <v>20241204</v>
      </c>
      <c r="B1500" s="25" t="s">
        <v>2242</v>
      </c>
      <c r="C1500" s="27" t="b">
        <f aca="false">FALSE()</f>
        <v>0</v>
      </c>
      <c r="D1500" s="26" t="n">
        <v>45630</v>
      </c>
      <c r="E1500" s="25" t="n">
        <v>2024</v>
      </c>
      <c r="F1500" s="25" t="n">
        <v>4</v>
      </c>
      <c r="G1500" s="25" t="n">
        <v>12</v>
      </c>
    </row>
    <row r="1501" customFormat="false" ht="15" hidden="false" customHeight="false" outlineLevel="0" collapsed="false">
      <c r="A1501" s="25" t="n">
        <v>20241205</v>
      </c>
      <c r="B1501" s="25" t="s">
        <v>2242</v>
      </c>
      <c r="C1501" s="27" t="b">
        <f aca="false">FALSE()</f>
        <v>0</v>
      </c>
      <c r="D1501" s="26" t="n">
        <v>45631</v>
      </c>
      <c r="E1501" s="25" t="n">
        <v>2024</v>
      </c>
      <c r="F1501" s="25" t="n">
        <v>4</v>
      </c>
      <c r="G1501" s="25" t="n">
        <v>12</v>
      </c>
    </row>
    <row r="1502" customFormat="false" ht="15" hidden="false" customHeight="false" outlineLevel="0" collapsed="false">
      <c r="A1502" s="25" t="n">
        <v>20241206</v>
      </c>
      <c r="B1502" s="25" t="s">
        <v>2242</v>
      </c>
      <c r="C1502" s="27" t="b">
        <f aca="false">FALSE()</f>
        <v>0</v>
      </c>
      <c r="D1502" s="26" t="n">
        <v>45632</v>
      </c>
      <c r="E1502" s="25" t="n">
        <v>2024</v>
      </c>
      <c r="F1502" s="25" t="n">
        <v>4</v>
      </c>
      <c r="G1502" s="25" t="n">
        <v>12</v>
      </c>
    </row>
    <row r="1503" customFormat="false" ht="15" hidden="false" customHeight="false" outlineLevel="0" collapsed="false">
      <c r="A1503" s="25" t="n">
        <v>20241207</v>
      </c>
      <c r="B1503" s="25" t="s">
        <v>2242</v>
      </c>
      <c r="C1503" s="27" t="b">
        <f aca="false">TRUE()</f>
        <v>1</v>
      </c>
      <c r="D1503" s="26" t="n">
        <v>45633</v>
      </c>
      <c r="E1503" s="25" t="n">
        <v>2024</v>
      </c>
      <c r="F1503" s="25" t="n">
        <v>4</v>
      </c>
      <c r="G1503" s="25" t="n">
        <v>12</v>
      </c>
    </row>
    <row r="1504" customFormat="false" ht="15" hidden="false" customHeight="false" outlineLevel="0" collapsed="false">
      <c r="A1504" s="25" t="n">
        <v>20241208</v>
      </c>
      <c r="B1504" s="25" t="s">
        <v>2242</v>
      </c>
      <c r="C1504" s="27" t="b">
        <f aca="false">TRUE()</f>
        <v>1</v>
      </c>
      <c r="D1504" s="26" t="n">
        <v>45634</v>
      </c>
      <c r="E1504" s="25" t="n">
        <v>2024</v>
      </c>
      <c r="F1504" s="25" t="n">
        <v>4</v>
      </c>
      <c r="G1504" s="25" t="n">
        <v>12</v>
      </c>
    </row>
    <row r="1505" customFormat="false" ht="15" hidden="false" customHeight="false" outlineLevel="0" collapsed="false">
      <c r="A1505" s="25" t="n">
        <v>20241209</v>
      </c>
      <c r="B1505" s="25" t="s">
        <v>2242</v>
      </c>
      <c r="C1505" s="27" t="b">
        <f aca="false">FALSE()</f>
        <v>0</v>
      </c>
      <c r="D1505" s="26" t="n">
        <v>45635</v>
      </c>
      <c r="E1505" s="25" t="n">
        <v>2024</v>
      </c>
      <c r="F1505" s="25" t="n">
        <v>4</v>
      </c>
      <c r="G1505" s="25" t="n">
        <v>12</v>
      </c>
    </row>
    <row r="1506" customFormat="false" ht="15" hidden="false" customHeight="false" outlineLevel="0" collapsed="false">
      <c r="A1506" s="25" t="n">
        <v>20241210</v>
      </c>
      <c r="B1506" s="25" t="s">
        <v>2242</v>
      </c>
      <c r="C1506" s="27" t="b">
        <f aca="false">FALSE()</f>
        <v>0</v>
      </c>
      <c r="D1506" s="26" t="n">
        <v>45636</v>
      </c>
      <c r="E1506" s="25" t="n">
        <v>2024</v>
      </c>
      <c r="F1506" s="25" t="n">
        <v>4</v>
      </c>
      <c r="G1506" s="25" t="n">
        <v>12</v>
      </c>
    </row>
    <row r="1507" customFormat="false" ht="15" hidden="false" customHeight="false" outlineLevel="0" collapsed="false">
      <c r="A1507" s="25" t="n">
        <v>20241211</v>
      </c>
      <c r="B1507" s="25" t="s">
        <v>2242</v>
      </c>
      <c r="C1507" s="27" t="b">
        <f aca="false">FALSE()</f>
        <v>0</v>
      </c>
      <c r="D1507" s="26" t="n">
        <v>45637</v>
      </c>
      <c r="E1507" s="25" t="n">
        <v>2024</v>
      </c>
      <c r="F1507" s="25" t="n">
        <v>4</v>
      </c>
      <c r="G1507" s="25" t="n">
        <v>12</v>
      </c>
    </row>
    <row r="1508" customFormat="false" ht="15" hidden="false" customHeight="false" outlineLevel="0" collapsed="false">
      <c r="A1508" s="25" t="n">
        <v>20241212</v>
      </c>
      <c r="B1508" s="25" t="s">
        <v>2242</v>
      </c>
      <c r="C1508" s="27" t="b">
        <f aca="false">FALSE()</f>
        <v>0</v>
      </c>
      <c r="D1508" s="26" t="n">
        <v>45638</v>
      </c>
      <c r="E1508" s="25" t="n">
        <v>2024</v>
      </c>
      <c r="F1508" s="25" t="n">
        <v>4</v>
      </c>
      <c r="G1508" s="25" t="n">
        <v>12</v>
      </c>
    </row>
    <row r="1509" customFormat="false" ht="15" hidden="false" customHeight="false" outlineLevel="0" collapsed="false">
      <c r="A1509" s="25" t="n">
        <v>20241213</v>
      </c>
      <c r="B1509" s="25" t="s">
        <v>2242</v>
      </c>
      <c r="C1509" s="27" t="b">
        <f aca="false">FALSE()</f>
        <v>0</v>
      </c>
      <c r="D1509" s="26" t="n">
        <v>45639</v>
      </c>
      <c r="E1509" s="25" t="n">
        <v>2024</v>
      </c>
      <c r="F1509" s="25" t="n">
        <v>4</v>
      </c>
      <c r="G1509" s="25" t="n">
        <v>12</v>
      </c>
    </row>
    <row r="1510" customFormat="false" ht="15" hidden="false" customHeight="false" outlineLevel="0" collapsed="false">
      <c r="A1510" s="25" t="n">
        <v>20241214</v>
      </c>
      <c r="B1510" s="25" t="s">
        <v>2242</v>
      </c>
      <c r="C1510" s="27" t="b">
        <f aca="false">TRUE()</f>
        <v>1</v>
      </c>
      <c r="D1510" s="26" t="n">
        <v>45640</v>
      </c>
      <c r="E1510" s="25" t="n">
        <v>2024</v>
      </c>
      <c r="F1510" s="25" t="n">
        <v>4</v>
      </c>
      <c r="G1510" s="25" t="n">
        <v>12</v>
      </c>
    </row>
    <row r="1511" customFormat="false" ht="15" hidden="false" customHeight="false" outlineLevel="0" collapsed="false">
      <c r="A1511" s="25" t="n">
        <v>20241215</v>
      </c>
      <c r="B1511" s="25" t="s">
        <v>2242</v>
      </c>
      <c r="C1511" s="27" t="b">
        <f aca="false">TRUE()</f>
        <v>1</v>
      </c>
      <c r="D1511" s="26" t="n">
        <v>45641</v>
      </c>
      <c r="E1511" s="25" t="n">
        <v>2024</v>
      </c>
      <c r="F1511" s="25" t="n">
        <v>4</v>
      </c>
      <c r="G1511" s="25" t="n">
        <v>12</v>
      </c>
    </row>
    <row r="1512" customFormat="false" ht="15" hidden="false" customHeight="false" outlineLevel="0" collapsed="false">
      <c r="A1512" s="25" t="n">
        <v>20241216</v>
      </c>
      <c r="B1512" s="25" t="s">
        <v>2242</v>
      </c>
      <c r="C1512" s="27" t="b">
        <f aca="false">FALSE()</f>
        <v>0</v>
      </c>
      <c r="D1512" s="26" t="n">
        <v>45642</v>
      </c>
      <c r="E1512" s="25" t="n">
        <v>2024</v>
      </c>
      <c r="F1512" s="25" t="n">
        <v>4</v>
      </c>
      <c r="G1512" s="25" t="n">
        <v>12</v>
      </c>
    </row>
    <row r="1513" customFormat="false" ht="15" hidden="false" customHeight="false" outlineLevel="0" collapsed="false">
      <c r="A1513" s="25" t="n">
        <v>20241217</v>
      </c>
      <c r="B1513" s="25" t="s">
        <v>2242</v>
      </c>
      <c r="C1513" s="27" t="b">
        <f aca="false">FALSE()</f>
        <v>0</v>
      </c>
      <c r="D1513" s="26" t="n">
        <v>45643</v>
      </c>
      <c r="E1513" s="25" t="n">
        <v>2024</v>
      </c>
      <c r="F1513" s="25" t="n">
        <v>4</v>
      </c>
      <c r="G1513" s="25" t="n">
        <v>12</v>
      </c>
    </row>
    <row r="1514" customFormat="false" ht="15" hidden="false" customHeight="false" outlineLevel="0" collapsed="false">
      <c r="A1514" s="25" t="n">
        <v>20241218</v>
      </c>
      <c r="B1514" s="25" t="s">
        <v>2242</v>
      </c>
      <c r="C1514" s="27" t="b">
        <f aca="false">FALSE()</f>
        <v>0</v>
      </c>
      <c r="D1514" s="26" t="n">
        <v>45644</v>
      </c>
      <c r="E1514" s="25" t="n">
        <v>2024</v>
      </c>
      <c r="F1514" s="25" t="n">
        <v>4</v>
      </c>
      <c r="G1514" s="25" t="n">
        <v>12</v>
      </c>
    </row>
    <row r="1515" customFormat="false" ht="15" hidden="false" customHeight="false" outlineLevel="0" collapsed="false">
      <c r="A1515" s="25" t="n">
        <v>20241219</v>
      </c>
      <c r="B1515" s="25" t="s">
        <v>2242</v>
      </c>
      <c r="C1515" s="27" t="b">
        <f aca="false">FALSE()</f>
        <v>0</v>
      </c>
      <c r="D1515" s="26" t="n">
        <v>45645</v>
      </c>
      <c r="E1515" s="25" t="n">
        <v>2024</v>
      </c>
      <c r="F1515" s="25" t="n">
        <v>4</v>
      </c>
      <c r="G1515" s="25" t="n">
        <v>12</v>
      </c>
    </row>
    <row r="1516" customFormat="false" ht="15" hidden="false" customHeight="false" outlineLevel="0" collapsed="false">
      <c r="A1516" s="25" t="n">
        <v>20241220</v>
      </c>
      <c r="B1516" s="25" t="s">
        <v>2242</v>
      </c>
      <c r="C1516" s="27" t="b">
        <f aca="false">FALSE()</f>
        <v>0</v>
      </c>
      <c r="D1516" s="26" t="n">
        <v>45646</v>
      </c>
      <c r="E1516" s="25" t="n">
        <v>2024</v>
      </c>
      <c r="F1516" s="25" t="n">
        <v>4</v>
      </c>
      <c r="G1516" s="25" t="n">
        <v>12</v>
      </c>
    </row>
    <row r="1517" customFormat="false" ht="15" hidden="false" customHeight="false" outlineLevel="0" collapsed="false">
      <c r="A1517" s="25" t="n">
        <v>20241221</v>
      </c>
      <c r="B1517" s="25" t="s">
        <v>2242</v>
      </c>
      <c r="C1517" s="27" t="b">
        <f aca="false">TRUE()</f>
        <v>1</v>
      </c>
      <c r="D1517" s="26" t="n">
        <v>45647</v>
      </c>
      <c r="E1517" s="25" t="n">
        <v>2024</v>
      </c>
      <c r="F1517" s="25" t="n">
        <v>4</v>
      </c>
      <c r="G1517" s="25" t="n">
        <v>12</v>
      </c>
    </row>
    <row r="1518" customFormat="false" ht="15" hidden="false" customHeight="false" outlineLevel="0" collapsed="false">
      <c r="A1518" s="25" t="n">
        <v>20241222</v>
      </c>
      <c r="B1518" s="25" t="s">
        <v>2242</v>
      </c>
      <c r="C1518" s="27" t="b">
        <f aca="false">TRUE()</f>
        <v>1</v>
      </c>
      <c r="D1518" s="26" t="n">
        <v>45648</v>
      </c>
      <c r="E1518" s="25" t="n">
        <v>2024</v>
      </c>
      <c r="F1518" s="25" t="n">
        <v>4</v>
      </c>
      <c r="G1518" s="25" t="n">
        <v>12</v>
      </c>
    </row>
    <row r="1519" customFormat="false" ht="15" hidden="false" customHeight="false" outlineLevel="0" collapsed="false">
      <c r="A1519" s="25" t="n">
        <v>20241223</v>
      </c>
      <c r="B1519" s="25" t="s">
        <v>2242</v>
      </c>
      <c r="C1519" s="27" t="b">
        <f aca="false">FALSE()</f>
        <v>0</v>
      </c>
      <c r="D1519" s="26" t="n">
        <v>45649</v>
      </c>
      <c r="E1519" s="25" t="n">
        <v>2024</v>
      </c>
      <c r="F1519" s="25" t="n">
        <v>4</v>
      </c>
      <c r="G1519" s="25" t="n">
        <v>12</v>
      </c>
    </row>
    <row r="1520" customFormat="false" ht="15" hidden="false" customHeight="false" outlineLevel="0" collapsed="false">
      <c r="A1520" s="25" t="n">
        <v>20241224</v>
      </c>
      <c r="B1520" s="25" t="s">
        <v>2242</v>
      </c>
      <c r="C1520" s="27" t="b">
        <f aca="false">FALSE()</f>
        <v>0</v>
      </c>
      <c r="D1520" s="26" t="n">
        <v>45650</v>
      </c>
      <c r="E1520" s="25" t="n">
        <v>2024</v>
      </c>
      <c r="F1520" s="25" t="n">
        <v>4</v>
      </c>
      <c r="G1520" s="25" t="n">
        <v>12</v>
      </c>
    </row>
    <row r="1521" customFormat="false" ht="15" hidden="false" customHeight="false" outlineLevel="0" collapsed="false">
      <c r="A1521" s="25" t="n">
        <v>20241225</v>
      </c>
      <c r="B1521" s="25" t="s">
        <v>2242</v>
      </c>
      <c r="C1521" s="27" t="b">
        <f aca="false">FALSE()</f>
        <v>0</v>
      </c>
      <c r="D1521" s="26" t="n">
        <v>45651</v>
      </c>
      <c r="E1521" s="25" t="n">
        <v>2024</v>
      </c>
      <c r="F1521" s="25" t="n">
        <v>4</v>
      </c>
      <c r="G1521" s="25" t="n">
        <v>12</v>
      </c>
    </row>
    <row r="1522" customFormat="false" ht="15" hidden="false" customHeight="false" outlineLevel="0" collapsed="false">
      <c r="A1522" s="25" t="n">
        <v>20241226</v>
      </c>
      <c r="B1522" s="25" t="s">
        <v>2242</v>
      </c>
      <c r="C1522" s="27" t="b">
        <f aca="false">FALSE()</f>
        <v>0</v>
      </c>
      <c r="D1522" s="26" t="n">
        <v>45652</v>
      </c>
      <c r="E1522" s="25" t="n">
        <v>2024</v>
      </c>
      <c r="F1522" s="25" t="n">
        <v>4</v>
      </c>
      <c r="G1522" s="25" t="n">
        <v>12</v>
      </c>
    </row>
    <row r="1523" customFormat="false" ht="15" hidden="false" customHeight="false" outlineLevel="0" collapsed="false">
      <c r="A1523" s="25" t="n">
        <v>20241227</v>
      </c>
      <c r="B1523" s="25" t="s">
        <v>2242</v>
      </c>
      <c r="C1523" s="27" t="b">
        <f aca="false">FALSE()</f>
        <v>0</v>
      </c>
      <c r="D1523" s="26" t="n">
        <v>45653</v>
      </c>
      <c r="E1523" s="25" t="n">
        <v>2024</v>
      </c>
      <c r="F1523" s="25" t="n">
        <v>4</v>
      </c>
      <c r="G1523" s="25" t="n">
        <v>12</v>
      </c>
    </row>
    <row r="1524" customFormat="false" ht="15" hidden="false" customHeight="false" outlineLevel="0" collapsed="false">
      <c r="A1524" s="25" t="n">
        <v>20241228</v>
      </c>
      <c r="B1524" s="25" t="s">
        <v>2242</v>
      </c>
      <c r="C1524" s="27" t="b">
        <f aca="false">TRUE()</f>
        <v>1</v>
      </c>
      <c r="D1524" s="26" t="n">
        <v>45654</v>
      </c>
      <c r="E1524" s="25" t="n">
        <v>2024</v>
      </c>
      <c r="F1524" s="25" t="n">
        <v>4</v>
      </c>
      <c r="G1524" s="25" t="n">
        <v>12</v>
      </c>
    </row>
    <row r="1525" customFormat="false" ht="15" hidden="false" customHeight="false" outlineLevel="0" collapsed="false">
      <c r="A1525" s="25" t="n">
        <v>20241229</v>
      </c>
      <c r="B1525" s="25" t="s">
        <v>2242</v>
      </c>
      <c r="C1525" s="27" t="b">
        <f aca="false">TRUE()</f>
        <v>1</v>
      </c>
      <c r="D1525" s="26" t="n">
        <v>45655</v>
      </c>
      <c r="E1525" s="25" t="n">
        <v>2024</v>
      </c>
      <c r="F1525" s="25" t="n">
        <v>4</v>
      </c>
      <c r="G1525" s="25" t="n">
        <v>12</v>
      </c>
    </row>
    <row r="1526" customFormat="false" ht="15" hidden="false" customHeight="false" outlineLevel="0" collapsed="false">
      <c r="A1526" s="25" t="n">
        <v>20241230</v>
      </c>
      <c r="B1526" s="25" t="s">
        <v>2242</v>
      </c>
      <c r="C1526" s="27" t="b">
        <f aca="false">FALSE()</f>
        <v>0</v>
      </c>
      <c r="D1526" s="26" t="n">
        <v>45656</v>
      </c>
      <c r="E1526" s="25" t="n">
        <v>2024</v>
      </c>
      <c r="F1526" s="25" t="n">
        <v>4</v>
      </c>
      <c r="G1526" s="25" t="n">
        <v>12</v>
      </c>
    </row>
    <row r="1527" customFormat="false" ht="15" hidden="false" customHeight="false" outlineLevel="0" collapsed="false">
      <c r="A1527" s="25" t="n">
        <v>20241231</v>
      </c>
      <c r="B1527" s="25" t="s">
        <v>2242</v>
      </c>
      <c r="C1527" s="27" t="b">
        <f aca="false">FALSE()</f>
        <v>0</v>
      </c>
      <c r="D1527" s="26" t="n">
        <v>45657</v>
      </c>
      <c r="E1527" s="25" t="n">
        <v>2024</v>
      </c>
      <c r="F1527" s="25" t="n">
        <v>4</v>
      </c>
      <c r="G1527" s="25" t="n">
        <v>12</v>
      </c>
    </row>
    <row r="1528" customFormat="false" ht="15" hidden="false" customHeight="false" outlineLevel="0" collapsed="false">
      <c r="A1528" s="25" t="n">
        <v>20250101</v>
      </c>
      <c r="B1528" s="25" t="s">
        <v>2243</v>
      </c>
      <c r="C1528" s="27" t="b">
        <f aca="false">FALSE()</f>
        <v>0</v>
      </c>
      <c r="D1528" s="26" t="n">
        <v>45658</v>
      </c>
      <c r="E1528" s="25" t="n">
        <v>2025</v>
      </c>
      <c r="F1528" s="25" t="n">
        <v>1</v>
      </c>
      <c r="G1528" s="25" t="n">
        <v>1</v>
      </c>
    </row>
    <row r="1529" customFormat="false" ht="15" hidden="false" customHeight="false" outlineLevel="0" collapsed="false">
      <c r="A1529" s="25" t="n">
        <v>20250102</v>
      </c>
      <c r="B1529" s="25" t="s">
        <v>2243</v>
      </c>
      <c r="C1529" s="27" t="b">
        <f aca="false">FALSE()</f>
        <v>0</v>
      </c>
      <c r="D1529" s="26" t="n">
        <v>45659</v>
      </c>
      <c r="E1529" s="25" t="n">
        <v>2025</v>
      </c>
      <c r="F1529" s="25" t="n">
        <v>1</v>
      </c>
      <c r="G1529" s="25" t="n">
        <v>1</v>
      </c>
    </row>
    <row r="1530" customFormat="false" ht="15" hidden="false" customHeight="false" outlineLevel="0" collapsed="false">
      <c r="A1530" s="25" t="n">
        <v>20250103</v>
      </c>
      <c r="B1530" s="25" t="s">
        <v>2243</v>
      </c>
      <c r="C1530" s="27" t="b">
        <f aca="false">FALSE()</f>
        <v>0</v>
      </c>
      <c r="D1530" s="26" t="n">
        <v>45660</v>
      </c>
      <c r="E1530" s="25" t="n">
        <v>2025</v>
      </c>
      <c r="F1530" s="25" t="n">
        <v>1</v>
      </c>
      <c r="G1530" s="25" t="n">
        <v>1</v>
      </c>
    </row>
    <row r="1531" customFormat="false" ht="15" hidden="false" customHeight="false" outlineLevel="0" collapsed="false">
      <c r="A1531" s="25" t="n">
        <v>20250104</v>
      </c>
      <c r="B1531" s="25" t="s">
        <v>2243</v>
      </c>
      <c r="C1531" s="27" t="b">
        <f aca="false">TRUE()</f>
        <v>1</v>
      </c>
      <c r="D1531" s="26" t="n">
        <v>45661</v>
      </c>
      <c r="E1531" s="25" t="n">
        <v>2025</v>
      </c>
      <c r="F1531" s="25" t="n">
        <v>1</v>
      </c>
      <c r="G1531" s="25" t="n">
        <v>1</v>
      </c>
    </row>
    <row r="1532" customFormat="false" ht="15" hidden="false" customHeight="false" outlineLevel="0" collapsed="false">
      <c r="A1532" s="25" t="n">
        <v>20250105</v>
      </c>
      <c r="B1532" s="25" t="s">
        <v>2243</v>
      </c>
      <c r="C1532" s="27" t="b">
        <f aca="false">TRUE()</f>
        <v>1</v>
      </c>
      <c r="D1532" s="26" t="n">
        <v>45662</v>
      </c>
      <c r="E1532" s="25" t="n">
        <v>2025</v>
      </c>
      <c r="F1532" s="25" t="n">
        <v>1</v>
      </c>
      <c r="G1532" s="25" t="n">
        <v>1</v>
      </c>
    </row>
    <row r="1533" customFormat="false" ht="15" hidden="false" customHeight="false" outlineLevel="0" collapsed="false">
      <c r="A1533" s="25" t="n">
        <v>20250106</v>
      </c>
      <c r="B1533" s="25" t="s">
        <v>2243</v>
      </c>
      <c r="C1533" s="27" t="b">
        <f aca="false">FALSE()</f>
        <v>0</v>
      </c>
      <c r="D1533" s="26" t="n">
        <v>45663</v>
      </c>
      <c r="E1533" s="25" t="n">
        <v>2025</v>
      </c>
      <c r="F1533" s="25" t="n">
        <v>1</v>
      </c>
      <c r="G1533" s="25" t="n">
        <v>1</v>
      </c>
    </row>
    <row r="1534" customFormat="false" ht="15" hidden="false" customHeight="false" outlineLevel="0" collapsed="false">
      <c r="A1534" s="25" t="n">
        <v>20250107</v>
      </c>
      <c r="B1534" s="25" t="s">
        <v>2243</v>
      </c>
      <c r="C1534" s="27" t="b">
        <f aca="false">FALSE()</f>
        <v>0</v>
      </c>
      <c r="D1534" s="26" t="n">
        <v>45664</v>
      </c>
      <c r="E1534" s="25" t="n">
        <v>2025</v>
      </c>
      <c r="F1534" s="25" t="n">
        <v>1</v>
      </c>
      <c r="G1534" s="25" t="n">
        <v>1</v>
      </c>
    </row>
    <row r="1535" customFormat="false" ht="15" hidden="false" customHeight="false" outlineLevel="0" collapsed="false">
      <c r="A1535" s="25" t="n">
        <v>20250108</v>
      </c>
      <c r="B1535" s="25" t="s">
        <v>2243</v>
      </c>
      <c r="C1535" s="27" t="b">
        <f aca="false">FALSE()</f>
        <v>0</v>
      </c>
      <c r="D1535" s="26" t="n">
        <v>45665</v>
      </c>
      <c r="E1535" s="25" t="n">
        <v>2025</v>
      </c>
      <c r="F1535" s="25" t="n">
        <v>1</v>
      </c>
      <c r="G1535" s="25" t="n">
        <v>1</v>
      </c>
    </row>
    <row r="1536" customFormat="false" ht="15" hidden="false" customHeight="false" outlineLevel="0" collapsed="false">
      <c r="A1536" s="25" t="n">
        <v>20250109</v>
      </c>
      <c r="B1536" s="25" t="s">
        <v>2243</v>
      </c>
      <c r="C1536" s="27" t="b">
        <f aca="false">FALSE()</f>
        <v>0</v>
      </c>
      <c r="D1536" s="26" t="n">
        <v>45666</v>
      </c>
      <c r="E1536" s="25" t="n">
        <v>2025</v>
      </c>
      <c r="F1536" s="25" t="n">
        <v>1</v>
      </c>
      <c r="G1536" s="25" t="n">
        <v>1</v>
      </c>
    </row>
    <row r="1537" customFormat="false" ht="15" hidden="false" customHeight="false" outlineLevel="0" collapsed="false">
      <c r="A1537" s="25" t="n">
        <v>20250110</v>
      </c>
      <c r="B1537" s="25" t="s">
        <v>2243</v>
      </c>
      <c r="C1537" s="27" t="b">
        <f aca="false">FALSE()</f>
        <v>0</v>
      </c>
      <c r="D1537" s="26" t="n">
        <v>45667</v>
      </c>
      <c r="E1537" s="25" t="n">
        <v>2025</v>
      </c>
      <c r="F1537" s="25" t="n">
        <v>1</v>
      </c>
      <c r="G1537" s="25" t="n">
        <v>1</v>
      </c>
    </row>
    <row r="1538" customFormat="false" ht="15" hidden="false" customHeight="false" outlineLevel="0" collapsed="false">
      <c r="A1538" s="25" t="n">
        <v>20250111</v>
      </c>
      <c r="B1538" s="25" t="s">
        <v>2243</v>
      </c>
      <c r="C1538" s="27" t="b">
        <f aca="false">TRUE()</f>
        <v>1</v>
      </c>
      <c r="D1538" s="26" t="n">
        <v>45668</v>
      </c>
      <c r="E1538" s="25" t="n">
        <v>2025</v>
      </c>
      <c r="F1538" s="25" t="n">
        <v>1</v>
      </c>
      <c r="G1538" s="25" t="n">
        <v>1</v>
      </c>
    </row>
    <row r="1539" customFormat="false" ht="15" hidden="false" customHeight="false" outlineLevel="0" collapsed="false">
      <c r="A1539" s="25" t="n">
        <v>20250112</v>
      </c>
      <c r="B1539" s="25" t="s">
        <v>2243</v>
      </c>
      <c r="C1539" s="27" t="b">
        <f aca="false">TRUE()</f>
        <v>1</v>
      </c>
      <c r="D1539" s="26" t="n">
        <v>45669</v>
      </c>
      <c r="E1539" s="25" t="n">
        <v>2025</v>
      </c>
      <c r="F1539" s="25" t="n">
        <v>1</v>
      </c>
      <c r="G1539" s="25" t="n">
        <v>1</v>
      </c>
    </row>
    <row r="1540" customFormat="false" ht="15" hidden="false" customHeight="false" outlineLevel="0" collapsed="false">
      <c r="A1540" s="25" t="n">
        <v>20250113</v>
      </c>
      <c r="B1540" s="25" t="s">
        <v>2243</v>
      </c>
      <c r="C1540" s="27" t="b">
        <f aca="false">FALSE()</f>
        <v>0</v>
      </c>
      <c r="D1540" s="26" t="n">
        <v>45670</v>
      </c>
      <c r="E1540" s="25" t="n">
        <v>2025</v>
      </c>
      <c r="F1540" s="25" t="n">
        <v>1</v>
      </c>
      <c r="G1540" s="25" t="n">
        <v>1</v>
      </c>
    </row>
    <row r="1541" customFormat="false" ht="15" hidden="false" customHeight="false" outlineLevel="0" collapsed="false">
      <c r="A1541" s="25" t="n">
        <v>20250114</v>
      </c>
      <c r="B1541" s="25" t="s">
        <v>2243</v>
      </c>
      <c r="C1541" s="27" t="b">
        <f aca="false">FALSE()</f>
        <v>0</v>
      </c>
      <c r="D1541" s="26" t="n">
        <v>45671</v>
      </c>
      <c r="E1541" s="25" t="n">
        <v>2025</v>
      </c>
      <c r="F1541" s="25" t="n">
        <v>1</v>
      </c>
      <c r="G1541" s="25" t="n">
        <v>1</v>
      </c>
    </row>
    <row r="1542" customFormat="false" ht="15" hidden="false" customHeight="false" outlineLevel="0" collapsed="false">
      <c r="A1542" s="25" t="n">
        <v>20250115</v>
      </c>
      <c r="B1542" s="25" t="s">
        <v>2243</v>
      </c>
      <c r="C1542" s="27" t="b">
        <f aca="false">FALSE()</f>
        <v>0</v>
      </c>
      <c r="D1542" s="26" t="n">
        <v>45672</v>
      </c>
      <c r="E1542" s="25" t="n">
        <v>2025</v>
      </c>
      <c r="F1542" s="25" t="n">
        <v>1</v>
      </c>
      <c r="G1542" s="25" t="n">
        <v>1</v>
      </c>
    </row>
    <row r="1543" customFormat="false" ht="15" hidden="false" customHeight="false" outlineLevel="0" collapsed="false">
      <c r="A1543" s="25" t="n">
        <v>20250116</v>
      </c>
      <c r="B1543" s="25" t="s">
        <v>2243</v>
      </c>
      <c r="C1543" s="27" t="b">
        <f aca="false">FALSE()</f>
        <v>0</v>
      </c>
      <c r="D1543" s="26" t="n">
        <v>45673</v>
      </c>
      <c r="E1543" s="25" t="n">
        <v>2025</v>
      </c>
      <c r="F1543" s="25" t="n">
        <v>1</v>
      </c>
      <c r="G1543" s="25" t="n">
        <v>1</v>
      </c>
    </row>
    <row r="1544" customFormat="false" ht="15" hidden="false" customHeight="false" outlineLevel="0" collapsed="false">
      <c r="A1544" s="25" t="n">
        <v>20250117</v>
      </c>
      <c r="B1544" s="25" t="s">
        <v>2243</v>
      </c>
      <c r="C1544" s="27" t="b">
        <f aca="false">FALSE()</f>
        <v>0</v>
      </c>
      <c r="D1544" s="26" t="n">
        <v>45674</v>
      </c>
      <c r="E1544" s="25" t="n">
        <v>2025</v>
      </c>
      <c r="F1544" s="25" t="n">
        <v>1</v>
      </c>
      <c r="G1544" s="25" t="n">
        <v>1</v>
      </c>
    </row>
    <row r="1545" customFormat="false" ht="15" hidden="false" customHeight="false" outlineLevel="0" collapsed="false">
      <c r="A1545" s="25" t="n">
        <v>20250118</v>
      </c>
      <c r="B1545" s="25" t="s">
        <v>2243</v>
      </c>
      <c r="C1545" s="27" t="b">
        <f aca="false">TRUE()</f>
        <v>1</v>
      </c>
      <c r="D1545" s="26" t="n">
        <v>45675</v>
      </c>
      <c r="E1545" s="25" t="n">
        <v>2025</v>
      </c>
      <c r="F1545" s="25" t="n">
        <v>1</v>
      </c>
      <c r="G1545" s="25" t="n">
        <v>1</v>
      </c>
    </row>
    <row r="1546" customFormat="false" ht="15" hidden="false" customHeight="false" outlineLevel="0" collapsed="false">
      <c r="A1546" s="25" t="n">
        <v>20250119</v>
      </c>
      <c r="B1546" s="25" t="s">
        <v>2243</v>
      </c>
      <c r="C1546" s="27" t="b">
        <f aca="false">TRUE()</f>
        <v>1</v>
      </c>
      <c r="D1546" s="26" t="n">
        <v>45676</v>
      </c>
      <c r="E1546" s="25" t="n">
        <v>2025</v>
      </c>
      <c r="F1546" s="25" t="n">
        <v>1</v>
      </c>
      <c r="G1546" s="25" t="n">
        <v>1</v>
      </c>
    </row>
    <row r="1547" customFormat="false" ht="15" hidden="false" customHeight="false" outlineLevel="0" collapsed="false">
      <c r="A1547" s="25" t="n">
        <v>20250120</v>
      </c>
      <c r="B1547" s="25" t="s">
        <v>2243</v>
      </c>
      <c r="C1547" s="27" t="b">
        <f aca="false">FALSE()</f>
        <v>0</v>
      </c>
      <c r="D1547" s="26" t="n">
        <v>45677</v>
      </c>
      <c r="E1547" s="25" t="n">
        <v>2025</v>
      </c>
      <c r="F1547" s="25" t="n">
        <v>1</v>
      </c>
      <c r="G1547" s="25" t="n">
        <v>1</v>
      </c>
    </row>
    <row r="1548" customFormat="false" ht="15" hidden="false" customHeight="false" outlineLevel="0" collapsed="false">
      <c r="A1548" s="25" t="n">
        <v>20250121</v>
      </c>
      <c r="B1548" s="25" t="s">
        <v>2243</v>
      </c>
      <c r="C1548" s="27" t="b">
        <f aca="false">FALSE()</f>
        <v>0</v>
      </c>
      <c r="D1548" s="26" t="n">
        <v>45678</v>
      </c>
      <c r="E1548" s="25" t="n">
        <v>2025</v>
      </c>
      <c r="F1548" s="25" t="n">
        <v>1</v>
      </c>
      <c r="G1548" s="25" t="n">
        <v>1</v>
      </c>
    </row>
    <row r="1549" customFormat="false" ht="15" hidden="false" customHeight="false" outlineLevel="0" collapsed="false">
      <c r="A1549" s="25" t="n">
        <v>20250122</v>
      </c>
      <c r="B1549" s="25" t="s">
        <v>2243</v>
      </c>
      <c r="C1549" s="27" t="b">
        <f aca="false">FALSE()</f>
        <v>0</v>
      </c>
      <c r="D1549" s="26" t="n">
        <v>45679</v>
      </c>
      <c r="E1549" s="25" t="n">
        <v>2025</v>
      </c>
      <c r="F1549" s="25" t="n">
        <v>1</v>
      </c>
      <c r="G1549" s="25" t="n">
        <v>1</v>
      </c>
    </row>
    <row r="1550" customFormat="false" ht="15" hidden="false" customHeight="false" outlineLevel="0" collapsed="false">
      <c r="A1550" s="25" t="n">
        <v>20250123</v>
      </c>
      <c r="B1550" s="25" t="s">
        <v>2243</v>
      </c>
      <c r="C1550" s="27" t="b">
        <f aca="false">FALSE()</f>
        <v>0</v>
      </c>
      <c r="D1550" s="26" t="n">
        <v>45680</v>
      </c>
      <c r="E1550" s="25" t="n">
        <v>2025</v>
      </c>
      <c r="F1550" s="25" t="n">
        <v>1</v>
      </c>
      <c r="G1550" s="25" t="n">
        <v>1</v>
      </c>
    </row>
    <row r="1551" customFormat="false" ht="15" hidden="false" customHeight="false" outlineLevel="0" collapsed="false">
      <c r="A1551" s="25" t="n">
        <v>20250124</v>
      </c>
      <c r="B1551" s="25" t="s">
        <v>2243</v>
      </c>
      <c r="C1551" s="27" t="b">
        <f aca="false">FALSE()</f>
        <v>0</v>
      </c>
      <c r="D1551" s="26" t="n">
        <v>45681</v>
      </c>
      <c r="E1551" s="25" t="n">
        <v>2025</v>
      </c>
      <c r="F1551" s="25" t="n">
        <v>1</v>
      </c>
      <c r="G1551" s="25" t="n">
        <v>1</v>
      </c>
    </row>
    <row r="1552" customFormat="false" ht="15" hidden="false" customHeight="false" outlineLevel="0" collapsed="false">
      <c r="A1552" s="25" t="n">
        <v>20250125</v>
      </c>
      <c r="B1552" s="25" t="s">
        <v>2243</v>
      </c>
      <c r="C1552" s="27" t="b">
        <f aca="false">TRUE()</f>
        <v>1</v>
      </c>
      <c r="D1552" s="26" t="n">
        <v>45682</v>
      </c>
      <c r="E1552" s="25" t="n">
        <v>2025</v>
      </c>
      <c r="F1552" s="25" t="n">
        <v>1</v>
      </c>
      <c r="G1552" s="25" t="n">
        <v>1</v>
      </c>
    </row>
    <row r="1553" customFormat="false" ht="15" hidden="false" customHeight="false" outlineLevel="0" collapsed="false">
      <c r="A1553" s="25" t="n">
        <v>20250126</v>
      </c>
      <c r="B1553" s="25" t="s">
        <v>2243</v>
      </c>
      <c r="C1553" s="27" t="b">
        <f aca="false">TRUE()</f>
        <v>1</v>
      </c>
      <c r="D1553" s="26" t="n">
        <v>45683</v>
      </c>
      <c r="E1553" s="25" t="n">
        <v>2025</v>
      </c>
      <c r="F1553" s="25" t="n">
        <v>1</v>
      </c>
      <c r="G1553" s="25" t="n">
        <v>1</v>
      </c>
    </row>
    <row r="1554" customFormat="false" ht="15" hidden="false" customHeight="false" outlineLevel="0" collapsed="false">
      <c r="A1554" s="25" t="n">
        <v>20250127</v>
      </c>
      <c r="B1554" s="25" t="s">
        <v>2243</v>
      </c>
      <c r="C1554" s="27" t="b">
        <f aca="false">FALSE()</f>
        <v>0</v>
      </c>
      <c r="D1554" s="26" t="n">
        <v>45684</v>
      </c>
      <c r="E1554" s="25" t="n">
        <v>2025</v>
      </c>
      <c r="F1554" s="25" t="n">
        <v>1</v>
      </c>
      <c r="G1554" s="25" t="n">
        <v>1</v>
      </c>
    </row>
    <row r="1555" customFormat="false" ht="15" hidden="false" customHeight="false" outlineLevel="0" collapsed="false">
      <c r="A1555" s="25" t="n">
        <v>20250128</v>
      </c>
      <c r="B1555" s="25" t="s">
        <v>2243</v>
      </c>
      <c r="C1555" s="27" t="b">
        <f aca="false">FALSE()</f>
        <v>0</v>
      </c>
      <c r="D1555" s="26" t="n">
        <v>45685</v>
      </c>
      <c r="E1555" s="25" t="n">
        <v>2025</v>
      </c>
      <c r="F1555" s="25" t="n">
        <v>1</v>
      </c>
      <c r="G1555" s="25" t="n">
        <v>1</v>
      </c>
    </row>
    <row r="1556" customFormat="false" ht="15" hidden="false" customHeight="false" outlineLevel="0" collapsed="false">
      <c r="A1556" s="25" t="n">
        <v>20250129</v>
      </c>
      <c r="B1556" s="25" t="s">
        <v>2243</v>
      </c>
      <c r="C1556" s="27" t="b">
        <f aca="false">FALSE()</f>
        <v>0</v>
      </c>
      <c r="D1556" s="26" t="n">
        <v>45686</v>
      </c>
      <c r="E1556" s="25" t="n">
        <v>2025</v>
      </c>
      <c r="F1556" s="25" t="n">
        <v>1</v>
      </c>
      <c r="G1556" s="25" t="n">
        <v>1</v>
      </c>
    </row>
    <row r="1557" customFormat="false" ht="15" hidden="false" customHeight="false" outlineLevel="0" collapsed="false">
      <c r="A1557" s="25" t="n">
        <v>20250130</v>
      </c>
      <c r="B1557" s="25" t="s">
        <v>2243</v>
      </c>
      <c r="C1557" s="27" t="b">
        <f aca="false">FALSE()</f>
        <v>0</v>
      </c>
      <c r="D1557" s="26" t="n">
        <v>45687</v>
      </c>
      <c r="E1557" s="25" t="n">
        <v>2025</v>
      </c>
      <c r="F1557" s="25" t="n">
        <v>1</v>
      </c>
      <c r="G1557" s="25" t="n">
        <v>1</v>
      </c>
    </row>
    <row r="1558" customFormat="false" ht="15" hidden="false" customHeight="false" outlineLevel="0" collapsed="false">
      <c r="A1558" s="25" t="n">
        <v>20250131</v>
      </c>
      <c r="B1558" s="25" t="s">
        <v>2243</v>
      </c>
      <c r="C1558" s="27" t="b">
        <f aca="false">FALSE()</f>
        <v>0</v>
      </c>
      <c r="D1558" s="26" t="n">
        <v>45688</v>
      </c>
      <c r="E1558" s="25" t="n">
        <v>2025</v>
      </c>
      <c r="F1558" s="25" t="n">
        <v>1</v>
      </c>
      <c r="G1558" s="25" t="n">
        <v>1</v>
      </c>
    </row>
    <row r="1559" customFormat="false" ht="15" hidden="false" customHeight="false" outlineLevel="0" collapsed="false">
      <c r="A1559" s="25" t="n">
        <v>20250201</v>
      </c>
      <c r="B1559" s="25" t="s">
        <v>2244</v>
      </c>
      <c r="C1559" s="27" t="b">
        <f aca="false">TRUE()</f>
        <v>1</v>
      </c>
      <c r="D1559" s="26" t="n">
        <v>45689</v>
      </c>
      <c r="E1559" s="25" t="n">
        <v>2025</v>
      </c>
      <c r="F1559" s="25" t="n">
        <v>1</v>
      </c>
      <c r="G1559" s="25" t="n">
        <v>2</v>
      </c>
    </row>
    <row r="1560" customFormat="false" ht="15" hidden="false" customHeight="false" outlineLevel="0" collapsed="false">
      <c r="A1560" s="25" t="n">
        <v>20250202</v>
      </c>
      <c r="B1560" s="25" t="s">
        <v>2244</v>
      </c>
      <c r="C1560" s="27" t="b">
        <f aca="false">TRUE()</f>
        <v>1</v>
      </c>
      <c r="D1560" s="26" t="n">
        <v>45690</v>
      </c>
      <c r="E1560" s="25" t="n">
        <v>2025</v>
      </c>
      <c r="F1560" s="25" t="n">
        <v>1</v>
      </c>
      <c r="G1560" s="25" t="n">
        <v>2</v>
      </c>
    </row>
    <row r="1561" customFormat="false" ht="15" hidden="false" customHeight="false" outlineLevel="0" collapsed="false">
      <c r="A1561" s="25" t="n">
        <v>20250203</v>
      </c>
      <c r="B1561" s="25" t="s">
        <v>2244</v>
      </c>
      <c r="C1561" s="27" t="b">
        <f aca="false">FALSE()</f>
        <v>0</v>
      </c>
      <c r="D1561" s="26" t="n">
        <v>45691</v>
      </c>
      <c r="E1561" s="25" t="n">
        <v>2025</v>
      </c>
      <c r="F1561" s="25" t="n">
        <v>1</v>
      </c>
      <c r="G1561" s="25" t="n">
        <v>2</v>
      </c>
    </row>
    <row r="1562" customFormat="false" ht="15" hidden="false" customHeight="false" outlineLevel="0" collapsed="false">
      <c r="A1562" s="25" t="n">
        <v>20250204</v>
      </c>
      <c r="B1562" s="25" t="s">
        <v>2244</v>
      </c>
      <c r="C1562" s="27" t="b">
        <f aca="false">FALSE()</f>
        <v>0</v>
      </c>
      <c r="D1562" s="26" t="n">
        <v>45692</v>
      </c>
      <c r="E1562" s="25" t="n">
        <v>2025</v>
      </c>
      <c r="F1562" s="25" t="n">
        <v>1</v>
      </c>
      <c r="G1562" s="25" t="n">
        <v>2</v>
      </c>
    </row>
    <row r="1563" customFormat="false" ht="15" hidden="false" customHeight="false" outlineLevel="0" collapsed="false">
      <c r="A1563" s="25" t="n">
        <v>20250205</v>
      </c>
      <c r="B1563" s="25" t="s">
        <v>2244</v>
      </c>
      <c r="C1563" s="27" t="b">
        <f aca="false">FALSE()</f>
        <v>0</v>
      </c>
      <c r="D1563" s="26" t="n">
        <v>45693</v>
      </c>
      <c r="E1563" s="25" t="n">
        <v>2025</v>
      </c>
      <c r="F1563" s="25" t="n">
        <v>1</v>
      </c>
      <c r="G1563" s="25" t="n">
        <v>2</v>
      </c>
    </row>
    <row r="1564" customFormat="false" ht="15" hidden="false" customHeight="false" outlineLevel="0" collapsed="false">
      <c r="A1564" s="25" t="n">
        <v>20250206</v>
      </c>
      <c r="B1564" s="25" t="s">
        <v>2244</v>
      </c>
      <c r="C1564" s="27" t="b">
        <f aca="false">FALSE()</f>
        <v>0</v>
      </c>
      <c r="D1564" s="26" t="n">
        <v>45694</v>
      </c>
      <c r="E1564" s="25" t="n">
        <v>2025</v>
      </c>
      <c r="F1564" s="25" t="n">
        <v>1</v>
      </c>
      <c r="G1564" s="25" t="n">
        <v>2</v>
      </c>
    </row>
    <row r="1565" customFormat="false" ht="15" hidden="false" customHeight="false" outlineLevel="0" collapsed="false">
      <c r="A1565" s="25" t="n">
        <v>20250207</v>
      </c>
      <c r="B1565" s="25" t="s">
        <v>2244</v>
      </c>
      <c r="C1565" s="27" t="b">
        <f aca="false">FALSE()</f>
        <v>0</v>
      </c>
      <c r="D1565" s="26" t="n">
        <v>45695</v>
      </c>
      <c r="E1565" s="25" t="n">
        <v>2025</v>
      </c>
      <c r="F1565" s="25" t="n">
        <v>1</v>
      </c>
      <c r="G1565" s="25" t="n">
        <v>2</v>
      </c>
    </row>
    <row r="1566" customFormat="false" ht="15" hidden="false" customHeight="false" outlineLevel="0" collapsed="false">
      <c r="A1566" s="25" t="n">
        <v>20250208</v>
      </c>
      <c r="B1566" s="25" t="s">
        <v>2244</v>
      </c>
      <c r="C1566" s="27" t="b">
        <f aca="false">TRUE()</f>
        <v>1</v>
      </c>
      <c r="D1566" s="26" t="n">
        <v>45696</v>
      </c>
      <c r="E1566" s="25" t="n">
        <v>2025</v>
      </c>
      <c r="F1566" s="25" t="n">
        <v>1</v>
      </c>
      <c r="G1566" s="25" t="n">
        <v>2</v>
      </c>
    </row>
    <row r="1567" customFormat="false" ht="15" hidden="false" customHeight="false" outlineLevel="0" collapsed="false">
      <c r="A1567" s="25" t="n">
        <v>20250209</v>
      </c>
      <c r="B1567" s="25" t="s">
        <v>2244</v>
      </c>
      <c r="C1567" s="27" t="b">
        <f aca="false">TRUE()</f>
        <v>1</v>
      </c>
      <c r="D1567" s="26" t="n">
        <v>45697</v>
      </c>
      <c r="E1567" s="25" t="n">
        <v>2025</v>
      </c>
      <c r="F1567" s="25" t="n">
        <v>1</v>
      </c>
      <c r="G1567" s="25" t="n">
        <v>2</v>
      </c>
    </row>
    <row r="1568" customFormat="false" ht="15" hidden="false" customHeight="false" outlineLevel="0" collapsed="false">
      <c r="A1568" s="25" t="n">
        <v>20250210</v>
      </c>
      <c r="B1568" s="25" t="s">
        <v>2244</v>
      </c>
      <c r="C1568" s="27" t="b">
        <f aca="false">FALSE()</f>
        <v>0</v>
      </c>
      <c r="D1568" s="26" t="n">
        <v>45698</v>
      </c>
      <c r="E1568" s="25" t="n">
        <v>2025</v>
      </c>
      <c r="F1568" s="25" t="n">
        <v>1</v>
      </c>
      <c r="G1568" s="25" t="n">
        <v>2</v>
      </c>
    </row>
    <row r="1569" customFormat="false" ht="15" hidden="false" customHeight="false" outlineLevel="0" collapsed="false">
      <c r="A1569" s="25" t="n">
        <v>20250211</v>
      </c>
      <c r="B1569" s="25" t="s">
        <v>2244</v>
      </c>
      <c r="C1569" s="27" t="b">
        <f aca="false">FALSE()</f>
        <v>0</v>
      </c>
      <c r="D1569" s="26" t="n">
        <v>45699</v>
      </c>
      <c r="E1569" s="25" t="n">
        <v>2025</v>
      </c>
      <c r="F1569" s="25" t="n">
        <v>1</v>
      </c>
      <c r="G1569" s="25" t="n">
        <v>2</v>
      </c>
    </row>
    <row r="1570" customFormat="false" ht="15" hidden="false" customHeight="false" outlineLevel="0" collapsed="false">
      <c r="A1570" s="25" t="n">
        <v>20250212</v>
      </c>
      <c r="B1570" s="25" t="s">
        <v>2244</v>
      </c>
      <c r="C1570" s="27" t="b">
        <f aca="false">FALSE()</f>
        <v>0</v>
      </c>
      <c r="D1570" s="26" t="n">
        <v>45700</v>
      </c>
      <c r="E1570" s="25" t="n">
        <v>2025</v>
      </c>
      <c r="F1570" s="25" t="n">
        <v>1</v>
      </c>
      <c r="G1570" s="25" t="n">
        <v>2</v>
      </c>
    </row>
    <row r="1571" customFormat="false" ht="15" hidden="false" customHeight="false" outlineLevel="0" collapsed="false">
      <c r="A1571" s="25" t="n">
        <v>20250213</v>
      </c>
      <c r="B1571" s="25" t="s">
        <v>2244</v>
      </c>
      <c r="C1571" s="27" t="b">
        <f aca="false">FALSE()</f>
        <v>0</v>
      </c>
      <c r="D1571" s="26" t="n">
        <v>45701</v>
      </c>
      <c r="E1571" s="25" t="n">
        <v>2025</v>
      </c>
      <c r="F1571" s="25" t="n">
        <v>1</v>
      </c>
      <c r="G1571" s="25" t="n">
        <v>2</v>
      </c>
    </row>
    <row r="1572" customFormat="false" ht="15" hidden="false" customHeight="false" outlineLevel="0" collapsed="false">
      <c r="A1572" s="25" t="n">
        <v>20250214</v>
      </c>
      <c r="B1572" s="25" t="s">
        <v>2244</v>
      </c>
      <c r="C1572" s="27" t="b">
        <f aca="false">FALSE()</f>
        <v>0</v>
      </c>
      <c r="D1572" s="26" t="n">
        <v>45702</v>
      </c>
      <c r="E1572" s="25" t="n">
        <v>2025</v>
      </c>
      <c r="F1572" s="25" t="n">
        <v>1</v>
      </c>
      <c r="G1572" s="25" t="n">
        <v>2</v>
      </c>
    </row>
    <row r="1573" customFormat="false" ht="15" hidden="false" customHeight="false" outlineLevel="0" collapsed="false">
      <c r="A1573" s="25" t="n">
        <v>20250215</v>
      </c>
      <c r="B1573" s="25" t="s">
        <v>2244</v>
      </c>
      <c r="C1573" s="27" t="b">
        <f aca="false">TRUE()</f>
        <v>1</v>
      </c>
      <c r="D1573" s="26" t="n">
        <v>45703</v>
      </c>
      <c r="E1573" s="25" t="n">
        <v>2025</v>
      </c>
      <c r="F1573" s="25" t="n">
        <v>1</v>
      </c>
      <c r="G1573" s="25" t="n">
        <v>2</v>
      </c>
    </row>
    <row r="1574" customFormat="false" ht="15" hidden="false" customHeight="false" outlineLevel="0" collapsed="false">
      <c r="A1574" s="25" t="n">
        <v>20250216</v>
      </c>
      <c r="B1574" s="25" t="s">
        <v>2244</v>
      </c>
      <c r="C1574" s="27" t="b">
        <f aca="false">TRUE()</f>
        <v>1</v>
      </c>
      <c r="D1574" s="26" t="n">
        <v>45704</v>
      </c>
      <c r="E1574" s="25" t="n">
        <v>2025</v>
      </c>
      <c r="F1574" s="25" t="n">
        <v>1</v>
      </c>
      <c r="G1574" s="25" t="n">
        <v>2</v>
      </c>
    </row>
    <row r="1575" customFormat="false" ht="15" hidden="false" customHeight="false" outlineLevel="0" collapsed="false">
      <c r="A1575" s="25" t="n">
        <v>20250217</v>
      </c>
      <c r="B1575" s="25" t="s">
        <v>2244</v>
      </c>
      <c r="C1575" s="27" t="b">
        <f aca="false">FALSE()</f>
        <v>0</v>
      </c>
      <c r="D1575" s="26" t="n">
        <v>45705</v>
      </c>
      <c r="E1575" s="25" t="n">
        <v>2025</v>
      </c>
      <c r="F1575" s="25" t="n">
        <v>1</v>
      </c>
      <c r="G1575" s="25" t="n">
        <v>2</v>
      </c>
    </row>
    <row r="1576" customFormat="false" ht="15" hidden="false" customHeight="false" outlineLevel="0" collapsed="false">
      <c r="A1576" s="25" t="n">
        <v>20250218</v>
      </c>
      <c r="B1576" s="25" t="s">
        <v>2244</v>
      </c>
      <c r="C1576" s="27" t="b">
        <f aca="false">FALSE()</f>
        <v>0</v>
      </c>
      <c r="D1576" s="26" t="n">
        <v>45706</v>
      </c>
      <c r="E1576" s="25" t="n">
        <v>2025</v>
      </c>
      <c r="F1576" s="25" t="n">
        <v>1</v>
      </c>
      <c r="G1576" s="25" t="n">
        <v>2</v>
      </c>
    </row>
    <row r="1577" customFormat="false" ht="15" hidden="false" customHeight="false" outlineLevel="0" collapsed="false">
      <c r="A1577" s="25" t="n">
        <v>20250219</v>
      </c>
      <c r="B1577" s="25" t="s">
        <v>2244</v>
      </c>
      <c r="C1577" s="27" t="b">
        <f aca="false">FALSE()</f>
        <v>0</v>
      </c>
      <c r="D1577" s="26" t="n">
        <v>45707</v>
      </c>
      <c r="E1577" s="25" t="n">
        <v>2025</v>
      </c>
      <c r="F1577" s="25" t="n">
        <v>1</v>
      </c>
      <c r="G1577" s="25" t="n">
        <v>2</v>
      </c>
    </row>
    <row r="1578" customFormat="false" ht="15" hidden="false" customHeight="false" outlineLevel="0" collapsed="false">
      <c r="A1578" s="25" t="n">
        <v>20250220</v>
      </c>
      <c r="B1578" s="25" t="s">
        <v>2244</v>
      </c>
      <c r="C1578" s="27" t="b">
        <f aca="false">FALSE()</f>
        <v>0</v>
      </c>
      <c r="D1578" s="26" t="n">
        <v>45708</v>
      </c>
      <c r="E1578" s="25" t="n">
        <v>2025</v>
      </c>
      <c r="F1578" s="25" t="n">
        <v>1</v>
      </c>
      <c r="G1578" s="25" t="n">
        <v>2</v>
      </c>
    </row>
    <row r="1579" customFormat="false" ht="15" hidden="false" customHeight="false" outlineLevel="0" collapsed="false">
      <c r="A1579" s="25" t="n">
        <v>20250221</v>
      </c>
      <c r="B1579" s="25" t="s">
        <v>2244</v>
      </c>
      <c r="C1579" s="27" t="b">
        <f aca="false">FALSE()</f>
        <v>0</v>
      </c>
      <c r="D1579" s="26" t="n">
        <v>45709</v>
      </c>
      <c r="E1579" s="25" t="n">
        <v>2025</v>
      </c>
      <c r="F1579" s="25" t="n">
        <v>1</v>
      </c>
      <c r="G1579" s="25" t="n">
        <v>2</v>
      </c>
    </row>
    <row r="1580" customFormat="false" ht="15" hidden="false" customHeight="false" outlineLevel="0" collapsed="false">
      <c r="A1580" s="25" t="n">
        <v>20250222</v>
      </c>
      <c r="B1580" s="25" t="s">
        <v>2244</v>
      </c>
      <c r="C1580" s="27" t="b">
        <f aca="false">TRUE()</f>
        <v>1</v>
      </c>
      <c r="D1580" s="26" t="n">
        <v>45710</v>
      </c>
      <c r="E1580" s="25" t="n">
        <v>2025</v>
      </c>
      <c r="F1580" s="25" t="n">
        <v>1</v>
      </c>
      <c r="G1580" s="25" t="n">
        <v>2</v>
      </c>
    </row>
    <row r="1581" customFormat="false" ht="15" hidden="false" customHeight="false" outlineLevel="0" collapsed="false">
      <c r="A1581" s="25" t="n">
        <v>20250223</v>
      </c>
      <c r="B1581" s="25" t="s">
        <v>2244</v>
      </c>
      <c r="C1581" s="27" t="b">
        <f aca="false">TRUE()</f>
        <v>1</v>
      </c>
      <c r="D1581" s="26" t="n">
        <v>45711</v>
      </c>
      <c r="E1581" s="25" t="n">
        <v>2025</v>
      </c>
      <c r="F1581" s="25" t="n">
        <v>1</v>
      </c>
      <c r="G1581" s="25" t="n">
        <v>2</v>
      </c>
    </row>
    <row r="1582" customFormat="false" ht="15" hidden="false" customHeight="false" outlineLevel="0" collapsed="false">
      <c r="A1582" s="25" t="n">
        <v>20250224</v>
      </c>
      <c r="B1582" s="25" t="s">
        <v>2244</v>
      </c>
      <c r="C1582" s="27" t="b">
        <f aca="false">FALSE()</f>
        <v>0</v>
      </c>
      <c r="D1582" s="26" t="n">
        <v>45712</v>
      </c>
      <c r="E1582" s="25" t="n">
        <v>2025</v>
      </c>
      <c r="F1582" s="25" t="n">
        <v>1</v>
      </c>
      <c r="G1582" s="25" t="n">
        <v>2</v>
      </c>
    </row>
    <row r="1583" customFormat="false" ht="15" hidden="false" customHeight="false" outlineLevel="0" collapsed="false">
      <c r="A1583" s="25" t="n">
        <v>20250225</v>
      </c>
      <c r="B1583" s="25" t="s">
        <v>2244</v>
      </c>
      <c r="C1583" s="27" t="b">
        <f aca="false">FALSE()</f>
        <v>0</v>
      </c>
      <c r="D1583" s="26" t="n">
        <v>45713</v>
      </c>
      <c r="E1583" s="25" t="n">
        <v>2025</v>
      </c>
      <c r="F1583" s="25" t="n">
        <v>1</v>
      </c>
      <c r="G1583" s="25" t="n">
        <v>2</v>
      </c>
    </row>
    <row r="1584" customFormat="false" ht="15" hidden="false" customHeight="false" outlineLevel="0" collapsed="false">
      <c r="A1584" s="25" t="n">
        <v>20250226</v>
      </c>
      <c r="B1584" s="25" t="s">
        <v>2244</v>
      </c>
      <c r="C1584" s="27" t="b">
        <f aca="false">FALSE()</f>
        <v>0</v>
      </c>
      <c r="D1584" s="26" t="n">
        <v>45714</v>
      </c>
      <c r="E1584" s="25" t="n">
        <v>2025</v>
      </c>
      <c r="F1584" s="25" t="n">
        <v>1</v>
      </c>
      <c r="G1584" s="25" t="n">
        <v>2</v>
      </c>
    </row>
    <row r="1585" customFormat="false" ht="15" hidden="false" customHeight="false" outlineLevel="0" collapsed="false">
      <c r="A1585" s="25" t="n">
        <v>20250227</v>
      </c>
      <c r="B1585" s="25" t="s">
        <v>2244</v>
      </c>
      <c r="C1585" s="27" t="b">
        <f aca="false">FALSE()</f>
        <v>0</v>
      </c>
      <c r="D1585" s="26" t="n">
        <v>45715</v>
      </c>
      <c r="E1585" s="25" t="n">
        <v>2025</v>
      </c>
      <c r="F1585" s="25" t="n">
        <v>1</v>
      </c>
      <c r="G1585" s="25" t="n">
        <v>2</v>
      </c>
    </row>
    <row r="1586" customFormat="false" ht="15" hidden="false" customHeight="false" outlineLevel="0" collapsed="false">
      <c r="A1586" s="25" t="n">
        <v>20250228</v>
      </c>
      <c r="B1586" s="25" t="s">
        <v>2244</v>
      </c>
      <c r="C1586" s="27" t="b">
        <f aca="false">FALSE()</f>
        <v>0</v>
      </c>
      <c r="D1586" s="26" t="n">
        <v>45716</v>
      </c>
      <c r="E1586" s="25" t="n">
        <v>2025</v>
      </c>
      <c r="F1586" s="25" t="n">
        <v>1</v>
      </c>
      <c r="G1586" s="25" t="n">
        <v>2</v>
      </c>
    </row>
    <row r="1587" customFormat="false" ht="15" hidden="false" customHeight="false" outlineLevel="0" collapsed="false">
      <c r="A1587" s="25" t="n">
        <v>20250301</v>
      </c>
      <c r="B1587" s="25" t="s">
        <v>2245</v>
      </c>
      <c r="C1587" s="27" t="b">
        <f aca="false">TRUE()</f>
        <v>1</v>
      </c>
      <c r="D1587" s="26" t="n">
        <v>45717</v>
      </c>
      <c r="E1587" s="25" t="n">
        <v>2025</v>
      </c>
      <c r="F1587" s="25" t="n">
        <v>1</v>
      </c>
      <c r="G1587" s="25" t="n">
        <v>3</v>
      </c>
    </row>
    <row r="1588" customFormat="false" ht="15" hidden="false" customHeight="false" outlineLevel="0" collapsed="false">
      <c r="A1588" s="25" t="n">
        <v>20250302</v>
      </c>
      <c r="B1588" s="25" t="s">
        <v>2245</v>
      </c>
      <c r="C1588" s="27" t="b">
        <f aca="false">TRUE()</f>
        <v>1</v>
      </c>
      <c r="D1588" s="26" t="n">
        <v>45718</v>
      </c>
      <c r="E1588" s="25" t="n">
        <v>2025</v>
      </c>
      <c r="F1588" s="25" t="n">
        <v>1</v>
      </c>
      <c r="G1588" s="25" t="n">
        <v>3</v>
      </c>
    </row>
    <row r="1589" customFormat="false" ht="15" hidden="false" customHeight="false" outlineLevel="0" collapsed="false">
      <c r="A1589" s="25" t="n">
        <v>20250303</v>
      </c>
      <c r="B1589" s="25" t="s">
        <v>2245</v>
      </c>
      <c r="C1589" s="27" t="b">
        <f aca="false">FALSE()</f>
        <v>0</v>
      </c>
      <c r="D1589" s="26" t="n">
        <v>45719</v>
      </c>
      <c r="E1589" s="25" t="n">
        <v>2025</v>
      </c>
      <c r="F1589" s="25" t="n">
        <v>1</v>
      </c>
      <c r="G1589" s="25" t="n">
        <v>3</v>
      </c>
    </row>
    <row r="1590" customFormat="false" ht="15" hidden="false" customHeight="false" outlineLevel="0" collapsed="false">
      <c r="A1590" s="25" t="n">
        <v>20250304</v>
      </c>
      <c r="B1590" s="25" t="s">
        <v>2245</v>
      </c>
      <c r="C1590" s="27" t="b">
        <f aca="false">FALSE()</f>
        <v>0</v>
      </c>
      <c r="D1590" s="26" t="n">
        <v>45720</v>
      </c>
      <c r="E1590" s="25" t="n">
        <v>2025</v>
      </c>
      <c r="F1590" s="25" t="n">
        <v>1</v>
      </c>
      <c r="G1590" s="25" t="n">
        <v>3</v>
      </c>
    </row>
    <row r="1591" customFormat="false" ht="15" hidden="false" customHeight="false" outlineLevel="0" collapsed="false">
      <c r="A1591" s="25" t="n">
        <v>20250305</v>
      </c>
      <c r="B1591" s="25" t="s">
        <v>2245</v>
      </c>
      <c r="C1591" s="27" t="b">
        <f aca="false">FALSE()</f>
        <v>0</v>
      </c>
      <c r="D1591" s="26" t="n">
        <v>45721</v>
      </c>
      <c r="E1591" s="25" t="n">
        <v>2025</v>
      </c>
      <c r="F1591" s="25" t="n">
        <v>1</v>
      </c>
      <c r="G1591" s="25" t="n">
        <v>3</v>
      </c>
    </row>
    <row r="1592" customFormat="false" ht="15" hidden="false" customHeight="false" outlineLevel="0" collapsed="false">
      <c r="A1592" s="25" t="n">
        <v>20250306</v>
      </c>
      <c r="B1592" s="25" t="s">
        <v>2245</v>
      </c>
      <c r="C1592" s="27" t="b">
        <f aca="false">FALSE()</f>
        <v>0</v>
      </c>
      <c r="D1592" s="26" t="n">
        <v>45722</v>
      </c>
      <c r="E1592" s="25" t="n">
        <v>2025</v>
      </c>
      <c r="F1592" s="25" t="n">
        <v>1</v>
      </c>
      <c r="G1592" s="25" t="n">
        <v>3</v>
      </c>
    </row>
    <row r="1593" customFormat="false" ht="15" hidden="false" customHeight="false" outlineLevel="0" collapsed="false">
      <c r="A1593" s="25" t="n">
        <v>20250307</v>
      </c>
      <c r="B1593" s="25" t="s">
        <v>2245</v>
      </c>
      <c r="C1593" s="27" t="b">
        <f aca="false">FALSE()</f>
        <v>0</v>
      </c>
      <c r="D1593" s="26" t="n">
        <v>45723</v>
      </c>
      <c r="E1593" s="25" t="n">
        <v>2025</v>
      </c>
      <c r="F1593" s="25" t="n">
        <v>1</v>
      </c>
      <c r="G1593" s="25" t="n">
        <v>3</v>
      </c>
    </row>
    <row r="1594" customFormat="false" ht="15" hidden="false" customHeight="false" outlineLevel="0" collapsed="false">
      <c r="A1594" s="25" t="n">
        <v>20250308</v>
      </c>
      <c r="B1594" s="25" t="s">
        <v>2245</v>
      </c>
      <c r="C1594" s="27" t="b">
        <f aca="false">TRUE()</f>
        <v>1</v>
      </c>
      <c r="D1594" s="26" t="n">
        <v>45724</v>
      </c>
      <c r="E1594" s="25" t="n">
        <v>2025</v>
      </c>
      <c r="F1594" s="25" t="n">
        <v>1</v>
      </c>
      <c r="G1594" s="25" t="n">
        <v>3</v>
      </c>
    </row>
    <row r="1595" customFormat="false" ht="15" hidden="false" customHeight="false" outlineLevel="0" collapsed="false">
      <c r="A1595" s="25" t="n">
        <v>20250309</v>
      </c>
      <c r="B1595" s="25" t="s">
        <v>2245</v>
      </c>
      <c r="C1595" s="27" t="b">
        <f aca="false">TRUE()</f>
        <v>1</v>
      </c>
      <c r="D1595" s="26" t="n">
        <v>45725</v>
      </c>
      <c r="E1595" s="25" t="n">
        <v>2025</v>
      </c>
      <c r="F1595" s="25" t="n">
        <v>1</v>
      </c>
      <c r="G1595" s="25" t="n">
        <v>3</v>
      </c>
    </row>
    <row r="1596" customFormat="false" ht="15" hidden="false" customHeight="false" outlineLevel="0" collapsed="false">
      <c r="A1596" s="25" t="n">
        <v>20250310</v>
      </c>
      <c r="B1596" s="25" t="s">
        <v>2245</v>
      </c>
      <c r="C1596" s="27" t="b">
        <f aca="false">FALSE()</f>
        <v>0</v>
      </c>
      <c r="D1596" s="26" t="n">
        <v>45726</v>
      </c>
      <c r="E1596" s="25" t="n">
        <v>2025</v>
      </c>
      <c r="F1596" s="25" t="n">
        <v>1</v>
      </c>
      <c r="G1596" s="25" t="n">
        <v>3</v>
      </c>
    </row>
    <row r="1597" customFormat="false" ht="15" hidden="false" customHeight="false" outlineLevel="0" collapsed="false">
      <c r="A1597" s="25" t="n">
        <v>20250311</v>
      </c>
      <c r="B1597" s="25" t="s">
        <v>2245</v>
      </c>
      <c r="C1597" s="27" t="b">
        <f aca="false">FALSE()</f>
        <v>0</v>
      </c>
      <c r="D1597" s="26" t="n">
        <v>45727</v>
      </c>
      <c r="E1597" s="25" t="n">
        <v>2025</v>
      </c>
      <c r="F1597" s="25" t="n">
        <v>1</v>
      </c>
      <c r="G1597" s="25" t="n">
        <v>3</v>
      </c>
    </row>
    <row r="1598" customFormat="false" ht="15" hidden="false" customHeight="false" outlineLevel="0" collapsed="false">
      <c r="A1598" s="25" t="n">
        <v>20250312</v>
      </c>
      <c r="B1598" s="25" t="s">
        <v>2245</v>
      </c>
      <c r="C1598" s="27" t="b">
        <f aca="false">FALSE()</f>
        <v>0</v>
      </c>
      <c r="D1598" s="26" t="n">
        <v>45728</v>
      </c>
      <c r="E1598" s="25" t="n">
        <v>2025</v>
      </c>
      <c r="F1598" s="25" t="n">
        <v>1</v>
      </c>
      <c r="G1598" s="25" t="n">
        <v>3</v>
      </c>
    </row>
    <row r="1599" customFormat="false" ht="15" hidden="false" customHeight="false" outlineLevel="0" collapsed="false">
      <c r="A1599" s="25" t="n">
        <v>20250313</v>
      </c>
      <c r="B1599" s="25" t="s">
        <v>2245</v>
      </c>
      <c r="C1599" s="27" t="b">
        <f aca="false">FALSE()</f>
        <v>0</v>
      </c>
      <c r="D1599" s="26" t="n">
        <v>45729</v>
      </c>
      <c r="E1599" s="25" t="n">
        <v>2025</v>
      </c>
      <c r="F1599" s="25" t="n">
        <v>1</v>
      </c>
      <c r="G1599" s="25" t="n">
        <v>3</v>
      </c>
    </row>
    <row r="1600" customFormat="false" ht="15" hidden="false" customHeight="false" outlineLevel="0" collapsed="false">
      <c r="A1600" s="25" t="n">
        <v>20250314</v>
      </c>
      <c r="B1600" s="25" t="s">
        <v>2245</v>
      </c>
      <c r="C1600" s="27" t="b">
        <f aca="false">FALSE()</f>
        <v>0</v>
      </c>
      <c r="D1600" s="26" t="n">
        <v>45730</v>
      </c>
      <c r="E1600" s="25" t="n">
        <v>2025</v>
      </c>
      <c r="F1600" s="25" t="n">
        <v>1</v>
      </c>
      <c r="G1600" s="25" t="n">
        <v>3</v>
      </c>
    </row>
    <row r="1601" customFormat="false" ht="15" hidden="false" customHeight="false" outlineLevel="0" collapsed="false">
      <c r="A1601" s="25" t="n">
        <v>20250315</v>
      </c>
      <c r="B1601" s="25" t="s">
        <v>2245</v>
      </c>
      <c r="C1601" s="27" t="b">
        <f aca="false">TRUE()</f>
        <v>1</v>
      </c>
      <c r="D1601" s="26" t="n">
        <v>45731</v>
      </c>
      <c r="E1601" s="25" t="n">
        <v>2025</v>
      </c>
      <c r="F1601" s="25" t="n">
        <v>1</v>
      </c>
      <c r="G1601" s="25" t="n">
        <v>3</v>
      </c>
    </row>
    <row r="1602" customFormat="false" ht="15" hidden="false" customHeight="false" outlineLevel="0" collapsed="false">
      <c r="A1602" s="25" t="n">
        <v>20250316</v>
      </c>
      <c r="B1602" s="25" t="s">
        <v>2245</v>
      </c>
      <c r="C1602" s="27" t="b">
        <f aca="false">TRUE()</f>
        <v>1</v>
      </c>
      <c r="D1602" s="26" t="n">
        <v>45732</v>
      </c>
      <c r="E1602" s="25" t="n">
        <v>2025</v>
      </c>
      <c r="F1602" s="25" t="n">
        <v>1</v>
      </c>
      <c r="G1602" s="25" t="n">
        <v>3</v>
      </c>
    </row>
    <row r="1603" customFormat="false" ht="15" hidden="false" customHeight="false" outlineLevel="0" collapsed="false">
      <c r="A1603" s="25" t="n">
        <v>20250317</v>
      </c>
      <c r="B1603" s="25" t="s">
        <v>2245</v>
      </c>
      <c r="C1603" s="27" t="b">
        <f aca="false">FALSE()</f>
        <v>0</v>
      </c>
      <c r="D1603" s="26" t="n">
        <v>45733</v>
      </c>
      <c r="E1603" s="25" t="n">
        <v>2025</v>
      </c>
      <c r="F1603" s="25" t="n">
        <v>1</v>
      </c>
      <c r="G1603" s="25" t="n">
        <v>3</v>
      </c>
    </row>
    <row r="1604" customFormat="false" ht="15" hidden="false" customHeight="false" outlineLevel="0" collapsed="false">
      <c r="A1604" s="25" t="n">
        <v>20250318</v>
      </c>
      <c r="B1604" s="25" t="s">
        <v>2245</v>
      </c>
      <c r="C1604" s="27" t="b">
        <f aca="false">FALSE()</f>
        <v>0</v>
      </c>
      <c r="D1604" s="26" t="n">
        <v>45734</v>
      </c>
      <c r="E1604" s="25" t="n">
        <v>2025</v>
      </c>
      <c r="F1604" s="25" t="n">
        <v>1</v>
      </c>
      <c r="G1604" s="25" t="n">
        <v>3</v>
      </c>
    </row>
    <row r="1605" customFormat="false" ht="15" hidden="false" customHeight="false" outlineLevel="0" collapsed="false">
      <c r="A1605" s="25" t="n">
        <v>20250319</v>
      </c>
      <c r="B1605" s="25" t="s">
        <v>2245</v>
      </c>
      <c r="C1605" s="27" t="b">
        <f aca="false">FALSE()</f>
        <v>0</v>
      </c>
      <c r="D1605" s="26" t="n">
        <v>45735</v>
      </c>
      <c r="E1605" s="25" t="n">
        <v>2025</v>
      </c>
      <c r="F1605" s="25" t="n">
        <v>1</v>
      </c>
      <c r="G1605" s="25" t="n">
        <v>3</v>
      </c>
    </row>
    <row r="1606" customFormat="false" ht="15" hidden="false" customHeight="false" outlineLevel="0" collapsed="false">
      <c r="A1606" s="25" t="n">
        <v>20250320</v>
      </c>
      <c r="B1606" s="25" t="s">
        <v>2245</v>
      </c>
      <c r="C1606" s="27" t="b">
        <f aca="false">FALSE()</f>
        <v>0</v>
      </c>
      <c r="D1606" s="26" t="n">
        <v>45736</v>
      </c>
      <c r="E1606" s="25" t="n">
        <v>2025</v>
      </c>
      <c r="F1606" s="25" t="n">
        <v>1</v>
      </c>
      <c r="G1606" s="25" t="n">
        <v>3</v>
      </c>
    </row>
    <row r="1607" customFormat="false" ht="15" hidden="false" customHeight="false" outlineLevel="0" collapsed="false">
      <c r="A1607" s="25" t="n">
        <v>20250321</v>
      </c>
      <c r="B1607" s="25" t="s">
        <v>2245</v>
      </c>
      <c r="C1607" s="27" t="b">
        <f aca="false">FALSE()</f>
        <v>0</v>
      </c>
      <c r="D1607" s="26" t="n">
        <v>45737</v>
      </c>
      <c r="E1607" s="25" t="n">
        <v>2025</v>
      </c>
      <c r="F1607" s="25" t="n">
        <v>1</v>
      </c>
      <c r="G1607" s="25" t="n">
        <v>3</v>
      </c>
    </row>
    <row r="1608" customFormat="false" ht="15" hidden="false" customHeight="false" outlineLevel="0" collapsed="false">
      <c r="A1608" s="25" t="n">
        <v>20250322</v>
      </c>
      <c r="B1608" s="25" t="s">
        <v>2245</v>
      </c>
      <c r="C1608" s="27" t="b">
        <f aca="false">TRUE()</f>
        <v>1</v>
      </c>
      <c r="D1608" s="26" t="n">
        <v>45738</v>
      </c>
      <c r="E1608" s="25" t="n">
        <v>2025</v>
      </c>
      <c r="F1608" s="25" t="n">
        <v>1</v>
      </c>
      <c r="G1608" s="25" t="n">
        <v>3</v>
      </c>
    </row>
    <row r="1609" customFormat="false" ht="15" hidden="false" customHeight="false" outlineLevel="0" collapsed="false">
      <c r="A1609" s="25" t="n">
        <v>20250323</v>
      </c>
      <c r="B1609" s="25" t="s">
        <v>2245</v>
      </c>
      <c r="C1609" s="27" t="b">
        <f aca="false">TRUE()</f>
        <v>1</v>
      </c>
      <c r="D1609" s="26" t="n">
        <v>45739</v>
      </c>
      <c r="E1609" s="25" t="n">
        <v>2025</v>
      </c>
      <c r="F1609" s="25" t="n">
        <v>1</v>
      </c>
      <c r="G1609" s="25" t="n">
        <v>3</v>
      </c>
    </row>
    <row r="1610" customFormat="false" ht="15" hidden="false" customHeight="false" outlineLevel="0" collapsed="false">
      <c r="A1610" s="25" t="n">
        <v>20250324</v>
      </c>
      <c r="B1610" s="25" t="s">
        <v>2245</v>
      </c>
      <c r="C1610" s="27" t="b">
        <f aca="false">FALSE()</f>
        <v>0</v>
      </c>
      <c r="D1610" s="26" t="n">
        <v>45740</v>
      </c>
      <c r="E1610" s="25" t="n">
        <v>2025</v>
      </c>
      <c r="F1610" s="25" t="n">
        <v>1</v>
      </c>
      <c r="G1610" s="25" t="n">
        <v>3</v>
      </c>
    </row>
    <row r="1611" customFormat="false" ht="15" hidden="false" customHeight="false" outlineLevel="0" collapsed="false">
      <c r="A1611" s="25" t="n">
        <v>20250325</v>
      </c>
      <c r="B1611" s="25" t="s">
        <v>2245</v>
      </c>
      <c r="C1611" s="27" t="b">
        <f aca="false">FALSE()</f>
        <v>0</v>
      </c>
      <c r="D1611" s="26" t="n">
        <v>45741</v>
      </c>
      <c r="E1611" s="25" t="n">
        <v>2025</v>
      </c>
      <c r="F1611" s="25" t="n">
        <v>1</v>
      </c>
      <c r="G1611" s="25" t="n">
        <v>3</v>
      </c>
    </row>
    <row r="1612" customFormat="false" ht="15" hidden="false" customHeight="false" outlineLevel="0" collapsed="false">
      <c r="A1612" s="25" t="n">
        <v>20250326</v>
      </c>
      <c r="B1612" s="25" t="s">
        <v>2245</v>
      </c>
      <c r="C1612" s="27" t="b">
        <f aca="false">FALSE()</f>
        <v>0</v>
      </c>
      <c r="D1612" s="26" t="n">
        <v>45742</v>
      </c>
      <c r="E1612" s="25" t="n">
        <v>2025</v>
      </c>
      <c r="F1612" s="25" t="n">
        <v>1</v>
      </c>
      <c r="G1612" s="25" t="n">
        <v>3</v>
      </c>
    </row>
    <row r="1613" customFormat="false" ht="15" hidden="false" customHeight="false" outlineLevel="0" collapsed="false">
      <c r="A1613" s="25" t="n">
        <v>20250327</v>
      </c>
      <c r="B1613" s="25" t="s">
        <v>2245</v>
      </c>
      <c r="C1613" s="27" t="b">
        <f aca="false">FALSE()</f>
        <v>0</v>
      </c>
      <c r="D1613" s="26" t="n">
        <v>45743</v>
      </c>
      <c r="E1613" s="25" t="n">
        <v>2025</v>
      </c>
      <c r="F1613" s="25" t="n">
        <v>1</v>
      </c>
      <c r="G1613" s="25" t="n">
        <v>3</v>
      </c>
    </row>
    <row r="1614" customFormat="false" ht="15" hidden="false" customHeight="false" outlineLevel="0" collapsed="false">
      <c r="A1614" s="25" t="n">
        <v>20250328</v>
      </c>
      <c r="B1614" s="25" t="s">
        <v>2245</v>
      </c>
      <c r="C1614" s="27" t="b">
        <f aca="false">FALSE()</f>
        <v>0</v>
      </c>
      <c r="D1614" s="26" t="n">
        <v>45744</v>
      </c>
      <c r="E1614" s="25" t="n">
        <v>2025</v>
      </c>
      <c r="F1614" s="25" t="n">
        <v>1</v>
      </c>
      <c r="G1614" s="25" t="n">
        <v>3</v>
      </c>
    </row>
    <row r="1615" customFormat="false" ht="15" hidden="false" customHeight="false" outlineLevel="0" collapsed="false">
      <c r="A1615" s="25" t="n">
        <v>20250329</v>
      </c>
      <c r="B1615" s="25" t="s">
        <v>2245</v>
      </c>
      <c r="C1615" s="27" t="b">
        <f aca="false">TRUE()</f>
        <v>1</v>
      </c>
      <c r="D1615" s="26" t="n">
        <v>45745</v>
      </c>
      <c r="E1615" s="25" t="n">
        <v>2025</v>
      </c>
      <c r="F1615" s="25" t="n">
        <v>1</v>
      </c>
      <c r="G1615" s="25" t="n">
        <v>3</v>
      </c>
    </row>
    <row r="1616" customFormat="false" ht="15" hidden="false" customHeight="false" outlineLevel="0" collapsed="false">
      <c r="A1616" s="25" t="n">
        <v>20250330</v>
      </c>
      <c r="B1616" s="25" t="s">
        <v>2245</v>
      </c>
      <c r="C1616" s="27" t="b">
        <f aca="false">TRUE()</f>
        <v>1</v>
      </c>
      <c r="D1616" s="26" t="n">
        <v>45746</v>
      </c>
      <c r="E1616" s="25" t="n">
        <v>2025</v>
      </c>
      <c r="F1616" s="25" t="n">
        <v>1</v>
      </c>
      <c r="G1616" s="25" t="n">
        <v>3</v>
      </c>
    </row>
    <row r="1617" customFormat="false" ht="15" hidden="false" customHeight="false" outlineLevel="0" collapsed="false">
      <c r="A1617" s="25" t="n">
        <v>20250331</v>
      </c>
      <c r="B1617" s="25" t="s">
        <v>2245</v>
      </c>
      <c r="C1617" s="27" t="b">
        <f aca="false">FALSE()</f>
        <v>0</v>
      </c>
      <c r="D1617" s="26" t="n">
        <v>45747</v>
      </c>
      <c r="E1617" s="25" t="n">
        <v>2025</v>
      </c>
      <c r="F1617" s="25" t="n">
        <v>1</v>
      </c>
      <c r="G1617" s="25" t="n">
        <v>3</v>
      </c>
    </row>
    <row r="1618" customFormat="false" ht="15" hidden="false" customHeight="false" outlineLevel="0" collapsed="false">
      <c r="A1618" s="25" t="n">
        <v>20250401</v>
      </c>
      <c r="B1618" s="25" t="s">
        <v>2246</v>
      </c>
      <c r="C1618" s="27" t="b">
        <f aca="false">FALSE()</f>
        <v>0</v>
      </c>
      <c r="D1618" s="26" t="n">
        <v>45748</v>
      </c>
      <c r="E1618" s="25" t="n">
        <v>2025</v>
      </c>
      <c r="F1618" s="25" t="n">
        <v>2</v>
      </c>
      <c r="G1618" s="25" t="n">
        <v>4</v>
      </c>
    </row>
    <row r="1619" customFormat="false" ht="15" hidden="false" customHeight="false" outlineLevel="0" collapsed="false">
      <c r="A1619" s="25" t="n">
        <v>20250402</v>
      </c>
      <c r="B1619" s="25" t="s">
        <v>2246</v>
      </c>
      <c r="C1619" s="27" t="b">
        <f aca="false">FALSE()</f>
        <v>0</v>
      </c>
      <c r="D1619" s="26" t="n">
        <v>45749</v>
      </c>
      <c r="E1619" s="25" t="n">
        <v>2025</v>
      </c>
      <c r="F1619" s="25" t="n">
        <v>2</v>
      </c>
      <c r="G1619" s="25" t="n">
        <v>4</v>
      </c>
    </row>
    <row r="1620" customFormat="false" ht="15" hidden="false" customHeight="false" outlineLevel="0" collapsed="false">
      <c r="A1620" s="25" t="n">
        <v>20250403</v>
      </c>
      <c r="B1620" s="25" t="s">
        <v>2246</v>
      </c>
      <c r="C1620" s="27" t="b">
        <f aca="false">FALSE()</f>
        <v>0</v>
      </c>
      <c r="D1620" s="26" t="n">
        <v>45750</v>
      </c>
      <c r="E1620" s="25" t="n">
        <v>2025</v>
      </c>
      <c r="F1620" s="25" t="n">
        <v>2</v>
      </c>
      <c r="G1620" s="25" t="n">
        <v>4</v>
      </c>
    </row>
    <row r="1621" customFormat="false" ht="15" hidden="false" customHeight="false" outlineLevel="0" collapsed="false">
      <c r="A1621" s="25" t="n">
        <v>20250404</v>
      </c>
      <c r="B1621" s="25" t="s">
        <v>2246</v>
      </c>
      <c r="C1621" s="27" t="b">
        <f aca="false">FALSE()</f>
        <v>0</v>
      </c>
      <c r="D1621" s="26" t="n">
        <v>45751</v>
      </c>
      <c r="E1621" s="25" t="n">
        <v>2025</v>
      </c>
      <c r="F1621" s="25" t="n">
        <v>2</v>
      </c>
      <c r="G1621" s="25" t="n">
        <v>4</v>
      </c>
    </row>
    <row r="1622" customFormat="false" ht="15" hidden="false" customHeight="false" outlineLevel="0" collapsed="false">
      <c r="A1622" s="25" t="n">
        <v>20250405</v>
      </c>
      <c r="B1622" s="25" t="s">
        <v>2246</v>
      </c>
      <c r="C1622" s="27" t="b">
        <f aca="false">TRUE()</f>
        <v>1</v>
      </c>
      <c r="D1622" s="26" t="n">
        <v>45752</v>
      </c>
      <c r="E1622" s="25" t="n">
        <v>2025</v>
      </c>
      <c r="F1622" s="25" t="n">
        <v>2</v>
      </c>
      <c r="G1622" s="25" t="n">
        <v>4</v>
      </c>
    </row>
    <row r="1623" customFormat="false" ht="15" hidden="false" customHeight="false" outlineLevel="0" collapsed="false">
      <c r="A1623" s="25" t="n">
        <v>20250406</v>
      </c>
      <c r="B1623" s="25" t="s">
        <v>2246</v>
      </c>
      <c r="C1623" s="27" t="b">
        <f aca="false">TRUE()</f>
        <v>1</v>
      </c>
      <c r="D1623" s="26" t="n">
        <v>45753</v>
      </c>
      <c r="E1623" s="25" t="n">
        <v>2025</v>
      </c>
      <c r="F1623" s="25" t="n">
        <v>2</v>
      </c>
      <c r="G1623" s="25" t="n">
        <v>4</v>
      </c>
    </row>
    <row r="1624" customFormat="false" ht="15" hidden="false" customHeight="false" outlineLevel="0" collapsed="false">
      <c r="A1624" s="25" t="n">
        <v>20250407</v>
      </c>
      <c r="B1624" s="25" t="s">
        <v>2246</v>
      </c>
      <c r="C1624" s="27" t="b">
        <f aca="false">FALSE()</f>
        <v>0</v>
      </c>
      <c r="D1624" s="26" t="n">
        <v>45754</v>
      </c>
      <c r="E1624" s="25" t="n">
        <v>2025</v>
      </c>
      <c r="F1624" s="25" t="n">
        <v>2</v>
      </c>
      <c r="G1624" s="25" t="n">
        <v>4</v>
      </c>
    </row>
    <row r="1625" customFormat="false" ht="15" hidden="false" customHeight="false" outlineLevel="0" collapsed="false">
      <c r="A1625" s="25" t="n">
        <v>20250408</v>
      </c>
      <c r="B1625" s="25" t="s">
        <v>2246</v>
      </c>
      <c r="C1625" s="27" t="b">
        <f aca="false">FALSE()</f>
        <v>0</v>
      </c>
      <c r="D1625" s="26" t="n">
        <v>45755</v>
      </c>
      <c r="E1625" s="25" t="n">
        <v>2025</v>
      </c>
      <c r="F1625" s="25" t="n">
        <v>2</v>
      </c>
      <c r="G1625" s="25" t="n">
        <v>4</v>
      </c>
    </row>
    <row r="1626" customFormat="false" ht="15" hidden="false" customHeight="false" outlineLevel="0" collapsed="false">
      <c r="A1626" s="25" t="n">
        <v>20250409</v>
      </c>
      <c r="B1626" s="25" t="s">
        <v>2246</v>
      </c>
      <c r="C1626" s="27" t="b">
        <f aca="false">FALSE()</f>
        <v>0</v>
      </c>
      <c r="D1626" s="26" t="n">
        <v>45756</v>
      </c>
      <c r="E1626" s="25" t="n">
        <v>2025</v>
      </c>
      <c r="F1626" s="25" t="n">
        <v>2</v>
      </c>
      <c r="G1626" s="25" t="n">
        <v>4</v>
      </c>
    </row>
    <row r="1627" customFormat="false" ht="15" hidden="false" customHeight="false" outlineLevel="0" collapsed="false">
      <c r="A1627" s="25" t="n">
        <v>20250410</v>
      </c>
      <c r="B1627" s="25" t="s">
        <v>2246</v>
      </c>
      <c r="C1627" s="27" t="b">
        <f aca="false">FALSE()</f>
        <v>0</v>
      </c>
      <c r="D1627" s="26" t="n">
        <v>45757</v>
      </c>
      <c r="E1627" s="25" t="n">
        <v>2025</v>
      </c>
      <c r="F1627" s="25" t="n">
        <v>2</v>
      </c>
      <c r="G1627" s="25" t="n">
        <v>4</v>
      </c>
    </row>
    <row r="1628" customFormat="false" ht="15" hidden="false" customHeight="false" outlineLevel="0" collapsed="false">
      <c r="A1628" s="25" t="n">
        <v>20250411</v>
      </c>
      <c r="B1628" s="25" t="s">
        <v>2246</v>
      </c>
      <c r="C1628" s="27" t="b">
        <f aca="false">FALSE()</f>
        <v>0</v>
      </c>
      <c r="D1628" s="26" t="n">
        <v>45758</v>
      </c>
      <c r="E1628" s="25" t="n">
        <v>2025</v>
      </c>
      <c r="F1628" s="25" t="n">
        <v>2</v>
      </c>
      <c r="G1628" s="25" t="n">
        <v>4</v>
      </c>
    </row>
    <row r="1629" customFormat="false" ht="15" hidden="false" customHeight="false" outlineLevel="0" collapsed="false">
      <c r="A1629" s="25" t="n">
        <v>20250412</v>
      </c>
      <c r="B1629" s="25" t="s">
        <v>2246</v>
      </c>
      <c r="C1629" s="27" t="b">
        <f aca="false">TRUE()</f>
        <v>1</v>
      </c>
      <c r="D1629" s="26" t="n">
        <v>45759</v>
      </c>
      <c r="E1629" s="25" t="n">
        <v>2025</v>
      </c>
      <c r="F1629" s="25" t="n">
        <v>2</v>
      </c>
      <c r="G1629" s="25" t="n">
        <v>4</v>
      </c>
    </row>
    <row r="1630" customFormat="false" ht="15" hidden="false" customHeight="false" outlineLevel="0" collapsed="false">
      <c r="A1630" s="25" t="n">
        <v>20250413</v>
      </c>
      <c r="B1630" s="25" t="s">
        <v>2246</v>
      </c>
      <c r="C1630" s="27" t="b">
        <f aca="false">TRUE()</f>
        <v>1</v>
      </c>
      <c r="D1630" s="26" t="n">
        <v>45760</v>
      </c>
      <c r="E1630" s="25" t="n">
        <v>2025</v>
      </c>
      <c r="F1630" s="25" t="n">
        <v>2</v>
      </c>
      <c r="G1630" s="25" t="n">
        <v>4</v>
      </c>
    </row>
    <row r="1631" customFormat="false" ht="15" hidden="false" customHeight="false" outlineLevel="0" collapsed="false">
      <c r="A1631" s="25" t="n">
        <v>20250414</v>
      </c>
      <c r="B1631" s="25" t="s">
        <v>2246</v>
      </c>
      <c r="C1631" s="27" t="b">
        <f aca="false">FALSE()</f>
        <v>0</v>
      </c>
      <c r="D1631" s="26" t="n">
        <v>45761</v>
      </c>
      <c r="E1631" s="25" t="n">
        <v>2025</v>
      </c>
      <c r="F1631" s="25" t="n">
        <v>2</v>
      </c>
      <c r="G1631" s="25" t="n">
        <v>4</v>
      </c>
    </row>
    <row r="1632" customFormat="false" ht="15" hidden="false" customHeight="false" outlineLevel="0" collapsed="false">
      <c r="A1632" s="25" t="n">
        <v>20250415</v>
      </c>
      <c r="B1632" s="25" t="s">
        <v>2246</v>
      </c>
      <c r="C1632" s="27" t="b">
        <f aca="false">FALSE()</f>
        <v>0</v>
      </c>
      <c r="D1632" s="26" t="n">
        <v>45762</v>
      </c>
      <c r="E1632" s="25" t="n">
        <v>2025</v>
      </c>
      <c r="F1632" s="25" t="n">
        <v>2</v>
      </c>
      <c r="G1632" s="25" t="n">
        <v>4</v>
      </c>
    </row>
    <row r="1633" customFormat="false" ht="15" hidden="false" customHeight="false" outlineLevel="0" collapsed="false">
      <c r="A1633" s="25" t="n">
        <v>20250416</v>
      </c>
      <c r="B1633" s="25" t="s">
        <v>2246</v>
      </c>
      <c r="C1633" s="27" t="b">
        <f aca="false">FALSE()</f>
        <v>0</v>
      </c>
      <c r="D1633" s="26" t="n">
        <v>45763</v>
      </c>
      <c r="E1633" s="25" t="n">
        <v>2025</v>
      </c>
      <c r="F1633" s="25" t="n">
        <v>2</v>
      </c>
      <c r="G1633" s="25" t="n">
        <v>4</v>
      </c>
    </row>
    <row r="1634" customFormat="false" ht="15" hidden="false" customHeight="false" outlineLevel="0" collapsed="false">
      <c r="A1634" s="25" t="n">
        <v>20250417</v>
      </c>
      <c r="B1634" s="25" t="s">
        <v>2246</v>
      </c>
      <c r="C1634" s="27" t="b">
        <f aca="false">FALSE()</f>
        <v>0</v>
      </c>
      <c r="D1634" s="26" t="n">
        <v>45764</v>
      </c>
      <c r="E1634" s="25" t="n">
        <v>2025</v>
      </c>
      <c r="F1634" s="25" t="n">
        <v>2</v>
      </c>
      <c r="G1634" s="25" t="n">
        <v>4</v>
      </c>
    </row>
    <row r="1635" customFormat="false" ht="15" hidden="false" customHeight="false" outlineLevel="0" collapsed="false">
      <c r="A1635" s="25" t="n">
        <v>20250418</v>
      </c>
      <c r="B1635" s="25" t="s">
        <v>2246</v>
      </c>
      <c r="C1635" s="27" t="b">
        <f aca="false">FALSE()</f>
        <v>0</v>
      </c>
      <c r="D1635" s="26" t="n">
        <v>45765</v>
      </c>
      <c r="E1635" s="25" t="n">
        <v>2025</v>
      </c>
      <c r="F1635" s="25" t="n">
        <v>2</v>
      </c>
      <c r="G1635" s="25" t="n">
        <v>4</v>
      </c>
    </row>
    <row r="1636" customFormat="false" ht="15" hidden="false" customHeight="false" outlineLevel="0" collapsed="false">
      <c r="A1636" s="25" t="n">
        <v>20250419</v>
      </c>
      <c r="B1636" s="25" t="s">
        <v>2246</v>
      </c>
      <c r="C1636" s="27" t="b">
        <f aca="false">TRUE()</f>
        <v>1</v>
      </c>
      <c r="D1636" s="26" t="n">
        <v>45766</v>
      </c>
      <c r="E1636" s="25" t="n">
        <v>2025</v>
      </c>
      <c r="F1636" s="25" t="n">
        <v>2</v>
      </c>
      <c r="G1636" s="25" t="n">
        <v>4</v>
      </c>
    </row>
    <row r="1637" customFormat="false" ht="15" hidden="false" customHeight="false" outlineLevel="0" collapsed="false">
      <c r="A1637" s="25" t="n">
        <v>20250420</v>
      </c>
      <c r="B1637" s="25" t="s">
        <v>2246</v>
      </c>
      <c r="C1637" s="27" t="b">
        <f aca="false">TRUE()</f>
        <v>1</v>
      </c>
      <c r="D1637" s="26" t="n">
        <v>45767</v>
      </c>
      <c r="E1637" s="25" t="n">
        <v>2025</v>
      </c>
      <c r="F1637" s="25" t="n">
        <v>2</v>
      </c>
      <c r="G1637" s="25" t="n">
        <v>4</v>
      </c>
    </row>
    <row r="1638" customFormat="false" ht="15" hidden="false" customHeight="false" outlineLevel="0" collapsed="false">
      <c r="A1638" s="25" t="n">
        <v>20250421</v>
      </c>
      <c r="B1638" s="25" t="s">
        <v>2246</v>
      </c>
      <c r="C1638" s="27" t="b">
        <f aca="false">FALSE()</f>
        <v>0</v>
      </c>
      <c r="D1638" s="26" t="n">
        <v>45768</v>
      </c>
      <c r="E1638" s="25" t="n">
        <v>2025</v>
      </c>
      <c r="F1638" s="25" t="n">
        <v>2</v>
      </c>
      <c r="G1638" s="25" t="n">
        <v>4</v>
      </c>
    </row>
    <row r="1639" customFormat="false" ht="15" hidden="false" customHeight="false" outlineLevel="0" collapsed="false">
      <c r="A1639" s="25" t="n">
        <v>20250422</v>
      </c>
      <c r="B1639" s="25" t="s">
        <v>2246</v>
      </c>
      <c r="C1639" s="27" t="b">
        <f aca="false">FALSE()</f>
        <v>0</v>
      </c>
      <c r="D1639" s="26" t="n">
        <v>45769</v>
      </c>
      <c r="E1639" s="25" t="n">
        <v>2025</v>
      </c>
      <c r="F1639" s="25" t="n">
        <v>2</v>
      </c>
      <c r="G1639" s="25" t="n">
        <v>4</v>
      </c>
    </row>
    <row r="1640" customFormat="false" ht="15" hidden="false" customHeight="false" outlineLevel="0" collapsed="false">
      <c r="A1640" s="25" t="n">
        <v>20250423</v>
      </c>
      <c r="B1640" s="25" t="s">
        <v>2246</v>
      </c>
      <c r="C1640" s="27" t="b">
        <f aca="false">FALSE()</f>
        <v>0</v>
      </c>
      <c r="D1640" s="26" t="n">
        <v>45770</v>
      </c>
      <c r="E1640" s="25" t="n">
        <v>2025</v>
      </c>
      <c r="F1640" s="25" t="n">
        <v>2</v>
      </c>
      <c r="G1640" s="25" t="n">
        <v>4</v>
      </c>
    </row>
    <row r="1641" customFormat="false" ht="15" hidden="false" customHeight="false" outlineLevel="0" collapsed="false">
      <c r="A1641" s="25" t="n">
        <v>20250424</v>
      </c>
      <c r="B1641" s="25" t="s">
        <v>2246</v>
      </c>
      <c r="C1641" s="27" t="b">
        <f aca="false">FALSE()</f>
        <v>0</v>
      </c>
      <c r="D1641" s="26" t="n">
        <v>45771</v>
      </c>
      <c r="E1641" s="25" t="n">
        <v>2025</v>
      </c>
      <c r="F1641" s="25" t="n">
        <v>2</v>
      </c>
      <c r="G1641" s="25" t="n">
        <v>4</v>
      </c>
    </row>
    <row r="1642" customFormat="false" ht="15" hidden="false" customHeight="false" outlineLevel="0" collapsed="false">
      <c r="A1642" s="25" t="n">
        <v>20250425</v>
      </c>
      <c r="B1642" s="25" t="s">
        <v>2246</v>
      </c>
      <c r="C1642" s="27" t="b">
        <f aca="false">FALSE()</f>
        <v>0</v>
      </c>
      <c r="D1642" s="26" t="n">
        <v>45772</v>
      </c>
      <c r="E1642" s="25" t="n">
        <v>2025</v>
      </c>
      <c r="F1642" s="25" t="n">
        <v>2</v>
      </c>
      <c r="G1642" s="25" t="n">
        <v>4</v>
      </c>
    </row>
    <row r="1643" customFormat="false" ht="15" hidden="false" customHeight="false" outlineLevel="0" collapsed="false">
      <c r="A1643" s="25" t="n">
        <v>20250426</v>
      </c>
      <c r="B1643" s="25" t="s">
        <v>2246</v>
      </c>
      <c r="C1643" s="27" t="b">
        <f aca="false">TRUE()</f>
        <v>1</v>
      </c>
      <c r="D1643" s="26" t="n">
        <v>45773</v>
      </c>
      <c r="E1643" s="25" t="n">
        <v>2025</v>
      </c>
      <c r="F1643" s="25" t="n">
        <v>2</v>
      </c>
      <c r="G1643" s="25" t="n">
        <v>4</v>
      </c>
    </row>
    <row r="1644" customFormat="false" ht="15" hidden="false" customHeight="false" outlineLevel="0" collapsed="false">
      <c r="A1644" s="25" t="n">
        <v>20250427</v>
      </c>
      <c r="B1644" s="25" t="s">
        <v>2246</v>
      </c>
      <c r="C1644" s="27" t="b">
        <f aca="false">TRUE()</f>
        <v>1</v>
      </c>
      <c r="D1644" s="26" t="n">
        <v>45774</v>
      </c>
      <c r="E1644" s="25" t="n">
        <v>2025</v>
      </c>
      <c r="F1644" s="25" t="n">
        <v>2</v>
      </c>
      <c r="G1644" s="25" t="n">
        <v>4</v>
      </c>
    </row>
    <row r="1645" customFormat="false" ht="15" hidden="false" customHeight="false" outlineLevel="0" collapsed="false">
      <c r="A1645" s="25" t="n">
        <v>20250428</v>
      </c>
      <c r="B1645" s="25" t="s">
        <v>2246</v>
      </c>
      <c r="C1645" s="27" t="b">
        <f aca="false">FALSE()</f>
        <v>0</v>
      </c>
      <c r="D1645" s="26" t="n">
        <v>45775</v>
      </c>
      <c r="E1645" s="25" t="n">
        <v>2025</v>
      </c>
      <c r="F1645" s="25" t="n">
        <v>2</v>
      </c>
      <c r="G1645" s="25" t="n">
        <v>4</v>
      </c>
    </row>
    <row r="1646" customFormat="false" ht="15" hidden="false" customHeight="false" outlineLevel="0" collapsed="false">
      <c r="A1646" s="25" t="n">
        <v>20250429</v>
      </c>
      <c r="B1646" s="25" t="s">
        <v>2246</v>
      </c>
      <c r="C1646" s="27" t="b">
        <f aca="false">FALSE()</f>
        <v>0</v>
      </c>
      <c r="D1646" s="26" t="n">
        <v>45776</v>
      </c>
      <c r="E1646" s="25" t="n">
        <v>2025</v>
      </c>
      <c r="F1646" s="25" t="n">
        <v>2</v>
      </c>
      <c r="G1646" s="25" t="n">
        <v>4</v>
      </c>
    </row>
    <row r="1647" customFormat="false" ht="15" hidden="false" customHeight="false" outlineLevel="0" collapsed="false">
      <c r="A1647" s="25" t="n">
        <v>20250430</v>
      </c>
      <c r="B1647" s="25" t="s">
        <v>2246</v>
      </c>
      <c r="C1647" s="27" t="b">
        <f aca="false">FALSE()</f>
        <v>0</v>
      </c>
      <c r="D1647" s="26" t="n">
        <v>45777</v>
      </c>
      <c r="E1647" s="25" t="n">
        <v>2025</v>
      </c>
      <c r="F1647" s="25" t="n">
        <v>2</v>
      </c>
      <c r="G1647" s="25" t="n">
        <v>4</v>
      </c>
    </row>
    <row r="1648" customFormat="false" ht="15" hidden="false" customHeight="false" outlineLevel="0" collapsed="false">
      <c r="A1648" s="25" t="n">
        <v>20250501</v>
      </c>
      <c r="B1648" s="25" t="s">
        <v>2247</v>
      </c>
      <c r="C1648" s="27" t="b">
        <f aca="false">FALSE()</f>
        <v>0</v>
      </c>
      <c r="D1648" s="26" t="n">
        <v>45778</v>
      </c>
      <c r="E1648" s="25" t="n">
        <v>2025</v>
      </c>
      <c r="F1648" s="25" t="n">
        <v>2</v>
      </c>
      <c r="G1648" s="25" t="n">
        <v>5</v>
      </c>
    </row>
    <row r="1649" customFormat="false" ht="15" hidden="false" customHeight="false" outlineLevel="0" collapsed="false">
      <c r="A1649" s="25" t="n">
        <v>20250502</v>
      </c>
      <c r="B1649" s="25" t="s">
        <v>2247</v>
      </c>
      <c r="C1649" s="27" t="b">
        <f aca="false">FALSE()</f>
        <v>0</v>
      </c>
      <c r="D1649" s="26" t="n">
        <v>45779</v>
      </c>
      <c r="E1649" s="25" t="n">
        <v>2025</v>
      </c>
      <c r="F1649" s="25" t="n">
        <v>2</v>
      </c>
      <c r="G1649" s="25" t="n">
        <v>5</v>
      </c>
    </row>
    <row r="1650" customFormat="false" ht="15" hidden="false" customHeight="false" outlineLevel="0" collapsed="false">
      <c r="A1650" s="25" t="n">
        <v>20250503</v>
      </c>
      <c r="B1650" s="25" t="s">
        <v>2247</v>
      </c>
      <c r="C1650" s="27" t="b">
        <f aca="false">TRUE()</f>
        <v>1</v>
      </c>
      <c r="D1650" s="26" t="n">
        <v>45780</v>
      </c>
      <c r="E1650" s="25" t="n">
        <v>2025</v>
      </c>
      <c r="F1650" s="25" t="n">
        <v>2</v>
      </c>
      <c r="G1650" s="25" t="n">
        <v>5</v>
      </c>
    </row>
    <row r="1651" customFormat="false" ht="15" hidden="false" customHeight="false" outlineLevel="0" collapsed="false">
      <c r="A1651" s="25" t="n">
        <v>20250504</v>
      </c>
      <c r="B1651" s="25" t="s">
        <v>2247</v>
      </c>
      <c r="C1651" s="27" t="b">
        <f aca="false">TRUE()</f>
        <v>1</v>
      </c>
      <c r="D1651" s="26" t="n">
        <v>45781</v>
      </c>
      <c r="E1651" s="25" t="n">
        <v>2025</v>
      </c>
      <c r="F1651" s="25" t="n">
        <v>2</v>
      </c>
      <c r="G1651" s="25" t="n">
        <v>5</v>
      </c>
    </row>
    <row r="1652" customFormat="false" ht="15" hidden="false" customHeight="false" outlineLevel="0" collapsed="false">
      <c r="A1652" s="25" t="n">
        <v>20250505</v>
      </c>
      <c r="B1652" s="25" t="s">
        <v>2247</v>
      </c>
      <c r="C1652" s="27" t="b">
        <f aca="false">FALSE()</f>
        <v>0</v>
      </c>
      <c r="D1652" s="26" t="n">
        <v>45782</v>
      </c>
      <c r="E1652" s="25" t="n">
        <v>2025</v>
      </c>
      <c r="F1652" s="25" t="n">
        <v>2</v>
      </c>
      <c r="G1652" s="25" t="n">
        <v>5</v>
      </c>
    </row>
    <row r="1653" customFormat="false" ht="15" hidden="false" customHeight="false" outlineLevel="0" collapsed="false">
      <c r="A1653" s="25" t="n">
        <v>20250506</v>
      </c>
      <c r="B1653" s="25" t="s">
        <v>2247</v>
      </c>
      <c r="C1653" s="27" t="b">
        <f aca="false">FALSE()</f>
        <v>0</v>
      </c>
      <c r="D1653" s="26" t="n">
        <v>45783</v>
      </c>
      <c r="E1653" s="25" t="n">
        <v>2025</v>
      </c>
      <c r="F1653" s="25" t="n">
        <v>2</v>
      </c>
      <c r="G1653" s="25" t="n">
        <v>5</v>
      </c>
    </row>
    <row r="1654" customFormat="false" ht="15" hidden="false" customHeight="false" outlineLevel="0" collapsed="false">
      <c r="A1654" s="25" t="n">
        <v>20250507</v>
      </c>
      <c r="B1654" s="25" t="s">
        <v>2247</v>
      </c>
      <c r="C1654" s="27" t="b">
        <f aca="false">FALSE()</f>
        <v>0</v>
      </c>
      <c r="D1654" s="26" t="n">
        <v>45784</v>
      </c>
      <c r="E1654" s="25" t="n">
        <v>2025</v>
      </c>
      <c r="F1654" s="25" t="n">
        <v>2</v>
      </c>
      <c r="G1654" s="25" t="n">
        <v>5</v>
      </c>
    </row>
    <row r="1655" customFormat="false" ht="15" hidden="false" customHeight="false" outlineLevel="0" collapsed="false">
      <c r="A1655" s="25" t="n">
        <v>20250508</v>
      </c>
      <c r="B1655" s="25" t="s">
        <v>2247</v>
      </c>
      <c r="C1655" s="27" t="b">
        <f aca="false">FALSE()</f>
        <v>0</v>
      </c>
      <c r="D1655" s="26" t="n">
        <v>45785</v>
      </c>
      <c r="E1655" s="25" t="n">
        <v>2025</v>
      </c>
      <c r="F1655" s="25" t="n">
        <v>2</v>
      </c>
      <c r="G1655" s="25" t="n">
        <v>5</v>
      </c>
    </row>
    <row r="1656" customFormat="false" ht="15" hidden="false" customHeight="false" outlineLevel="0" collapsed="false">
      <c r="A1656" s="25" t="n">
        <v>20250509</v>
      </c>
      <c r="B1656" s="25" t="s">
        <v>2247</v>
      </c>
      <c r="C1656" s="27" t="b">
        <f aca="false">FALSE()</f>
        <v>0</v>
      </c>
      <c r="D1656" s="26" t="n">
        <v>45786</v>
      </c>
      <c r="E1656" s="25" t="n">
        <v>2025</v>
      </c>
      <c r="F1656" s="25" t="n">
        <v>2</v>
      </c>
      <c r="G1656" s="25" t="n">
        <v>5</v>
      </c>
    </row>
    <row r="1657" customFormat="false" ht="15" hidden="false" customHeight="false" outlineLevel="0" collapsed="false">
      <c r="A1657" s="25" t="n">
        <v>20250510</v>
      </c>
      <c r="B1657" s="25" t="s">
        <v>2247</v>
      </c>
      <c r="C1657" s="27" t="b">
        <f aca="false">TRUE()</f>
        <v>1</v>
      </c>
      <c r="D1657" s="26" t="n">
        <v>45787</v>
      </c>
      <c r="E1657" s="25" t="n">
        <v>2025</v>
      </c>
      <c r="F1657" s="25" t="n">
        <v>2</v>
      </c>
      <c r="G1657" s="25" t="n">
        <v>5</v>
      </c>
    </row>
    <row r="1658" customFormat="false" ht="15" hidden="false" customHeight="false" outlineLevel="0" collapsed="false">
      <c r="A1658" s="25" t="n">
        <v>20250511</v>
      </c>
      <c r="B1658" s="25" t="s">
        <v>2247</v>
      </c>
      <c r="C1658" s="27" t="b">
        <f aca="false">TRUE()</f>
        <v>1</v>
      </c>
      <c r="D1658" s="26" t="n">
        <v>45788</v>
      </c>
      <c r="E1658" s="25" t="n">
        <v>2025</v>
      </c>
      <c r="F1658" s="25" t="n">
        <v>2</v>
      </c>
      <c r="G1658" s="25" t="n">
        <v>5</v>
      </c>
    </row>
    <row r="1659" customFormat="false" ht="15" hidden="false" customHeight="false" outlineLevel="0" collapsed="false">
      <c r="A1659" s="25" t="n">
        <v>20250512</v>
      </c>
      <c r="B1659" s="25" t="s">
        <v>2247</v>
      </c>
      <c r="C1659" s="27" t="b">
        <f aca="false">FALSE()</f>
        <v>0</v>
      </c>
      <c r="D1659" s="26" t="n">
        <v>45789</v>
      </c>
      <c r="E1659" s="25" t="n">
        <v>2025</v>
      </c>
      <c r="F1659" s="25" t="n">
        <v>2</v>
      </c>
      <c r="G1659" s="25" t="n">
        <v>5</v>
      </c>
    </row>
    <row r="1660" customFormat="false" ht="15" hidden="false" customHeight="false" outlineLevel="0" collapsed="false">
      <c r="A1660" s="25" t="n">
        <v>20250513</v>
      </c>
      <c r="B1660" s="25" t="s">
        <v>2247</v>
      </c>
      <c r="C1660" s="27" t="b">
        <f aca="false">FALSE()</f>
        <v>0</v>
      </c>
      <c r="D1660" s="26" t="n">
        <v>45790</v>
      </c>
      <c r="E1660" s="25" t="n">
        <v>2025</v>
      </c>
      <c r="F1660" s="25" t="n">
        <v>2</v>
      </c>
      <c r="G1660" s="25" t="n">
        <v>5</v>
      </c>
    </row>
    <row r="1661" customFormat="false" ht="15" hidden="false" customHeight="false" outlineLevel="0" collapsed="false">
      <c r="A1661" s="25" t="n">
        <v>20250514</v>
      </c>
      <c r="B1661" s="25" t="s">
        <v>2247</v>
      </c>
      <c r="C1661" s="27" t="b">
        <f aca="false">FALSE()</f>
        <v>0</v>
      </c>
      <c r="D1661" s="26" t="n">
        <v>45791</v>
      </c>
      <c r="E1661" s="25" t="n">
        <v>2025</v>
      </c>
      <c r="F1661" s="25" t="n">
        <v>2</v>
      </c>
      <c r="G1661" s="25" t="n">
        <v>5</v>
      </c>
    </row>
    <row r="1662" customFormat="false" ht="15" hidden="false" customHeight="false" outlineLevel="0" collapsed="false">
      <c r="A1662" s="25" t="n">
        <v>20250515</v>
      </c>
      <c r="B1662" s="25" t="s">
        <v>2247</v>
      </c>
      <c r="C1662" s="27" t="b">
        <f aca="false">FALSE()</f>
        <v>0</v>
      </c>
      <c r="D1662" s="26" t="n">
        <v>45792</v>
      </c>
      <c r="E1662" s="25" t="n">
        <v>2025</v>
      </c>
      <c r="F1662" s="25" t="n">
        <v>2</v>
      </c>
      <c r="G1662" s="25" t="n">
        <v>5</v>
      </c>
    </row>
    <row r="1663" customFormat="false" ht="15" hidden="false" customHeight="false" outlineLevel="0" collapsed="false">
      <c r="A1663" s="25" t="n">
        <v>20250516</v>
      </c>
      <c r="B1663" s="25" t="s">
        <v>2247</v>
      </c>
      <c r="C1663" s="27" t="b">
        <f aca="false">FALSE()</f>
        <v>0</v>
      </c>
      <c r="D1663" s="26" t="n">
        <v>45793</v>
      </c>
      <c r="E1663" s="25" t="n">
        <v>2025</v>
      </c>
      <c r="F1663" s="25" t="n">
        <v>2</v>
      </c>
      <c r="G1663" s="25" t="n">
        <v>5</v>
      </c>
    </row>
    <row r="1664" customFormat="false" ht="15" hidden="false" customHeight="false" outlineLevel="0" collapsed="false">
      <c r="A1664" s="25" t="n">
        <v>20250517</v>
      </c>
      <c r="B1664" s="25" t="s">
        <v>2247</v>
      </c>
      <c r="C1664" s="27" t="b">
        <f aca="false">TRUE()</f>
        <v>1</v>
      </c>
      <c r="D1664" s="26" t="n">
        <v>45794</v>
      </c>
      <c r="E1664" s="25" t="n">
        <v>2025</v>
      </c>
      <c r="F1664" s="25" t="n">
        <v>2</v>
      </c>
      <c r="G1664" s="25" t="n">
        <v>5</v>
      </c>
    </row>
    <row r="1665" customFormat="false" ht="15" hidden="false" customHeight="false" outlineLevel="0" collapsed="false">
      <c r="A1665" s="25" t="n">
        <v>20250518</v>
      </c>
      <c r="B1665" s="25" t="s">
        <v>2247</v>
      </c>
      <c r="C1665" s="27" t="b">
        <f aca="false">TRUE()</f>
        <v>1</v>
      </c>
      <c r="D1665" s="26" t="n">
        <v>45795</v>
      </c>
      <c r="E1665" s="25" t="n">
        <v>2025</v>
      </c>
      <c r="F1665" s="25" t="n">
        <v>2</v>
      </c>
      <c r="G1665" s="25" t="n">
        <v>5</v>
      </c>
    </row>
    <row r="1666" customFormat="false" ht="15" hidden="false" customHeight="false" outlineLevel="0" collapsed="false">
      <c r="A1666" s="25" t="n">
        <v>20250519</v>
      </c>
      <c r="B1666" s="25" t="s">
        <v>2247</v>
      </c>
      <c r="C1666" s="27" t="b">
        <f aca="false">FALSE()</f>
        <v>0</v>
      </c>
      <c r="D1666" s="26" t="n">
        <v>45796</v>
      </c>
      <c r="E1666" s="25" t="n">
        <v>2025</v>
      </c>
      <c r="F1666" s="25" t="n">
        <v>2</v>
      </c>
      <c r="G1666" s="25" t="n">
        <v>5</v>
      </c>
    </row>
    <row r="1667" customFormat="false" ht="15" hidden="false" customHeight="false" outlineLevel="0" collapsed="false">
      <c r="A1667" s="25" t="n">
        <v>20250520</v>
      </c>
      <c r="B1667" s="25" t="s">
        <v>2247</v>
      </c>
      <c r="C1667" s="27" t="b">
        <f aca="false">FALSE()</f>
        <v>0</v>
      </c>
      <c r="D1667" s="26" t="n">
        <v>45797</v>
      </c>
      <c r="E1667" s="25" t="n">
        <v>2025</v>
      </c>
      <c r="F1667" s="25" t="n">
        <v>2</v>
      </c>
      <c r="G1667" s="25" t="n">
        <v>5</v>
      </c>
    </row>
    <row r="1668" customFormat="false" ht="15" hidden="false" customHeight="false" outlineLevel="0" collapsed="false">
      <c r="A1668" s="25" t="n">
        <v>20250521</v>
      </c>
      <c r="B1668" s="25" t="s">
        <v>2247</v>
      </c>
      <c r="C1668" s="27" t="b">
        <f aca="false">FALSE()</f>
        <v>0</v>
      </c>
      <c r="D1668" s="26" t="n">
        <v>45798</v>
      </c>
      <c r="E1668" s="25" t="n">
        <v>2025</v>
      </c>
      <c r="F1668" s="25" t="n">
        <v>2</v>
      </c>
      <c r="G1668" s="25" t="n">
        <v>5</v>
      </c>
    </row>
    <row r="1669" customFormat="false" ht="15" hidden="false" customHeight="false" outlineLevel="0" collapsed="false">
      <c r="A1669" s="25" t="n">
        <v>20250522</v>
      </c>
      <c r="B1669" s="25" t="s">
        <v>2247</v>
      </c>
      <c r="C1669" s="27" t="b">
        <f aca="false">FALSE()</f>
        <v>0</v>
      </c>
      <c r="D1669" s="26" t="n">
        <v>45799</v>
      </c>
      <c r="E1669" s="25" t="n">
        <v>2025</v>
      </c>
      <c r="F1669" s="25" t="n">
        <v>2</v>
      </c>
      <c r="G1669" s="25" t="n">
        <v>5</v>
      </c>
    </row>
    <row r="1670" customFormat="false" ht="15" hidden="false" customHeight="false" outlineLevel="0" collapsed="false">
      <c r="A1670" s="25" t="n">
        <v>20250523</v>
      </c>
      <c r="B1670" s="25" t="s">
        <v>2247</v>
      </c>
      <c r="C1670" s="27" t="b">
        <f aca="false">FALSE()</f>
        <v>0</v>
      </c>
      <c r="D1670" s="26" t="n">
        <v>45800</v>
      </c>
      <c r="E1670" s="25" t="n">
        <v>2025</v>
      </c>
      <c r="F1670" s="25" t="n">
        <v>2</v>
      </c>
      <c r="G1670" s="25" t="n">
        <v>5</v>
      </c>
    </row>
    <row r="1671" customFormat="false" ht="15" hidden="false" customHeight="false" outlineLevel="0" collapsed="false">
      <c r="A1671" s="25" t="n">
        <v>20250524</v>
      </c>
      <c r="B1671" s="25" t="s">
        <v>2247</v>
      </c>
      <c r="C1671" s="27" t="b">
        <f aca="false">TRUE()</f>
        <v>1</v>
      </c>
      <c r="D1671" s="26" t="n">
        <v>45801</v>
      </c>
      <c r="E1671" s="25" t="n">
        <v>2025</v>
      </c>
      <c r="F1671" s="25" t="n">
        <v>2</v>
      </c>
      <c r="G1671" s="25" t="n">
        <v>5</v>
      </c>
    </row>
    <row r="1672" customFormat="false" ht="15" hidden="false" customHeight="false" outlineLevel="0" collapsed="false">
      <c r="A1672" s="25" t="n">
        <v>20250525</v>
      </c>
      <c r="B1672" s="25" t="s">
        <v>2247</v>
      </c>
      <c r="C1672" s="27" t="b">
        <f aca="false">TRUE()</f>
        <v>1</v>
      </c>
      <c r="D1672" s="26" t="n">
        <v>45802</v>
      </c>
      <c r="E1672" s="25" t="n">
        <v>2025</v>
      </c>
      <c r="F1672" s="25" t="n">
        <v>2</v>
      </c>
      <c r="G1672" s="25" t="n">
        <v>5</v>
      </c>
    </row>
    <row r="1673" customFormat="false" ht="15" hidden="false" customHeight="false" outlineLevel="0" collapsed="false">
      <c r="A1673" s="25" t="n">
        <v>20250526</v>
      </c>
      <c r="B1673" s="25" t="s">
        <v>2247</v>
      </c>
      <c r="C1673" s="27" t="b">
        <f aca="false">FALSE()</f>
        <v>0</v>
      </c>
      <c r="D1673" s="26" t="n">
        <v>45803</v>
      </c>
      <c r="E1673" s="25" t="n">
        <v>2025</v>
      </c>
      <c r="F1673" s="25" t="n">
        <v>2</v>
      </c>
      <c r="G1673" s="25" t="n">
        <v>5</v>
      </c>
    </row>
    <row r="1674" customFormat="false" ht="15" hidden="false" customHeight="false" outlineLevel="0" collapsed="false">
      <c r="A1674" s="25" t="n">
        <v>20250527</v>
      </c>
      <c r="B1674" s="25" t="s">
        <v>2247</v>
      </c>
      <c r="C1674" s="27" t="b">
        <f aca="false">FALSE()</f>
        <v>0</v>
      </c>
      <c r="D1674" s="26" t="n">
        <v>45804</v>
      </c>
      <c r="E1674" s="25" t="n">
        <v>2025</v>
      </c>
      <c r="F1674" s="25" t="n">
        <v>2</v>
      </c>
      <c r="G1674" s="25" t="n">
        <v>5</v>
      </c>
    </row>
    <row r="1675" customFormat="false" ht="15" hidden="false" customHeight="false" outlineLevel="0" collapsed="false">
      <c r="A1675" s="25" t="n">
        <v>20250528</v>
      </c>
      <c r="B1675" s="25" t="s">
        <v>2247</v>
      </c>
      <c r="C1675" s="27" t="b">
        <f aca="false">FALSE()</f>
        <v>0</v>
      </c>
      <c r="D1675" s="26" t="n">
        <v>45805</v>
      </c>
      <c r="E1675" s="25" t="n">
        <v>2025</v>
      </c>
      <c r="F1675" s="25" t="n">
        <v>2</v>
      </c>
      <c r="G1675" s="25" t="n">
        <v>5</v>
      </c>
    </row>
    <row r="1676" customFormat="false" ht="15" hidden="false" customHeight="false" outlineLevel="0" collapsed="false">
      <c r="A1676" s="25" t="n">
        <v>20250529</v>
      </c>
      <c r="B1676" s="25" t="s">
        <v>2247</v>
      </c>
      <c r="C1676" s="27" t="b">
        <f aca="false">FALSE()</f>
        <v>0</v>
      </c>
      <c r="D1676" s="26" t="n">
        <v>45806</v>
      </c>
      <c r="E1676" s="25" t="n">
        <v>2025</v>
      </c>
      <c r="F1676" s="25" t="n">
        <v>2</v>
      </c>
      <c r="G1676" s="25" t="n">
        <v>5</v>
      </c>
    </row>
    <row r="1677" customFormat="false" ht="15" hidden="false" customHeight="false" outlineLevel="0" collapsed="false">
      <c r="A1677" s="25" t="n">
        <v>20250530</v>
      </c>
      <c r="B1677" s="25" t="s">
        <v>2247</v>
      </c>
      <c r="C1677" s="27" t="b">
        <f aca="false">FALSE()</f>
        <v>0</v>
      </c>
      <c r="D1677" s="26" t="n">
        <v>45807</v>
      </c>
      <c r="E1677" s="25" t="n">
        <v>2025</v>
      </c>
      <c r="F1677" s="25" t="n">
        <v>2</v>
      </c>
      <c r="G1677" s="25" t="n">
        <v>5</v>
      </c>
    </row>
    <row r="1678" customFormat="false" ht="15" hidden="false" customHeight="false" outlineLevel="0" collapsed="false">
      <c r="A1678" s="25" t="n">
        <v>20250531</v>
      </c>
      <c r="B1678" s="25" t="s">
        <v>2247</v>
      </c>
      <c r="C1678" s="27" t="b">
        <f aca="false">TRUE()</f>
        <v>1</v>
      </c>
      <c r="D1678" s="26" t="n">
        <v>45808</v>
      </c>
      <c r="E1678" s="25" t="n">
        <v>2025</v>
      </c>
      <c r="F1678" s="25" t="n">
        <v>2</v>
      </c>
      <c r="G1678" s="25" t="n">
        <v>5</v>
      </c>
    </row>
    <row r="1679" customFormat="false" ht="15" hidden="false" customHeight="false" outlineLevel="0" collapsed="false">
      <c r="A1679" s="25" t="n">
        <v>20250601</v>
      </c>
      <c r="B1679" s="25" t="s">
        <v>2248</v>
      </c>
      <c r="C1679" s="27" t="b">
        <f aca="false">TRUE()</f>
        <v>1</v>
      </c>
      <c r="D1679" s="26" t="n">
        <v>45809</v>
      </c>
      <c r="E1679" s="25" t="n">
        <v>2025</v>
      </c>
      <c r="F1679" s="25" t="n">
        <v>2</v>
      </c>
      <c r="G1679" s="25" t="n">
        <v>6</v>
      </c>
    </row>
    <row r="1680" customFormat="false" ht="15" hidden="false" customHeight="false" outlineLevel="0" collapsed="false">
      <c r="A1680" s="25" t="n">
        <v>20250602</v>
      </c>
      <c r="B1680" s="25" t="s">
        <v>2248</v>
      </c>
      <c r="C1680" s="27" t="b">
        <f aca="false">FALSE()</f>
        <v>0</v>
      </c>
      <c r="D1680" s="26" t="n">
        <v>45810</v>
      </c>
      <c r="E1680" s="25" t="n">
        <v>2025</v>
      </c>
      <c r="F1680" s="25" t="n">
        <v>2</v>
      </c>
      <c r="G1680" s="25" t="n">
        <v>6</v>
      </c>
    </row>
    <row r="1681" customFormat="false" ht="15" hidden="false" customHeight="false" outlineLevel="0" collapsed="false">
      <c r="A1681" s="25" t="n">
        <v>20250603</v>
      </c>
      <c r="B1681" s="25" t="s">
        <v>2248</v>
      </c>
      <c r="C1681" s="27" t="b">
        <f aca="false">FALSE()</f>
        <v>0</v>
      </c>
      <c r="D1681" s="26" t="n">
        <v>45811</v>
      </c>
      <c r="E1681" s="25" t="n">
        <v>2025</v>
      </c>
      <c r="F1681" s="25" t="n">
        <v>2</v>
      </c>
      <c r="G1681" s="25" t="n">
        <v>6</v>
      </c>
    </row>
    <row r="1682" customFormat="false" ht="15" hidden="false" customHeight="false" outlineLevel="0" collapsed="false">
      <c r="A1682" s="25" t="n">
        <v>20250604</v>
      </c>
      <c r="B1682" s="25" t="s">
        <v>2248</v>
      </c>
      <c r="C1682" s="27" t="b">
        <f aca="false">FALSE()</f>
        <v>0</v>
      </c>
      <c r="D1682" s="26" t="n">
        <v>45812</v>
      </c>
      <c r="E1682" s="25" t="n">
        <v>2025</v>
      </c>
      <c r="F1682" s="25" t="n">
        <v>2</v>
      </c>
      <c r="G1682" s="25" t="n">
        <v>6</v>
      </c>
    </row>
    <row r="1683" customFormat="false" ht="15" hidden="false" customHeight="false" outlineLevel="0" collapsed="false">
      <c r="A1683" s="25" t="n">
        <v>20250605</v>
      </c>
      <c r="B1683" s="25" t="s">
        <v>2248</v>
      </c>
      <c r="C1683" s="27" t="b">
        <f aca="false">FALSE()</f>
        <v>0</v>
      </c>
      <c r="D1683" s="26" t="n">
        <v>45813</v>
      </c>
      <c r="E1683" s="25" t="n">
        <v>2025</v>
      </c>
      <c r="F1683" s="25" t="n">
        <v>2</v>
      </c>
      <c r="G1683" s="25" t="n">
        <v>6</v>
      </c>
    </row>
    <row r="1684" customFormat="false" ht="15" hidden="false" customHeight="false" outlineLevel="0" collapsed="false">
      <c r="A1684" s="25" t="n">
        <v>20250606</v>
      </c>
      <c r="B1684" s="25" t="s">
        <v>2248</v>
      </c>
      <c r="C1684" s="27" t="b">
        <f aca="false">FALSE()</f>
        <v>0</v>
      </c>
      <c r="D1684" s="26" t="n">
        <v>45814</v>
      </c>
      <c r="E1684" s="25" t="n">
        <v>2025</v>
      </c>
      <c r="F1684" s="25" t="n">
        <v>2</v>
      </c>
      <c r="G1684" s="25" t="n">
        <v>6</v>
      </c>
    </row>
    <row r="1685" customFormat="false" ht="15" hidden="false" customHeight="false" outlineLevel="0" collapsed="false">
      <c r="A1685" s="25" t="n">
        <v>20250607</v>
      </c>
      <c r="B1685" s="25" t="s">
        <v>2248</v>
      </c>
      <c r="C1685" s="27" t="b">
        <f aca="false">TRUE()</f>
        <v>1</v>
      </c>
      <c r="D1685" s="26" t="n">
        <v>45815</v>
      </c>
      <c r="E1685" s="25" t="n">
        <v>2025</v>
      </c>
      <c r="F1685" s="25" t="n">
        <v>2</v>
      </c>
      <c r="G1685" s="25" t="n">
        <v>6</v>
      </c>
    </row>
    <row r="1686" customFormat="false" ht="15" hidden="false" customHeight="false" outlineLevel="0" collapsed="false">
      <c r="A1686" s="25" t="n">
        <v>20250608</v>
      </c>
      <c r="B1686" s="25" t="s">
        <v>2248</v>
      </c>
      <c r="C1686" s="27" t="b">
        <f aca="false">TRUE()</f>
        <v>1</v>
      </c>
      <c r="D1686" s="26" t="n">
        <v>45816</v>
      </c>
      <c r="E1686" s="25" t="n">
        <v>2025</v>
      </c>
      <c r="F1686" s="25" t="n">
        <v>2</v>
      </c>
      <c r="G1686" s="25" t="n">
        <v>6</v>
      </c>
    </row>
    <row r="1687" customFormat="false" ht="15" hidden="false" customHeight="false" outlineLevel="0" collapsed="false">
      <c r="A1687" s="25" t="n">
        <v>20250609</v>
      </c>
      <c r="B1687" s="25" t="s">
        <v>2248</v>
      </c>
      <c r="C1687" s="27" t="b">
        <f aca="false">FALSE()</f>
        <v>0</v>
      </c>
      <c r="D1687" s="26" t="n">
        <v>45817</v>
      </c>
      <c r="E1687" s="25" t="n">
        <v>2025</v>
      </c>
      <c r="F1687" s="25" t="n">
        <v>2</v>
      </c>
      <c r="G1687" s="25" t="n">
        <v>6</v>
      </c>
    </row>
    <row r="1688" customFormat="false" ht="15" hidden="false" customHeight="false" outlineLevel="0" collapsed="false">
      <c r="A1688" s="25" t="n">
        <v>20250610</v>
      </c>
      <c r="B1688" s="25" t="s">
        <v>2248</v>
      </c>
      <c r="C1688" s="27" t="b">
        <f aca="false">FALSE()</f>
        <v>0</v>
      </c>
      <c r="D1688" s="26" t="n">
        <v>45818</v>
      </c>
      <c r="E1688" s="25" t="n">
        <v>2025</v>
      </c>
      <c r="F1688" s="25" t="n">
        <v>2</v>
      </c>
      <c r="G1688" s="25" t="n">
        <v>6</v>
      </c>
    </row>
    <row r="1689" customFormat="false" ht="15" hidden="false" customHeight="false" outlineLevel="0" collapsed="false">
      <c r="A1689" s="25" t="n">
        <v>20250611</v>
      </c>
      <c r="B1689" s="25" t="s">
        <v>2248</v>
      </c>
      <c r="C1689" s="27" t="b">
        <f aca="false">FALSE()</f>
        <v>0</v>
      </c>
      <c r="D1689" s="26" t="n">
        <v>45819</v>
      </c>
      <c r="E1689" s="25" t="n">
        <v>2025</v>
      </c>
      <c r="F1689" s="25" t="n">
        <v>2</v>
      </c>
      <c r="G1689" s="25" t="n">
        <v>6</v>
      </c>
    </row>
    <row r="1690" customFormat="false" ht="15" hidden="false" customHeight="false" outlineLevel="0" collapsed="false">
      <c r="A1690" s="25" t="n">
        <v>20250612</v>
      </c>
      <c r="B1690" s="25" t="s">
        <v>2248</v>
      </c>
      <c r="C1690" s="27" t="b">
        <f aca="false">FALSE()</f>
        <v>0</v>
      </c>
      <c r="D1690" s="26" t="n">
        <v>45820</v>
      </c>
      <c r="E1690" s="25" t="n">
        <v>2025</v>
      </c>
      <c r="F1690" s="25" t="n">
        <v>2</v>
      </c>
      <c r="G1690" s="25" t="n">
        <v>6</v>
      </c>
    </row>
    <row r="1691" customFormat="false" ht="15" hidden="false" customHeight="false" outlineLevel="0" collapsed="false">
      <c r="A1691" s="25" t="n">
        <v>20250613</v>
      </c>
      <c r="B1691" s="25" t="s">
        <v>2248</v>
      </c>
      <c r="C1691" s="27" t="b">
        <f aca="false">FALSE()</f>
        <v>0</v>
      </c>
      <c r="D1691" s="26" t="n">
        <v>45821</v>
      </c>
      <c r="E1691" s="25" t="n">
        <v>2025</v>
      </c>
      <c r="F1691" s="25" t="n">
        <v>2</v>
      </c>
      <c r="G1691" s="25" t="n">
        <v>6</v>
      </c>
    </row>
    <row r="1692" customFormat="false" ht="15" hidden="false" customHeight="false" outlineLevel="0" collapsed="false">
      <c r="A1692" s="25" t="n">
        <v>20250614</v>
      </c>
      <c r="B1692" s="25" t="s">
        <v>2248</v>
      </c>
      <c r="C1692" s="27" t="b">
        <f aca="false">TRUE()</f>
        <v>1</v>
      </c>
      <c r="D1692" s="26" t="n">
        <v>45822</v>
      </c>
      <c r="E1692" s="25" t="n">
        <v>2025</v>
      </c>
      <c r="F1692" s="25" t="n">
        <v>2</v>
      </c>
      <c r="G1692" s="25" t="n">
        <v>6</v>
      </c>
    </row>
    <row r="1693" customFormat="false" ht="15" hidden="false" customHeight="false" outlineLevel="0" collapsed="false">
      <c r="A1693" s="25" t="n">
        <v>20250615</v>
      </c>
      <c r="B1693" s="25" t="s">
        <v>2248</v>
      </c>
      <c r="C1693" s="27" t="b">
        <f aca="false">TRUE()</f>
        <v>1</v>
      </c>
      <c r="D1693" s="26" t="n">
        <v>45823</v>
      </c>
      <c r="E1693" s="25" t="n">
        <v>2025</v>
      </c>
      <c r="F1693" s="25" t="n">
        <v>2</v>
      </c>
      <c r="G1693" s="25" t="n">
        <v>6</v>
      </c>
    </row>
    <row r="1694" customFormat="false" ht="15" hidden="false" customHeight="false" outlineLevel="0" collapsed="false">
      <c r="A1694" s="25" t="n">
        <v>20250616</v>
      </c>
      <c r="B1694" s="25" t="s">
        <v>2248</v>
      </c>
      <c r="C1694" s="27" t="b">
        <f aca="false">FALSE()</f>
        <v>0</v>
      </c>
      <c r="D1694" s="26" t="n">
        <v>45824</v>
      </c>
      <c r="E1694" s="25" t="n">
        <v>2025</v>
      </c>
      <c r="F1694" s="25" t="n">
        <v>2</v>
      </c>
      <c r="G1694" s="25" t="n">
        <v>6</v>
      </c>
    </row>
    <row r="1695" customFormat="false" ht="15" hidden="false" customHeight="false" outlineLevel="0" collapsed="false">
      <c r="A1695" s="25" t="n">
        <v>20250617</v>
      </c>
      <c r="B1695" s="25" t="s">
        <v>2248</v>
      </c>
      <c r="C1695" s="27" t="b">
        <f aca="false">FALSE()</f>
        <v>0</v>
      </c>
      <c r="D1695" s="26" t="n">
        <v>45825</v>
      </c>
      <c r="E1695" s="25" t="n">
        <v>2025</v>
      </c>
      <c r="F1695" s="25" t="n">
        <v>2</v>
      </c>
      <c r="G1695" s="25" t="n">
        <v>6</v>
      </c>
    </row>
    <row r="1696" customFormat="false" ht="15" hidden="false" customHeight="false" outlineLevel="0" collapsed="false">
      <c r="A1696" s="25" t="n">
        <v>20250618</v>
      </c>
      <c r="B1696" s="25" t="s">
        <v>2248</v>
      </c>
      <c r="C1696" s="27" t="b">
        <f aca="false">FALSE()</f>
        <v>0</v>
      </c>
      <c r="D1696" s="26" t="n">
        <v>45826</v>
      </c>
      <c r="E1696" s="25" t="n">
        <v>2025</v>
      </c>
      <c r="F1696" s="25" t="n">
        <v>2</v>
      </c>
      <c r="G1696" s="25" t="n">
        <v>6</v>
      </c>
    </row>
    <row r="1697" customFormat="false" ht="15" hidden="false" customHeight="false" outlineLevel="0" collapsed="false">
      <c r="A1697" s="25" t="n">
        <v>20250619</v>
      </c>
      <c r="B1697" s="25" t="s">
        <v>2248</v>
      </c>
      <c r="C1697" s="27" t="b">
        <f aca="false">FALSE()</f>
        <v>0</v>
      </c>
      <c r="D1697" s="26" t="n">
        <v>45827</v>
      </c>
      <c r="E1697" s="25" t="n">
        <v>2025</v>
      </c>
      <c r="F1697" s="25" t="n">
        <v>2</v>
      </c>
      <c r="G1697" s="25" t="n">
        <v>6</v>
      </c>
    </row>
    <row r="1698" customFormat="false" ht="15" hidden="false" customHeight="false" outlineLevel="0" collapsed="false">
      <c r="A1698" s="25" t="n">
        <v>20250620</v>
      </c>
      <c r="B1698" s="25" t="s">
        <v>2248</v>
      </c>
      <c r="C1698" s="27" t="b">
        <f aca="false">FALSE()</f>
        <v>0</v>
      </c>
      <c r="D1698" s="26" t="n">
        <v>45828</v>
      </c>
      <c r="E1698" s="25" t="n">
        <v>2025</v>
      </c>
      <c r="F1698" s="25" t="n">
        <v>2</v>
      </c>
      <c r="G1698" s="25" t="n">
        <v>6</v>
      </c>
    </row>
    <row r="1699" customFormat="false" ht="15" hidden="false" customHeight="false" outlineLevel="0" collapsed="false">
      <c r="A1699" s="25" t="n">
        <v>20250621</v>
      </c>
      <c r="B1699" s="25" t="s">
        <v>2248</v>
      </c>
      <c r="C1699" s="27" t="b">
        <f aca="false">TRUE()</f>
        <v>1</v>
      </c>
      <c r="D1699" s="26" t="n">
        <v>45829</v>
      </c>
      <c r="E1699" s="25" t="n">
        <v>2025</v>
      </c>
      <c r="F1699" s="25" t="n">
        <v>2</v>
      </c>
      <c r="G1699" s="25" t="n">
        <v>6</v>
      </c>
    </row>
    <row r="1700" customFormat="false" ht="15" hidden="false" customHeight="false" outlineLevel="0" collapsed="false">
      <c r="A1700" s="25" t="n">
        <v>20250622</v>
      </c>
      <c r="B1700" s="25" t="s">
        <v>2248</v>
      </c>
      <c r="C1700" s="27" t="b">
        <f aca="false">TRUE()</f>
        <v>1</v>
      </c>
      <c r="D1700" s="26" t="n">
        <v>45830</v>
      </c>
      <c r="E1700" s="25" t="n">
        <v>2025</v>
      </c>
      <c r="F1700" s="25" t="n">
        <v>2</v>
      </c>
      <c r="G1700" s="25" t="n">
        <v>6</v>
      </c>
    </row>
    <row r="1701" customFormat="false" ht="15" hidden="false" customHeight="false" outlineLevel="0" collapsed="false">
      <c r="A1701" s="25" t="n">
        <v>20250623</v>
      </c>
      <c r="B1701" s="25" t="s">
        <v>2248</v>
      </c>
      <c r="C1701" s="27" t="b">
        <f aca="false">FALSE()</f>
        <v>0</v>
      </c>
      <c r="D1701" s="26" t="n">
        <v>45831</v>
      </c>
      <c r="E1701" s="25" t="n">
        <v>2025</v>
      </c>
      <c r="F1701" s="25" t="n">
        <v>2</v>
      </c>
      <c r="G1701" s="25" t="n">
        <v>6</v>
      </c>
    </row>
    <row r="1702" customFormat="false" ht="15" hidden="false" customHeight="false" outlineLevel="0" collapsed="false">
      <c r="A1702" s="25" t="n">
        <v>20250624</v>
      </c>
      <c r="B1702" s="25" t="s">
        <v>2248</v>
      </c>
      <c r="C1702" s="27" t="b">
        <f aca="false">FALSE()</f>
        <v>0</v>
      </c>
      <c r="D1702" s="26" t="n">
        <v>45832</v>
      </c>
      <c r="E1702" s="25" t="n">
        <v>2025</v>
      </c>
      <c r="F1702" s="25" t="n">
        <v>2</v>
      </c>
      <c r="G1702" s="25" t="n">
        <v>6</v>
      </c>
    </row>
    <row r="1703" customFormat="false" ht="15" hidden="false" customHeight="false" outlineLevel="0" collapsed="false">
      <c r="A1703" s="25" t="n">
        <v>20250625</v>
      </c>
      <c r="B1703" s="25" t="s">
        <v>2248</v>
      </c>
      <c r="C1703" s="27" t="b">
        <f aca="false">FALSE()</f>
        <v>0</v>
      </c>
      <c r="D1703" s="26" t="n">
        <v>45833</v>
      </c>
      <c r="E1703" s="25" t="n">
        <v>2025</v>
      </c>
      <c r="F1703" s="25" t="n">
        <v>2</v>
      </c>
      <c r="G1703" s="25" t="n">
        <v>6</v>
      </c>
    </row>
    <row r="1704" customFormat="false" ht="15" hidden="false" customHeight="false" outlineLevel="0" collapsed="false">
      <c r="A1704" s="25" t="n">
        <v>20250626</v>
      </c>
      <c r="B1704" s="25" t="s">
        <v>2248</v>
      </c>
      <c r="C1704" s="27" t="b">
        <f aca="false">FALSE()</f>
        <v>0</v>
      </c>
      <c r="D1704" s="26" t="n">
        <v>45834</v>
      </c>
      <c r="E1704" s="25" t="n">
        <v>2025</v>
      </c>
      <c r="F1704" s="25" t="n">
        <v>2</v>
      </c>
      <c r="G1704" s="25" t="n">
        <v>6</v>
      </c>
    </row>
    <row r="1705" customFormat="false" ht="15" hidden="false" customHeight="false" outlineLevel="0" collapsed="false">
      <c r="A1705" s="25" t="n">
        <v>20250627</v>
      </c>
      <c r="B1705" s="25" t="s">
        <v>2248</v>
      </c>
      <c r="C1705" s="27" t="b">
        <f aca="false">FALSE()</f>
        <v>0</v>
      </c>
      <c r="D1705" s="26" t="n">
        <v>45835</v>
      </c>
      <c r="E1705" s="25" t="n">
        <v>2025</v>
      </c>
      <c r="F1705" s="25" t="n">
        <v>2</v>
      </c>
      <c r="G1705" s="25" t="n">
        <v>6</v>
      </c>
    </row>
    <row r="1706" customFormat="false" ht="15" hidden="false" customHeight="false" outlineLevel="0" collapsed="false">
      <c r="A1706" s="25" t="n">
        <v>20250628</v>
      </c>
      <c r="B1706" s="25" t="s">
        <v>2248</v>
      </c>
      <c r="C1706" s="27" t="b">
        <f aca="false">TRUE()</f>
        <v>1</v>
      </c>
      <c r="D1706" s="26" t="n">
        <v>45836</v>
      </c>
      <c r="E1706" s="25" t="n">
        <v>2025</v>
      </c>
      <c r="F1706" s="25" t="n">
        <v>2</v>
      </c>
      <c r="G1706" s="25" t="n">
        <v>6</v>
      </c>
    </row>
    <row r="1707" customFormat="false" ht="15" hidden="false" customHeight="false" outlineLevel="0" collapsed="false">
      <c r="A1707" s="25" t="n">
        <v>20250629</v>
      </c>
      <c r="B1707" s="25" t="s">
        <v>2248</v>
      </c>
      <c r="C1707" s="27" t="b">
        <f aca="false">TRUE()</f>
        <v>1</v>
      </c>
      <c r="D1707" s="26" t="n">
        <v>45837</v>
      </c>
      <c r="E1707" s="25" t="n">
        <v>2025</v>
      </c>
      <c r="F1707" s="25" t="n">
        <v>2</v>
      </c>
      <c r="G1707" s="25" t="n">
        <v>6</v>
      </c>
    </row>
    <row r="1708" customFormat="false" ht="15" hidden="false" customHeight="false" outlineLevel="0" collapsed="false">
      <c r="A1708" s="25" t="n">
        <v>20250630</v>
      </c>
      <c r="B1708" s="25" t="s">
        <v>2248</v>
      </c>
      <c r="C1708" s="27" t="b">
        <f aca="false">FALSE()</f>
        <v>0</v>
      </c>
      <c r="D1708" s="26" t="n">
        <v>45838</v>
      </c>
      <c r="E1708" s="25" t="n">
        <v>2025</v>
      </c>
      <c r="F1708" s="25" t="n">
        <v>2</v>
      </c>
      <c r="G1708" s="25" t="n">
        <v>6</v>
      </c>
    </row>
    <row r="1709" customFormat="false" ht="15" hidden="false" customHeight="false" outlineLevel="0" collapsed="false">
      <c r="A1709" s="25" t="n">
        <v>20250701</v>
      </c>
      <c r="B1709" s="25" t="s">
        <v>2249</v>
      </c>
      <c r="C1709" s="27" t="b">
        <f aca="false">FALSE()</f>
        <v>0</v>
      </c>
      <c r="D1709" s="26" t="n">
        <v>45839</v>
      </c>
      <c r="E1709" s="25" t="n">
        <v>2025</v>
      </c>
      <c r="F1709" s="25" t="n">
        <v>3</v>
      </c>
      <c r="G1709" s="25" t="n">
        <v>7</v>
      </c>
    </row>
    <row r="1710" customFormat="false" ht="15" hidden="false" customHeight="false" outlineLevel="0" collapsed="false">
      <c r="A1710" s="25" t="n">
        <v>20250702</v>
      </c>
      <c r="B1710" s="25" t="s">
        <v>2249</v>
      </c>
      <c r="C1710" s="27" t="b">
        <f aca="false">FALSE()</f>
        <v>0</v>
      </c>
      <c r="D1710" s="26" t="n">
        <v>45840</v>
      </c>
      <c r="E1710" s="25" t="n">
        <v>2025</v>
      </c>
      <c r="F1710" s="25" t="n">
        <v>3</v>
      </c>
      <c r="G1710" s="25" t="n">
        <v>7</v>
      </c>
    </row>
    <row r="1711" customFormat="false" ht="15" hidden="false" customHeight="false" outlineLevel="0" collapsed="false">
      <c r="A1711" s="25" t="n">
        <v>20250703</v>
      </c>
      <c r="B1711" s="25" t="s">
        <v>2249</v>
      </c>
      <c r="C1711" s="27" t="b">
        <f aca="false">FALSE()</f>
        <v>0</v>
      </c>
      <c r="D1711" s="26" t="n">
        <v>45841</v>
      </c>
      <c r="E1711" s="25" t="n">
        <v>2025</v>
      </c>
      <c r="F1711" s="25" t="n">
        <v>3</v>
      </c>
      <c r="G1711" s="25" t="n">
        <v>7</v>
      </c>
    </row>
    <row r="1712" customFormat="false" ht="15" hidden="false" customHeight="false" outlineLevel="0" collapsed="false">
      <c r="A1712" s="25" t="n">
        <v>20250704</v>
      </c>
      <c r="B1712" s="25" t="s">
        <v>2249</v>
      </c>
      <c r="C1712" s="27" t="b">
        <f aca="false">FALSE()</f>
        <v>0</v>
      </c>
      <c r="D1712" s="26" t="n">
        <v>45842</v>
      </c>
      <c r="E1712" s="25" t="n">
        <v>2025</v>
      </c>
      <c r="F1712" s="25" t="n">
        <v>3</v>
      </c>
      <c r="G1712" s="25" t="n">
        <v>7</v>
      </c>
    </row>
    <row r="1713" customFormat="false" ht="15" hidden="false" customHeight="false" outlineLevel="0" collapsed="false">
      <c r="A1713" s="25" t="n">
        <v>20250705</v>
      </c>
      <c r="B1713" s="25" t="s">
        <v>2249</v>
      </c>
      <c r="C1713" s="27" t="b">
        <f aca="false">TRUE()</f>
        <v>1</v>
      </c>
      <c r="D1713" s="26" t="n">
        <v>45843</v>
      </c>
      <c r="E1713" s="25" t="n">
        <v>2025</v>
      </c>
      <c r="F1713" s="25" t="n">
        <v>3</v>
      </c>
      <c r="G1713" s="25" t="n">
        <v>7</v>
      </c>
    </row>
    <row r="1714" customFormat="false" ht="15" hidden="false" customHeight="false" outlineLevel="0" collapsed="false">
      <c r="A1714" s="25" t="n">
        <v>20250706</v>
      </c>
      <c r="B1714" s="25" t="s">
        <v>2249</v>
      </c>
      <c r="C1714" s="27" t="b">
        <f aca="false">TRUE()</f>
        <v>1</v>
      </c>
      <c r="D1714" s="26" t="n">
        <v>45844</v>
      </c>
      <c r="E1714" s="25" t="n">
        <v>2025</v>
      </c>
      <c r="F1714" s="25" t="n">
        <v>3</v>
      </c>
      <c r="G1714" s="25" t="n">
        <v>7</v>
      </c>
    </row>
    <row r="1715" customFormat="false" ht="15" hidden="false" customHeight="false" outlineLevel="0" collapsed="false">
      <c r="A1715" s="25" t="n">
        <v>20250707</v>
      </c>
      <c r="B1715" s="25" t="s">
        <v>2249</v>
      </c>
      <c r="C1715" s="27" t="b">
        <f aca="false">FALSE()</f>
        <v>0</v>
      </c>
      <c r="D1715" s="26" t="n">
        <v>45845</v>
      </c>
      <c r="E1715" s="25" t="n">
        <v>2025</v>
      </c>
      <c r="F1715" s="25" t="n">
        <v>3</v>
      </c>
      <c r="G1715" s="25" t="n">
        <v>7</v>
      </c>
    </row>
    <row r="1716" customFormat="false" ht="15" hidden="false" customHeight="false" outlineLevel="0" collapsed="false">
      <c r="A1716" s="25" t="n">
        <v>20250708</v>
      </c>
      <c r="B1716" s="25" t="s">
        <v>2249</v>
      </c>
      <c r="C1716" s="27" t="b">
        <f aca="false">FALSE()</f>
        <v>0</v>
      </c>
      <c r="D1716" s="26" t="n">
        <v>45846</v>
      </c>
      <c r="E1716" s="25" t="n">
        <v>2025</v>
      </c>
      <c r="F1716" s="25" t="n">
        <v>3</v>
      </c>
      <c r="G1716" s="25" t="n">
        <v>7</v>
      </c>
    </row>
    <row r="1717" customFormat="false" ht="15" hidden="false" customHeight="false" outlineLevel="0" collapsed="false">
      <c r="A1717" s="25" t="n">
        <v>20250709</v>
      </c>
      <c r="B1717" s="25" t="s">
        <v>2249</v>
      </c>
      <c r="C1717" s="27" t="b">
        <f aca="false">FALSE()</f>
        <v>0</v>
      </c>
      <c r="D1717" s="26" t="n">
        <v>45847</v>
      </c>
      <c r="E1717" s="25" t="n">
        <v>2025</v>
      </c>
      <c r="F1717" s="25" t="n">
        <v>3</v>
      </c>
      <c r="G1717" s="25" t="n">
        <v>7</v>
      </c>
    </row>
    <row r="1718" customFormat="false" ht="15" hidden="false" customHeight="false" outlineLevel="0" collapsed="false">
      <c r="A1718" s="25" t="n">
        <v>20250710</v>
      </c>
      <c r="B1718" s="25" t="s">
        <v>2249</v>
      </c>
      <c r="C1718" s="27" t="b">
        <f aca="false">FALSE()</f>
        <v>0</v>
      </c>
      <c r="D1718" s="26" t="n">
        <v>45848</v>
      </c>
      <c r="E1718" s="25" t="n">
        <v>2025</v>
      </c>
      <c r="F1718" s="25" t="n">
        <v>3</v>
      </c>
      <c r="G1718" s="25" t="n">
        <v>7</v>
      </c>
    </row>
    <row r="1719" customFormat="false" ht="15" hidden="false" customHeight="false" outlineLevel="0" collapsed="false">
      <c r="A1719" s="25" t="n">
        <v>20250711</v>
      </c>
      <c r="B1719" s="25" t="s">
        <v>2249</v>
      </c>
      <c r="C1719" s="27" t="b">
        <f aca="false">FALSE()</f>
        <v>0</v>
      </c>
      <c r="D1719" s="26" t="n">
        <v>45849</v>
      </c>
      <c r="E1719" s="25" t="n">
        <v>2025</v>
      </c>
      <c r="F1719" s="25" t="n">
        <v>3</v>
      </c>
      <c r="G1719" s="25" t="n">
        <v>7</v>
      </c>
    </row>
    <row r="1720" customFormat="false" ht="15" hidden="false" customHeight="false" outlineLevel="0" collapsed="false">
      <c r="A1720" s="25" t="n">
        <v>20250712</v>
      </c>
      <c r="B1720" s="25" t="s">
        <v>2249</v>
      </c>
      <c r="C1720" s="27" t="b">
        <f aca="false">TRUE()</f>
        <v>1</v>
      </c>
      <c r="D1720" s="26" t="n">
        <v>45850</v>
      </c>
      <c r="E1720" s="25" t="n">
        <v>2025</v>
      </c>
      <c r="F1720" s="25" t="n">
        <v>3</v>
      </c>
      <c r="G1720" s="25" t="n">
        <v>7</v>
      </c>
    </row>
    <row r="1721" customFormat="false" ht="15" hidden="false" customHeight="false" outlineLevel="0" collapsed="false">
      <c r="A1721" s="25" t="n">
        <v>20250713</v>
      </c>
      <c r="B1721" s="25" t="s">
        <v>2249</v>
      </c>
      <c r="C1721" s="27" t="b">
        <f aca="false">TRUE()</f>
        <v>1</v>
      </c>
      <c r="D1721" s="26" t="n">
        <v>45851</v>
      </c>
      <c r="E1721" s="25" t="n">
        <v>2025</v>
      </c>
      <c r="F1721" s="25" t="n">
        <v>3</v>
      </c>
      <c r="G1721" s="25" t="n">
        <v>7</v>
      </c>
    </row>
    <row r="1722" customFormat="false" ht="15" hidden="false" customHeight="false" outlineLevel="0" collapsed="false">
      <c r="A1722" s="25" t="n">
        <v>20250714</v>
      </c>
      <c r="B1722" s="25" t="s">
        <v>2249</v>
      </c>
      <c r="C1722" s="27" t="b">
        <f aca="false">FALSE()</f>
        <v>0</v>
      </c>
      <c r="D1722" s="26" t="n">
        <v>45852</v>
      </c>
      <c r="E1722" s="25" t="n">
        <v>2025</v>
      </c>
      <c r="F1722" s="25" t="n">
        <v>3</v>
      </c>
      <c r="G1722" s="25" t="n">
        <v>7</v>
      </c>
    </row>
    <row r="1723" customFormat="false" ht="15" hidden="false" customHeight="false" outlineLevel="0" collapsed="false">
      <c r="A1723" s="25" t="n">
        <v>20250715</v>
      </c>
      <c r="B1723" s="25" t="s">
        <v>2249</v>
      </c>
      <c r="C1723" s="27" t="b">
        <f aca="false">FALSE()</f>
        <v>0</v>
      </c>
      <c r="D1723" s="26" t="n">
        <v>45853</v>
      </c>
      <c r="E1723" s="25" t="n">
        <v>2025</v>
      </c>
      <c r="F1723" s="25" t="n">
        <v>3</v>
      </c>
      <c r="G1723" s="25" t="n">
        <v>7</v>
      </c>
    </row>
    <row r="1724" customFormat="false" ht="15" hidden="false" customHeight="false" outlineLevel="0" collapsed="false">
      <c r="A1724" s="25" t="n">
        <v>20250716</v>
      </c>
      <c r="B1724" s="25" t="s">
        <v>2249</v>
      </c>
      <c r="C1724" s="27" t="b">
        <f aca="false">FALSE()</f>
        <v>0</v>
      </c>
      <c r="D1724" s="26" t="n">
        <v>45854</v>
      </c>
      <c r="E1724" s="25" t="n">
        <v>2025</v>
      </c>
      <c r="F1724" s="25" t="n">
        <v>3</v>
      </c>
      <c r="G1724" s="25" t="n">
        <v>7</v>
      </c>
    </row>
    <row r="1725" customFormat="false" ht="15" hidden="false" customHeight="false" outlineLevel="0" collapsed="false">
      <c r="A1725" s="25" t="n">
        <v>20250717</v>
      </c>
      <c r="B1725" s="25" t="s">
        <v>2249</v>
      </c>
      <c r="C1725" s="27" t="b">
        <f aca="false">FALSE()</f>
        <v>0</v>
      </c>
      <c r="D1725" s="26" t="n">
        <v>45855</v>
      </c>
      <c r="E1725" s="25" t="n">
        <v>2025</v>
      </c>
      <c r="F1725" s="25" t="n">
        <v>3</v>
      </c>
      <c r="G1725" s="25" t="n">
        <v>7</v>
      </c>
    </row>
    <row r="1726" customFormat="false" ht="15" hidden="false" customHeight="false" outlineLevel="0" collapsed="false">
      <c r="A1726" s="25" t="n">
        <v>20250718</v>
      </c>
      <c r="B1726" s="25" t="s">
        <v>2249</v>
      </c>
      <c r="C1726" s="27" t="b">
        <f aca="false">FALSE()</f>
        <v>0</v>
      </c>
      <c r="D1726" s="26" t="n">
        <v>45856</v>
      </c>
      <c r="E1726" s="25" t="n">
        <v>2025</v>
      </c>
      <c r="F1726" s="25" t="n">
        <v>3</v>
      </c>
      <c r="G1726" s="25" t="n">
        <v>7</v>
      </c>
    </row>
    <row r="1727" customFormat="false" ht="15" hidden="false" customHeight="false" outlineLevel="0" collapsed="false">
      <c r="A1727" s="25" t="n">
        <v>20250719</v>
      </c>
      <c r="B1727" s="25" t="s">
        <v>2249</v>
      </c>
      <c r="C1727" s="27" t="b">
        <f aca="false">TRUE()</f>
        <v>1</v>
      </c>
      <c r="D1727" s="26" t="n">
        <v>45857</v>
      </c>
      <c r="E1727" s="25" t="n">
        <v>2025</v>
      </c>
      <c r="F1727" s="25" t="n">
        <v>3</v>
      </c>
      <c r="G1727" s="25" t="n">
        <v>7</v>
      </c>
    </row>
    <row r="1728" customFormat="false" ht="15" hidden="false" customHeight="false" outlineLevel="0" collapsed="false">
      <c r="A1728" s="25" t="n">
        <v>20250720</v>
      </c>
      <c r="B1728" s="25" t="s">
        <v>2249</v>
      </c>
      <c r="C1728" s="27" t="b">
        <f aca="false">TRUE()</f>
        <v>1</v>
      </c>
      <c r="D1728" s="26" t="n">
        <v>45858</v>
      </c>
      <c r="E1728" s="25" t="n">
        <v>2025</v>
      </c>
      <c r="F1728" s="25" t="n">
        <v>3</v>
      </c>
      <c r="G1728" s="25" t="n">
        <v>7</v>
      </c>
    </row>
    <row r="1729" customFormat="false" ht="15" hidden="false" customHeight="false" outlineLevel="0" collapsed="false">
      <c r="A1729" s="25" t="n">
        <v>20250721</v>
      </c>
      <c r="B1729" s="25" t="s">
        <v>2249</v>
      </c>
      <c r="C1729" s="27" t="b">
        <f aca="false">FALSE()</f>
        <v>0</v>
      </c>
      <c r="D1729" s="26" t="n">
        <v>45859</v>
      </c>
      <c r="E1729" s="25" t="n">
        <v>2025</v>
      </c>
      <c r="F1729" s="25" t="n">
        <v>3</v>
      </c>
      <c r="G1729" s="25" t="n">
        <v>7</v>
      </c>
    </row>
    <row r="1730" customFormat="false" ht="15" hidden="false" customHeight="false" outlineLevel="0" collapsed="false">
      <c r="A1730" s="25" t="n">
        <v>20250722</v>
      </c>
      <c r="B1730" s="25" t="s">
        <v>2249</v>
      </c>
      <c r="C1730" s="27" t="b">
        <f aca="false">FALSE()</f>
        <v>0</v>
      </c>
      <c r="D1730" s="26" t="n">
        <v>45860</v>
      </c>
      <c r="E1730" s="25" t="n">
        <v>2025</v>
      </c>
      <c r="F1730" s="25" t="n">
        <v>3</v>
      </c>
      <c r="G1730" s="25" t="n">
        <v>7</v>
      </c>
    </row>
    <row r="1731" customFormat="false" ht="15" hidden="false" customHeight="false" outlineLevel="0" collapsed="false">
      <c r="A1731" s="25" t="n">
        <v>20250723</v>
      </c>
      <c r="B1731" s="25" t="s">
        <v>2249</v>
      </c>
      <c r="C1731" s="27" t="b">
        <f aca="false">FALSE()</f>
        <v>0</v>
      </c>
      <c r="D1731" s="26" t="n">
        <v>45861</v>
      </c>
      <c r="E1731" s="25" t="n">
        <v>2025</v>
      </c>
      <c r="F1731" s="25" t="n">
        <v>3</v>
      </c>
      <c r="G1731" s="25" t="n">
        <v>7</v>
      </c>
    </row>
    <row r="1732" customFormat="false" ht="15" hidden="false" customHeight="false" outlineLevel="0" collapsed="false">
      <c r="A1732" s="25" t="n">
        <v>20250724</v>
      </c>
      <c r="B1732" s="25" t="s">
        <v>2249</v>
      </c>
      <c r="C1732" s="27" t="b">
        <f aca="false">FALSE()</f>
        <v>0</v>
      </c>
      <c r="D1732" s="26" t="n">
        <v>45862</v>
      </c>
      <c r="E1732" s="25" t="n">
        <v>2025</v>
      </c>
      <c r="F1732" s="25" t="n">
        <v>3</v>
      </c>
      <c r="G1732" s="25" t="n">
        <v>7</v>
      </c>
    </row>
    <row r="1733" customFormat="false" ht="15" hidden="false" customHeight="false" outlineLevel="0" collapsed="false">
      <c r="A1733" s="25" t="n">
        <v>20250725</v>
      </c>
      <c r="B1733" s="25" t="s">
        <v>2249</v>
      </c>
      <c r="C1733" s="27" t="b">
        <f aca="false">FALSE()</f>
        <v>0</v>
      </c>
      <c r="D1733" s="26" t="n">
        <v>45863</v>
      </c>
      <c r="E1733" s="25" t="n">
        <v>2025</v>
      </c>
      <c r="F1733" s="25" t="n">
        <v>3</v>
      </c>
      <c r="G1733" s="25" t="n">
        <v>7</v>
      </c>
    </row>
    <row r="1734" customFormat="false" ht="15" hidden="false" customHeight="false" outlineLevel="0" collapsed="false">
      <c r="A1734" s="25" t="n">
        <v>20250726</v>
      </c>
      <c r="B1734" s="25" t="s">
        <v>2249</v>
      </c>
      <c r="C1734" s="27" t="b">
        <f aca="false">TRUE()</f>
        <v>1</v>
      </c>
      <c r="D1734" s="26" t="n">
        <v>45864</v>
      </c>
      <c r="E1734" s="25" t="n">
        <v>2025</v>
      </c>
      <c r="F1734" s="25" t="n">
        <v>3</v>
      </c>
      <c r="G1734" s="25" t="n">
        <v>7</v>
      </c>
    </row>
    <row r="1735" customFormat="false" ht="15" hidden="false" customHeight="false" outlineLevel="0" collapsed="false">
      <c r="A1735" s="25" t="n">
        <v>20250727</v>
      </c>
      <c r="B1735" s="25" t="s">
        <v>2249</v>
      </c>
      <c r="C1735" s="27" t="b">
        <f aca="false">TRUE()</f>
        <v>1</v>
      </c>
      <c r="D1735" s="26" t="n">
        <v>45865</v>
      </c>
      <c r="E1735" s="25" t="n">
        <v>2025</v>
      </c>
      <c r="F1735" s="25" t="n">
        <v>3</v>
      </c>
      <c r="G1735" s="25" t="n">
        <v>7</v>
      </c>
    </row>
    <row r="1736" customFormat="false" ht="15" hidden="false" customHeight="false" outlineLevel="0" collapsed="false">
      <c r="A1736" s="25" t="n">
        <v>20250728</v>
      </c>
      <c r="B1736" s="25" t="s">
        <v>2249</v>
      </c>
      <c r="C1736" s="27" t="b">
        <f aca="false">FALSE()</f>
        <v>0</v>
      </c>
      <c r="D1736" s="26" t="n">
        <v>45866</v>
      </c>
      <c r="E1736" s="25" t="n">
        <v>2025</v>
      </c>
      <c r="F1736" s="25" t="n">
        <v>3</v>
      </c>
      <c r="G1736" s="25" t="n">
        <v>7</v>
      </c>
    </row>
    <row r="1737" customFormat="false" ht="15" hidden="false" customHeight="false" outlineLevel="0" collapsed="false">
      <c r="A1737" s="25" t="n">
        <v>20250729</v>
      </c>
      <c r="B1737" s="25" t="s">
        <v>2249</v>
      </c>
      <c r="C1737" s="27" t="b">
        <f aca="false">FALSE()</f>
        <v>0</v>
      </c>
      <c r="D1737" s="26" t="n">
        <v>45867</v>
      </c>
      <c r="E1737" s="25" t="n">
        <v>2025</v>
      </c>
      <c r="F1737" s="25" t="n">
        <v>3</v>
      </c>
      <c r="G1737" s="25" t="n">
        <v>7</v>
      </c>
    </row>
    <row r="1738" customFormat="false" ht="15" hidden="false" customHeight="false" outlineLevel="0" collapsed="false">
      <c r="A1738" s="25" t="n">
        <v>20250730</v>
      </c>
      <c r="B1738" s="25" t="s">
        <v>2249</v>
      </c>
      <c r="C1738" s="27" t="b">
        <f aca="false">FALSE()</f>
        <v>0</v>
      </c>
      <c r="D1738" s="26" t="n">
        <v>45868</v>
      </c>
      <c r="E1738" s="25" t="n">
        <v>2025</v>
      </c>
      <c r="F1738" s="25" t="n">
        <v>3</v>
      </c>
      <c r="G1738" s="25" t="n">
        <v>7</v>
      </c>
    </row>
    <row r="1739" customFormat="false" ht="15" hidden="false" customHeight="false" outlineLevel="0" collapsed="false">
      <c r="A1739" s="25" t="n">
        <v>20250731</v>
      </c>
      <c r="B1739" s="25" t="s">
        <v>2249</v>
      </c>
      <c r="C1739" s="27" t="b">
        <f aca="false">FALSE()</f>
        <v>0</v>
      </c>
      <c r="D1739" s="26" t="n">
        <v>45869</v>
      </c>
      <c r="E1739" s="25" t="n">
        <v>2025</v>
      </c>
      <c r="F1739" s="25" t="n">
        <v>3</v>
      </c>
      <c r="G1739" s="25" t="n">
        <v>7</v>
      </c>
    </row>
    <row r="1740" customFormat="false" ht="15" hidden="false" customHeight="false" outlineLevel="0" collapsed="false">
      <c r="A1740" s="25" t="n">
        <v>20250801</v>
      </c>
      <c r="B1740" s="25" t="s">
        <v>2250</v>
      </c>
      <c r="C1740" s="27" t="b">
        <f aca="false">FALSE()</f>
        <v>0</v>
      </c>
      <c r="D1740" s="26" t="n">
        <v>45870</v>
      </c>
      <c r="E1740" s="25" t="n">
        <v>2025</v>
      </c>
      <c r="F1740" s="25" t="n">
        <v>3</v>
      </c>
      <c r="G1740" s="25" t="n">
        <v>8</v>
      </c>
    </row>
    <row r="1741" customFormat="false" ht="15" hidden="false" customHeight="false" outlineLevel="0" collapsed="false">
      <c r="A1741" s="25" t="n">
        <v>20250802</v>
      </c>
      <c r="B1741" s="25" t="s">
        <v>2250</v>
      </c>
      <c r="C1741" s="27" t="b">
        <f aca="false">TRUE()</f>
        <v>1</v>
      </c>
      <c r="D1741" s="26" t="n">
        <v>45871</v>
      </c>
      <c r="E1741" s="25" t="n">
        <v>2025</v>
      </c>
      <c r="F1741" s="25" t="n">
        <v>3</v>
      </c>
      <c r="G1741" s="25" t="n">
        <v>8</v>
      </c>
    </row>
    <row r="1742" customFormat="false" ht="15" hidden="false" customHeight="false" outlineLevel="0" collapsed="false">
      <c r="A1742" s="25" t="n">
        <v>20250803</v>
      </c>
      <c r="B1742" s="25" t="s">
        <v>2250</v>
      </c>
      <c r="C1742" s="27" t="b">
        <f aca="false">TRUE()</f>
        <v>1</v>
      </c>
      <c r="D1742" s="26" t="n">
        <v>45872</v>
      </c>
      <c r="E1742" s="25" t="n">
        <v>2025</v>
      </c>
      <c r="F1742" s="25" t="n">
        <v>3</v>
      </c>
      <c r="G1742" s="25" t="n">
        <v>8</v>
      </c>
    </row>
    <row r="1743" customFormat="false" ht="15" hidden="false" customHeight="false" outlineLevel="0" collapsed="false">
      <c r="A1743" s="25" t="n">
        <v>20250804</v>
      </c>
      <c r="B1743" s="25" t="s">
        <v>2250</v>
      </c>
      <c r="C1743" s="27" t="b">
        <f aca="false">FALSE()</f>
        <v>0</v>
      </c>
      <c r="D1743" s="26" t="n">
        <v>45873</v>
      </c>
      <c r="E1743" s="25" t="n">
        <v>2025</v>
      </c>
      <c r="F1743" s="25" t="n">
        <v>3</v>
      </c>
      <c r="G1743" s="25" t="n">
        <v>8</v>
      </c>
    </row>
    <row r="1744" customFormat="false" ht="15" hidden="false" customHeight="false" outlineLevel="0" collapsed="false">
      <c r="A1744" s="25" t="n">
        <v>20250805</v>
      </c>
      <c r="B1744" s="25" t="s">
        <v>2250</v>
      </c>
      <c r="C1744" s="27" t="b">
        <f aca="false">FALSE()</f>
        <v>0</v>
      </c>
      <c r="D1744" s="26" t="n">
        <v>45874</v>
      </c>
      <c r="E1744" s="25" t="n">
        <v>2025</v>
      </c>
      <c r="F1744" s="25" t="n">
        <v>3</v>
      </c>
      <c r="G1744" s="25" t="n">
        <v>8</v>
      </c>
    </row>
    <row r="1745" customFormat="false" ht="15" hidden="false" customHeight="false" outlineLevel="0" collapsed="false">
      <c r="A1745" s="25" t="n">
        <v>20250806</v>
      </c>
      <c r="B1745" s="25" t="s">
        <v>2250</v>
      </c>
      <c r="C1745" s="27" t="b">
        <f aca="false">FALSE()</f>
        <v>0</v>
      </c>
      <c r="D1745" s="26" t="n">
        <v>45875</v>
      </c>
      <c r="E1745" s="25" t="n">
        <v>2025</v>
      </c>
      <c r="F1745" s="25" t="n">
        <v>3</v>
      </c>
      <c r="G1745" s="25" t="n">
        <v>8</v>
      </c>
    </row>
    <row r="1746" customFormat="false" ht="15" hidden="false" customHeight="false" outlineLevel="0" collapsed="false">
      <c r="A1746" s="25" t="n">
        <v>20250807</v>
      </c>
      <c r="B1746" s="25" t="s">
        <v>2250</v>
      </c>
      <c r="C1746" s="27" t="b">
        <f aca="false">FALSE()</f>
        <v>0</v>
      </c>
      <c r="D1746" s="26" t="n">
        <v>45876</v>
      </c>
      <c r="E1746" s="25" t="n">
        <v>2025</v>
      </c>
      <c r="F1746" s="25" t="n">
        <v>3</v>
      </c>
      <c r="G1746" s="25" t="n">
        <v>8</v>
      </c>
    </row>
    <row r="1747" customFormat="false" ht="15" hidden="false" customHeight="false" outlineLevel="0" collapsed="false">
      <c r="A1747" s="25" t="n">
        <v>20250808</v>
      </c>
      <c r="B1747" s="25" t="s">
        <v>2250</v>
      </c>
      <c r="C1747" s="27" t="b">
        <f aca="false">FALSE()</f>
        <v>0</v>
      </c>
      <c r="D1747" s="26" t="n">
        <v>45877</v>
      </c>
      <c r="E1747" s="25" t="n">
        <v>2025</v>
      </c>
      <c r="F1747" s="25" t="n">
        <v>3</v>
      </c>
      <c r="G1747" s="25" t="n">
        <v>8</v>
      </c>
    </row>
    <row r="1748" customFormat="false" ht="15" hidden="false" customHeight="false" outlineLevel="0" collapsed="false">
      <c r="A1748" s="25" t="n">
        <v>20250809</v>
      </c>
      <c r="B1748" s="25" t="s">
        <v>2250</v>
      </c>
      <c r="C1748" s="27" t="b">
        <f aca="false">TRUE()</f>
        <v>1</v>
      </c>
      <c r="D1748" s="26" t="n">
        <v>45878</v>
      </c>
      <c r="E1748" s="25" t="n">
        <v>2025</v>
      </c>
      <c r="F1748" s="25" t="n">
        <v>3</v>
      </c>
      <c r="G1748" s="25" t="n">
        <v>8</v>
      </c>
    </row>
    <row r="1749" customFormat="false" ht="15" hidden="false" customHeight="false" outlineLevel="0" collapsed="false">
      <c r="A1749" s="25" t="n">
        <v>20250810</v>
      </c>
      <c r="B1749" s="25" t="s">
        <v>2250</v>
      </c>
      <c r="C1749" s="27" t="b">
        <f aca="false">TRUE()</f>
        <v>1</v>
      </c>
      <c r="D1749" s="26" t="n">
        <v>45879</v>
      </c>
      <c r="E1749" s="25" t="n">
        <v>2025</v>
      </c>
      <c r="F1749" s="25" t="n">
        <v>3</v>
      </c>
      <c r="G1749" s="25" t="n">
        <v>8</v>
      </c>
    </row>
    <row r="1750" customFormat="false" ht="15" hidden="false" customHeight="false" outlineLevel="0" collapsed="false">
      <c r="A1750" s="25" t="n">
        <v>20250811</v>
      </c>
      <c r="B1750" s="25" t="s">
        <v>2250</v>
      </c>
      <c r="C1750" s="27" t="b">
        <f aca="false">FALSE()</f>
        <v>0</v>
      </c>
      <c r="D1750" s="26" t="n">
        <v>45880</v>
      </c>
      <c r="E1750" s="25" t="n">
        <v>2025</v>
      </c>
      <c r="F1750" s="25" t="n">
        <v>3</v>
      </c>
      <c r="G1750" s="25" t="n">
        <v>8</v>
      </c>
    </row>
    <row r="1751" customFormat="false" ht="15" hidden="false" customHeight="false" outlineLevel="0" collapsed="false">
      <c r="A1751" s="25" t="n">
        <v>20250812</v>
      </c>
      <c r="B1751" s="25" t="s">
        <v>2250</v>
      </c>
      <c r="C1751" s="27" t="b">
        <f aca="false">FALSE()</f>
        <v>0</v>
      </c>
      <c r="D1751" s="26" t="n">
        <v>45881</v>
      </c>
      <c r="E1751" s="25" t="n">
        <v>2025</v>
      </c>
      <c r="F1751" s="25" t="n">
        <v>3</v>
      </c>
      <c r="G1751" s="25" t="n">
        <v>8</v>
      </c>
    </row>
    <row r="1752" customFormat="false" ht="15" hidden="false" customHeight="false" outlineLevel="0" collapsed="false">
      <c r="A1752" s="25" t="n">
        <v>20250813</v>
      </c>
      <c r="B1752" s="25" t="s">
        <v>2250</v>
      </c>
      <c r="C1752" s="27" t="b">
        <f aca="false">FALSE()</f>
        <v>0</v>
      </c>
      <c r="D1752" s="26" t="n">
        <v>45882</v>
      </c>
      <c r="E1752" s="25" t="n">
        <v>2025</v>
      </c>
      <c r="F1752" s="25" t="n">
        <v>3</v>
      </c>
      <c r="G1752" s="25" t="n">
        <v>8</v>
      </c>
    </row>
    <row r="1753" customFormat="false" ht="15" hidden="false" customHeight="false" outlineLevel="0" collapsed="false">
      <c r="A1753" s="25" t="n">
        <v>20250814</v>
      </c>
      <c r="B1753" s="25" t="s">
        <v>2250</v>
      </c>
      <c r="C1753" s="27" t="b">
        <f aca="false">FALSE()</f>
        <v>0</v>
      </c>
      <c r="D1753" s="26" t="n">
        <v>45883</v>
      </c>
      <c r="E1753" s="25" t="n">
        <v>2025</v>
      </c>
      <c r="F1753" s="25" t="n">
        <v>3</v>
      </c>
      <c r="G1753" s="25" t="n">
        <v>8</v>
      </c>
    </row>
    <row r="1754" customFormat="false" ht="15" hidden="false" customHeight="false" outlineLevel="0" collapsed="false">
      <c r="A1754" s="25" t="n">
        <v>20250815</v>
      </c>
      <c r="B1754" s="25" t="s">
        <v>2250</v>
      </c>
      <c r="C1754" s="27" t="b">
        <f aca="false">FALSE()</f>
        <v>0</v>
      </c>
      <c r="D1754" s="26" t="n">
        <v>45884</v>
      </c>
      <c r="E1754" s="25" t="n">
        <v>2025</v>
      </c>
      <c r="F1754" s="25" t="n">
        <v>3</v>
      </c>
      <c r="G1754" s="25" t="n">
        <v>8</v>
      </c>
    </row>
    <row r="1755" customFormat="false" ht="15" hidden="false" customHeight="false" outlineLevel="0" collapsed="false">
      <c r="A1755" s="25" t="n">
        <v>20250816</v>
      </c>
      <c r="B1755" s="25" t="s">
        <v>2250</v>
      </c>
      <c r="C1755" s="27" t="b">
        <f aca="false">TRUE()</f>
        <v>1</v>
      </c>
      <c r="D1755" s="26" t="n">
        <v>45885</v>
      </c>
      <c r="E1755" s="25" t="n">
        <v>2025</v>
      </c>
      <c r="F1755" s="25" t="n">
        <v>3</v>
      </c>
      <c r="G1755" s="25" t="n">
        <v>8</v>
      </c>
    </row>
    <row r="1756" customFormat="false" ht="15" hidden="false" customHeight="false" outlineLevel="0" collapsed="false">
      <c r="A1756" s="25" t="n">
        <v>20250817</v>
      </c>
      <c r="B1756" s="25" t="s">
        <v>2250</v>
      </c>
      <c r="C1756" s="27" t="b">
        <f aca="false">TRUE()</f>
        <v>1</v>
      </c>
      <c r="D1756" s="26" t="n">
        <v>45886</v>
      </c>
      <c r="E1756" s="25" t="n">
        <v>2025</v>
      </c>
      <c r="F1756" s="25" t="n">
        <v>3</v>
      </c>
      <c r="G1756" s="25" t="n">
        <v>8</v>
      </c>
    </row>
    <row r="1757" customFormat="false" ht="15" hidden="false" customHeight="false" outlineLevel="0" collapsed="false">
      <c r="A1757" s="25" t="n">
        <v>20250818</v>
      </c>
      <c r="B1757" s="25" t="s">
        <v>2250</v>
      </c>
      <c r="C1757" s="27" t="b">
        <f aca="false">FALSE()</f>
        <v>0</v>
      </c>
      <c r="D1757" s="26" t="n">
        <v>45887</v>
      </c>
      <c r="E1757" s="25" t="n">
        <v>2025</v>
      </c>
      <c r="F1757" s="25" t="n">
        <v>3</v>
      </c>
      <c r="G1757" s="25" t="n">
        <v>8</v>
      </c>
    </row>
    <row r="1758" customFormat="false" ht="15" hidden="false" customHeight="false" outlineLevel="0" collapsed="false">
      <c r="A1758" s="25" t="n">
        <v>20250819</v>
      </c>
      <c r="B1758" s="25" t="s">
        <v>2250</v>
      </c>
      <c r="C1758" s="27" t="b">
        <f aca="false">FALSE()</f>
        <v>0</v>
      </c>
      <c r="D1758" s="26" t="n">
        <v>45888</v>
      </c>
      <c r="E1758" s="25" t="n">
        <v>2025</v>
      </c>
      <c r="F1758" s="25" t="n">
        <v>3</v>
      </c>
      <c r="G1758" s="25" t="n">
        <v>8</v>
      </c>
    </row>
    <row r="1759" customFormat="false" ht="15" hidden="false" customHeight="false" outlineLevel="0" collapsed="false">
      <c r="A1759" s="25" t="n">
        <v>20250820</v>
      </c>
      <c r="B1759" s="25" t="s">
        <v>2250</v>
      </c>
      <c r="C1759" s="27" t="b">
        <f aca="false">FALSE()</f>
        <v>0</v>
      </c>
      <c r="D1759" s="26" t="n">
        <v>45889</v>
      </c>
      <c r="E1759" s="25" t="n">
        <v>2025</v>
      </c>
      <c r="F1759" s="25" t="n">
        <v>3</v>
      </c>
      <c r="G1759" s="25" t="n">
        <v>8</v>
      </c>
    </row>
    <row r="1760" customFormat="false" ht="15" hidden="false" customHeight="false" outlineLevel="0" collapsed="false">
      <c r="A1760" s="25" t="n">
        <v>20250821</v>
      </c>
      <c r="B1760" s="25" t="s">
        <v>2250</v>
      </c>
      <c r="C1760" s="27" t="b">
        <f aca="false">FALSE()</f>
        <v>0</v>
      </c>
      <c r="D1760" s="26" t="n">
        <v>45890</v>
      </c>
      <c r="E1760" s="25" t="n">
        <v>2025</v>
      </c>
      <c r="F1760" s="25" t="n">
        <v>3</v>
      </c>
      <c r="G1760" s="25" t="n">
        <v>8</v>
      </c>
    </row>
    <row r="1761" customFormat="false" ht="15" hidden="false" customHeight="false" outlineLevel="0" collapsed="false">
      <c r="A1761" s="25" t="n">
        <v>20250822</v>
      </c>
      <c r="B1761" s="25" t="s">
        <v>2250</v>
      </c>
      <c r="C1761" s="27" t="b">
        <f aca="false">FALSE()</f>
        <v>0</v>
      </c>
      <c r="D1761" s="26" t="n">
        <v>45891</v>
      </c>
      <c r="E1761" s="25" t="n">
        <v>2025</v>
      </c>
      <c r="F1761" s="25" t="n">
        <v>3</v>
      </c>
      <c r="G1761" s="25" t="n">
        <v>8</v>
      </c>
    </row>
    <row r="1762" customFormat="false" ht="15" hidden="false" customHeight="false" outlineLevel="0" collapsed="false">
      <c r="A1762" s="25" t="n">
        <v>20250823</v>
      </c>
      <c r="B1762" s="25" t="s">
        <v>2250</v>
      </c>
      <c r="C1762" s="27" t="b">
        <f aca="false">TRUE()</f>
        <v>1</v>
      </c>
      <c r="D1762" s="26" t="n">
        <v>45892</v>
      </c>
      <c r="E1762" s="25" t="n">
        <v>2025</v>
      </c>
      <c r="F1762" s="25" t="n">
        <v>3</v>
      </c>
      <c r="G1762" s="25" t="n">
        <v>8</v>
      </c>
    </row>
    <row r="1763" customFormat="false" ht="15" hidden="false" customHeight="false" outlineLevel="0" collapsed="false">
      <c r="A1763" s="25" t="n">
        <v>20250824</v>
      </c>
      <c r="B1763" s="25" t="s">
        <v>2250</v>
      </c>
      <c r="C1763" s="27" t="b">
        <f aca="false">TRUE()</f>
        <v>1</v>
      </c>
      <c r="D1763" s="26" t="n">
        <v>45893</v>
      </c>
      <c r="E1763" s="25" t="n">
        <v>2025</v>
      </c>
      <c r="F1763" s="25" t="n">
        <v>3</v>
      </c>
      <c r="G1763" s="25" t="n">
        <v>8</v>
      </c>
    </row>
    <row r="1764" customFormat="false" ht="15" hidden="false" customHeight="false" outlineLevel="0" collapsed="false">
      <c r="A1764" s="25" t="n">
        <v>20250825</v>
      </c>
      <c r="B1764" s="25" t="s">
        <v>2250</v>
      </c>
      <c r="C1764" s="27" t="b">
        <f aca="false">FALSE()</f>
        <v>0</v>
      </c>
      <c r="D1764" s="26" t="n">
        <v>45894</v>
      </c>
      <c r="E1764" s="25" t="n">
        <v>2025</v>
      </c>
      <c r="F1764" s="25" t="n">
        <v>3</v>
      </c>
      <c r="G1764" s="25" t="n">
        <v>8</v>
      </c>
    </row>
    <row r="1765" customFormat="false" ht="15" hidden="false" customHeight="false" outlineLevel="0" collapsed="false">
      <c r="A1765" s="25" t="n">
        <v>20250826</v>
      </c>
      <c r="B1765" s="25" t="s">
        <v>2250</v>
      </c>
      <c r="C1765" s="27" t="b">
        <f aca="false">FALSE()</f>
        <v>0</v>
      </c>
      <c r="D1765" s="26" t="n">
        <v>45895</v>
      </c>
      <c r="E1765" s="25" t="n">
        <v>2025</v>
      </c>
      <c r="F1765" s="25" t="n">
        <v>3</v>
      </c>
      <c r="G1765" s="25" t="n">
        <v>8</v>
      </c>
    </row>
    <row r="1766" customFormat="false" ht="15" hidden="false" customHeight="false" outlineLevel="0" collapsed="false">
      <c r="A1766" s="25" t="n">
        <v>20250827</v>
      </c>
      <c r="B1766" s="25" t="s">
        <v>2250</v>
      </c>
      <c r="C1766" s="27" t="b">
        <f aca="false">FALSE()</f>
        <v>0</v>
      </c>
      <c r="D1766" s="26" t="n">
        <v>45896</v>
      </c>
      <c r="E1766" s="25" t="n">
        <v>2025</v>
      </c>
      <c r="F1766" s="25" t="n">
        <v>3</v>
      </c>
      <c r="G1766" s="25" t="n">
        <v>8</v>
      </c>
    </row>
    <row r="1767" customFormat="false" ht="15" hidden="false" customHeight="false" outlineLevel="0" collapsed="false">
      <c r="A1767" s="25" t="n">
        <v>20250828</v>
      </c>
      <c r="B1767" s="25" t="s">
        <v>2250</v>
      </c>
      <c r="C1767" s="27" t="b">
        <f aca="false">FALSE()</f>
        <v>0</v>
      </c>
      <c r="D1767" s="26" t="n">
        <v>45897</v>
      </c>
      <c r="E1767" s="25" t="n">
        <v>2025</v>
      </c>
      <c r="F1767" s="25" t="n">
        <v>3</v>
      </c>
      <c r="G1767" s="25" t="n">
        <v>8</v>
      </c>
    </row>
    <row r="1768" customFormat="false" ht="15" hidden="false" customHeight="false" outlineLevel="0" collapsed="false">
      <c r="A1768" s="25" t="n">
        <v>20250829</v>
      </c>
      <c r="B1768" s="25" t="s">
        <v>2250</v>
      </c>
      <c r="C1768" s="27" t="b">
        <f aca="false">FALSE()</f>
        <v>0</v>
      </c>
      <c r="D1768" s="26" t="n">
        <v>45898</v>
      </c>
      <c r="E1768" s="25" t="n">
        <v>2025</v>
      </c>
      <c r="F1768" s="25" t="n">
        <v>3</v>
      </c>
      <c r="G1768" s="25" t="n">
        <v>8</v>
      </c>
    </row>
    <row r="1769" customFormat="false" ht="15" hidden="false" customHeight="false" outlineLevel="0" collapsed="false">
      <c r="A1769" s="25" t="n">
        <v>20250830</v>
      </c>
      <c r="B1769" s="25" t="s">
        <v>2250</v>
      </c>
      <c r="C1769" s="27" t="b">
        <f aca="false">TRUE()</f>
        <v>1</v>
      </c>
      <c r="D1769" s="26" t="n">
        <v>45899</v>
      </c>
      <c r="E1769" s="25" t="n">
        <v>2025</v>
      </c>
      <c r="F1769" s="25" t="n">
        <v>3</v>
      </c>
      <c r="G1769" s="25" t="n">
        <v>8</v>
      </c>
    </row>
    <row r="1770" customFormat="false" ht="15" hidden="false" customHeight="false" outlineLevel="0" collapsed="false">
      <c r="A1770" s="25" t="n">
        <v>20250831</v>
      </c>
      <c r="B1770" s="25" t="s">
        <v>2250</v>
      </c>
      <c r="C1770" s="27" t="b">
        <f aca="false">TRUE()</f>
        <v>1</v>
      </c>
      <c r="D1770" s="26" t="n">
        <v>45900</v>
      </c>
      <c r="E1770" s="25" t="n">
        <v>2025</v>
      </c>
      <c r="F1770" s="25" t="n">
        <v>3</v>
      </c>
      <c r="G1770" s="25" t="n">
        <v>8</v>
      </c>
    </row>
    <row r="1771" customFormat="false" ht="15" hidden="false" customHeight="false" outlineLevel="0" collapsed="false">
      <c r="A1771" s="25" t="n">
        <v>20250901</v>
      </c>
      <c r="B1771" s="25" t="s">
        <v>2251</v>
      </c>
      <c r="C1771" s="27" t="b">
        <f aca="false">FALSE()</f>
        <v>0</v>
      </c>
      <c r="D1771" s="26" t="n">
        <v>45901</v>
      </c>
      <c r="E1771" s="25" t="n">
        <v>2025</v>
      </c>
      <c r="F1771" s="25" t="n">
        <v>3</v>
      </c>
      <c r="G1771" s="25" t="n">
        <v>9</v>
      </c>
    </row>
    <row r="1772" customFormat="false" ht="15" hidden="false" customHeight="false" outlineLevel="0" collapsed="false">
      <c r="A1772" s="25" t="n">
        <v>20250902</v>
      </c>
      <c r="B1772" s="25" t="s">
        <v>2251</v>
      </c>
      <c r="C1772" s="27" t="b">
        <f aca="false">FALSE()</f>
        <v>0</v>
      </c>
      <c r="D1772" s="26" t="n">
        <v>45902</v>
      </c>
      <c r="E1772" s="25" t="n">
        <v>2025</v>
      </c>
      <c r="F1772" s="25" t="n">
        <v>3</v>
      </c>
      <c r="G1772" s="25" t="n">
        <v>9</v>
      </c>
    </row>
    <row r="1773" customFormat="false" ht="15" hidden="false" customHeight="false" outlineLevel="0" collapsed="false">
      <c r="A1773" s="25" t="n">
        <v>20250903</v>
      </c>
      <c r="B1773" s="25" t="s">
        <v>2251</v>
      </c>
      <c r="C1773" s="27" t="b">
        <f aca="false">FALSE()</f>
        <v>0</v>
      </c>
      <c r="D1773" s="26" t="n">
        <v>45903</v>
      </c>
      <c r="E1773" s="25" t="n">
        <v>2025</v>
      </c>
      <c r="F1773" s="25" t="n">
        <v>3</v>
      </c>
      <c r="G1773" s="25" t="n">
        <v>9</v>
      </c>
    </row>
    <row r="1774" customFormat="false" ht="15" hidden="false" customHeight="false" outlineLevel="0" collapsed="false">
      <c r="A1774" s="25" t="n">
        <v>20250904</v>
      </c>
      <c r="B1774" s="25" t="s">
        <v>2251</v>
      </c>
      <c r="C1774" s="27" t="b">
        <f aca="false">FALSE()</f>
        <v>0</v>
      </c>
      <c r="D1774" s="26" t="n">
        <v>45904</v>
      </c>
      <c r="E1774" s="25" t="n">
        <v>2025</v>
      </c>
      <c r="F1774" s="25" t="n">
        <v>3</v>
      </c>
      <c r="G1774" s="25" t="n">
        <v>9</v>
      </c>
    </row>
    <row r="1775" customFormat="false" ht="15" hidden="false" customHeight="false" outlineLevel="0" collapsed="false">
      <c r="A1775" s="25" t="n">
        <v>20250905</v>
      </c>
      <c r="B1775" s="25" t="s">
        <v>2251</v>
      </c>
      <c r="C1775" s="27" t="b">
        <f aca="false">FALSE()</f>
        <v>0</v>
      </c>
      <c r="D1775" s="26" t="n">
        <v>45905</v>
      </c>
      <c r="E1775" s="25" t="n">
        <v>2025</v>
      </c>
      <c r="F1775" s="25" t="n">
        <v>3</v>
      </c>
      <c r="G1775" s="25" t="n">
        <v>9</v>
      </c>
    </row>
    <row r="1776" customFormat="false" ht="15" hidden="false" customHeight="false" outlineLevel="0" collapsed="false">
      <c r="A1776" s="25" t="n">
        <v>20250906</v>
      </c>
      <c r="B1776" s="25" t="s">
        <v>2251</v>
      </c>
      <c r="C1776" s="27" t="b">
        <f aca="false">TRUE()</f>
        <v>1</v>
      </c>
      <c r="D1776" s="26" t="n">
        <v>45906</v>
      </c>
      <c r="E1776" s="25" t="n">
        <v>2025</v>
      </c>
      <c r="F1776" s="25" t="n">
        <v>3</v>
      </c>
      <c r="G1776" s="25" t="n">
        <v>9</v>
      </c>
    </row>
    <row r="1777" customFormat="false" ht="15" hidden="false" customHeight="false" outlineLevel="0" collapsed="false">
      <c r="A1777" s="25" t="n">
        <v>20250907</v>
      </c>
      <c r="B1777" s="25" t="s">
        <v>2251</v>
      </c>
      <c r="C1777" s="27" t="b">
        <f aca="false">TRUE()</f>
        <v>1</v>
      </c>
      <c r="D1777" s="26" t="n">
        <v>45907</v>
      </c>
      <c r="E1777" s="25" t="n">
        <v>2025</v>
      </c>
      <c r="F1777" s="25" t="n">
        <v>3</v>
      </c>
      <c r="G1777" s="25" t="n">
        <v>9</v>
      </c>
    </row>
    <row r="1778" customFormat="false" ht="15" hidden="false" customHeight="false" outlineLevel="0" collapsed="false">
      <c r="A1778" s="25" t="n">
        <v>20250908</v>
      </c>
      <c r="B1778" s="25" t="s">
        <v>2251</v>
      </c>
      <c r="C1778" s="27" t="b">
        <f aca="false">FALSE()</f>
        <v>0</v>
      </c>
      <c r="D1778" s="26" t="n">
        <v>45908</v>
      </c>
      <c r="E1778" s="25" t="n">
        <v>2025</v>
      </c>
      <c r="F1778" s="25" t="n">
        <v>3</v>
      </c>
      <c r="G1778" s="25" t="n">
        <v>9</v>
      </c>
    </row>
    <row r="1779" customFormat="false" ht="15" hidden="false" customHeight="false" outlineLevel="0" collapsed="false">
      <c r="A1779" s="25" t="n">
        <v>20250909</v>
      </c>
      <c r="B1779" s="25" t="s">
        <v>2251</v>
      </c>
      <c r="C1779" s="27" t="b">
        <f aca="false">FALSE()</f>
        <v>0</v>
      </c>
      <c r="D1779" s="26" t="n">
        <v>45909</v>
      </c>
      <c r="E1779" s="25" t="n">
        <v>2025</v>
      </c>
      <c r="F1779" s="25" t="n">
        <v>3</v>
      </c>
      <c r="G1779" s="25" t="n">
        <v>9</v>
      </c>
    </row>
    <row r="1780" customFormat="false" ht="15" hidden="false" customHeight="false" outlineLevel="0" collapsed="false">
      <c r="A1780" s="25" t="n">
        <v>20250910</v>
      </c>
      <c r="B1780" s="25" t="s">
        <v>2251</v>
      </c>
      <c r="C1780" s="27" t="b">
        <f aca="false">FALSE()</f>
        <v>0</v>
      </c>
      <c r="D1780" s="26" t="n">
        <v>45910</v>
      </c>
      <c r="E1780" s="25" t="n">
        <v>2025</v>
      </c>
      <c r="F1780" s="25" t="n">
        <v>3</v>
      </c>
      <c r="G1780" s="25" t="n">
        <v>9</v>
      </c>
    </row>
    <row r="1781" customFormat="false" ht="15" hidden="false" customHeight="false" outlineLevel="0" collapsed="false">
      <c r="A1781" s="25" t="n">
        <v>20250911</v>
      </c>
      <c r="B1781" s="25" t="s">
        <v>2251</v>
      </c>
      <c r="C1781" s="27" t="b">
        <f aca="false">FALSE()</f>
        <v>0</v>
      </c>
      <c r="D1781" s="26" t="n">
        <v>45911</v>
      </c>
      <c r="E1781" s="25" t="n">
        <v>2025</v>
      </c>
      <c r="F1781" s="25" t="n">
        <v>3</v>
      </c>
      <c r="G1781" s="25" t="n">
        <v>9</v>
      </c>
    </row>
    <row r="1782" customFormat="false" ht="15" hidden="false" customHeight="false" outlineLevel="0" collapsed="false">
      <c r="A1782" s="25" t="n">
        <v>20250912</v>
      </c>
      <c r="B1782" s="25" t="s">
        <v>2251</v>
      </c>
      <c r="C1782" s="27" t="b">
        <f aca="false">FALSE()</f>
        <v>0</v>
      </c>
      <c r="D1782" s="26" t="n">
        <v>45912</v>
      </c>
      <c r="E1782" s="25" t="n">
        <v>2025</v>
      </c>
      <c r="F1782" s="25" t="n">
        <v>3</v>
      </c>
      <c r="G1782" s="25" t="n">
        <v>9</v>
      </c>
    </row>
    <row r="1783" customFormat="false" ht="15" hidden="false" customHeight="false" outlineLevel="0" collapsed="false">
      <c r="A1783" s="25" t="n">
        <v>20250913</v>
      </c>
      <c r="B1783" s="25" t="s">
        <v>2251</v>
      </c>
      <c r="C1783" s="27" t="b">
        <f aca="false">TRUE()</f>
        <v>1</v>
      </c>
      <c r="D1783" s="26" t="n">
        <v>45913</v>
      </c>
      <c r="E1783" s="25" t="n">
        <v>2025</v>
      </c>
      <c r="F1783" s="25" t="n">
        <v>3</v>
      </c>
      <c r="G1783" s="25" t="n">
        <v>9</v>
      </c>
    </row>
    <row r="1784" customFormat="false" ht="15" hidden="false" customHeight="false" outlineLevel="0" collapsed="false">
      <c r="A1784" s="25" t="n">
        <v>20250914</v>
      </c>
      <c r="B1784" s="25" t="s">
        <v>2251</v>
      </c>
      <c r="C1784" s="27" t="b">
        <f aca="false">TRUE()</f>
        <v>1</v>
      </c>
      <c r="D1784" s="26" t="n">
        <v>45914</v>
      </c>
      <c r="E1784" s="25" t="n">
        <v>2025</v>
      </c>
      <c r="F1784" s="25" t="n">
        <v>3</v>
      </c>
      <c r="G1784" s="25" t="n">
        <v>9</v>
      </c>
    </row>
    <row r="1785" customFormat="false" ht="15" hidden="false" customHeight="false" outlineLevel="0" collapsed="false">
      <c r="A1785" s="25" t="n">
        <v>20250915</v>
      </c>
      <c r="B1785" s="25" t="s">
        <v>2251</v>
      </c>
      <c r="C1785" s="27" t="b">
        <f aca="false">FALSE()</f>
        <v>0</v>
      </c>
      <c r="D1785" s="26" t="n">
        <v>45915</v>
      </c>
      <c r="E1785" s="25" t="n">
        <v>2025</v>
      </c>
      <c r="F1785" s="25" t="n">
        <v>3</v>
      </c>
      <c r="G1785" s="25" t="n">
        <v>9</v>
      </c>
    </row>
    <row r="1786" customFormat="false" ht="15" hidden="false" customHeight="false" outlineLevel="0" collapsed="false">
      <c r="A1786" s="25" t="n">
        <v>20250916</v>
      </c>
      <c r="B1786" s="25" t="s">
        <v>2251</v>
      </c>
      <c r="C1786" s="27" t="b">
        <f aca="false">FALSE()</f>
        <v>0</v>
      </c>
      <c r="D1786" s="26" t="n">
        <v>45916</v>
      </c>
      <c r="E1786" s="25" t="n">
        <v>2025</v>
      </c>
      <c r="F1786" s="25" t="n">
        <v>3</v>
      </c>
      <c r="G1786" s="25" t="n">
        <v>9</v>
      </c>
    </row>
    <row r="1787" customFormat="false" ht="15" hidden="false" customHeight="false" outlineLevel="0" collapsed="false">
      <c r="A1787" s="25" t="n">
        <v>20250917</v>
      </c>
      <c r="B1787" s="25" t="s">
        <v>2251</v>
      </c>
      <c r="C1787" s="27" t="b">
        <f aca="false">FALSE()</f>
        <v>0</v>
      </c>
      <c r="D1787" s="26" t="n">
        <v>45917</v>
      </c>
      <c r="E1787" s="25" t="n">
        <v>2025</v>
      </c>
      <c r="F1787" s="25" t="n">
        <v>3</v>
      </c>
      <c r="G1787" s="25" t="n">
        <v>9</v>
      </c>
    </row>
    <row r="1788" customFormat="false" ht="15" hidden="false" customHeight="false" outlineLevel="0" collapsed="false">
      <c r="A1788" s="25" t="n">
        <v>20250918</v>
      </c>
      <c r="B1788" s="25" t="s">
        <v>2251</v>
      </c>
      <c r="C1788" s="27" t="b">
        <f aca="false">FALSE()</f>
        <v>0</v>
      </c>
      <c r="D1788" s="26" t="n">
        <v>45918</v>
      </c>
      <c r="E1788" s="25" t="n">
        <v>2025</v>
      </c>
      <c r="F1788" s="25" t="n">
        <v>3</v>
      </c>
      <c r="G1788" s="25" t="n">
        <v>9</v>
      </c>
    </row>
    <row r="1789" customFormat="false" ht="15" hidden="false" customHeight="false" outlineLevel="0" collapsed="false">
      <c r="A1789" s="25" t="n">
        <v>20250919</v>
      </c>
      <c r="B1789" s="25" t="s">
        <v>2251</v>
      </c>
      <c r="C1789" s="27" t="b">
        <f aca="false">FALSE()</f>
        <v>0</v>
      </c>
      <c r="D1789" s="26" t="n">
        <v>45919</v>
      </c>
      <c r="E1789" s="25" t="n">
        <v>2025</v>
      </c>
      <c r="F1789" s="25" t="n">
        <v>3</v>
      </c>
      <c r="G1789" s="25" t="n">
        <v>9</v>
      </c>
    </row>
    <row r="1790" customFormat="false" ht="15" hidden="false" customHeight="false" outlineLevel="0" collapsed="false">
      <c r="A1790" s="25" t="n">
        <v>20250920</v>
      </c>
      <c r="B1790" s="25" t="s">
        <v>2251</v>
      </c>
      <c r="C1790" s="27" t="b">
        <f aca="false">TRUE()</f>
        <v>1</v>
      </c>
      <c r="D1790" s="26" t="n">
        <v>45920</v>
      </c>
      <c r="E1790" s="25" t="n">
        <v>2025</v>
      </c>
      <c r="F1790" s="25" t="n">
        <v>3</v>
      </c>
      <c r="G1790" s="25" t="n">
        <v>9</v>
      </c>
    </row>
    <row r="1791" customFormat="false" ht="15" hidden="false" customHeight="false" outlineLevel="0" collapsed="false">
      <c r="A1791" s="25" t="n">
        <v>20250921</v>
      </c>
      <c r="B1791" s="25" t="s">
        <v>2251</v>
      </c>
      <c r="C1791" s="27" t="b">
        <f aca="false">TRUE()</f>
        <v>1</v>
      </c>
      <c r="D1791" s="26" t="n">
        <v>45921</v>
      </c>
      <c r="E1791" s="25" t="n">
        <v>2025</v>
      </c>
      <c r="F1791" s="25" t="n">
        <v>3</v>
      </c>
      <c r="G1791" s="25" t="n">
        <v>9</v>
      </c>
    </row>
    <row r="1792" customFormat="false" ht="15" hidden="false" customHeight="false" outlineLevel="0" collapsed="false">
      <c r="A1792" s="25" t="n">
        <v>20250922</v>
      </c>
      <c r="B1792" s="25" t="s">
        <v>2251</v>
      </c>
      <c r="C1792" s="27" t="b">
        <f aca="false">FALSE()</f>
        <v>0</v>
      </c>
      <c r="D1792" s="26" t="n">
        <v>45922</v>
      </c>
      <c r="E1792" s="25" t="n">
        <v>2025</v>
      </c>
      <c r="F1792" s="25" t="n">
        <v>3</v>
      </c>
      <c r="G1792" s="25" t="n">
        <v>9</v>
      </c>
    </row>
    <row r="1793" customFormat="false" ht="15" hidden="false" customHeight="false" outlineLevel="0" collapsed="false">
      <c r="A1793" s="25" t="n">
        <v>20250923</v>
      </c>
      <c r="B1793" s="25" t="s">
        <v>2251</v>
      </c>
      <c r="C1793" s="27" t="b">
        <f aca="false">FALSE()</f>
        <v>0</v>
      </c>
      <c r="D1793" s="26" t="n">
        <v>45923</v>
      </c>
      <c r="E1793" s="25" t="n">
        <v>2025</v>
      </c>
      <c r="F1793" s="25" t="n">
        <v>3</v>
      </c>
      <c r="G1793" s="25" t="n">
        <v>9</v>
      </c>
    </row>
    <row r="1794" customFormat="false" ht="15" hidden="false" customHeight="false" outlineLevel="0" collapsed="false">
      <c r="A1794" s="25" t="n">
        <v>20250924</v>
      </c>
      <c r="B1794" s="25" t="s">
        <v>2251</v>
      </c>
      <c r="C1794" s="27" t="b">
        <f aca="false">FALSE()</f>
        <v>0</v>
      </c>
      <c r="D1794" s="26" t="n">
        <v>45924</v>
      </c>
      <c r="E1794" s="25" t="n">
        <v>2025</v>
      </c>
      <c r="F1794" s="25" t="n">
        <v>3</v>
      </c>
      <c r="G1794" s="25" t="n">
        <v>9</v>
      </c>
    </row>
    <row r="1795" customFormat="false" ht="15" hidden="false" customHeight="false" outlineLevel="0" collapsed="false">
      <c r="A1795" s="25" t="n">
        <v>20250925</v>
      </c>
      <c r="B1795" s="25" t="s">
        <v>2251</v>
      </c>
      <c r="C1795" s="27" t="b">
        <f aca="false">FALSE()</f>
        <v>0</v>
      </c>
      <c r="D1795" s="26" t="n">
        <v>45925</v>
      </c>
      <c r="E1795" s="25" t="n">
        <v>2025</v>
      </c>
      <c r="F1795" s="25" t="n">
        <v>3</v>
      </c>
      <c r="G1795" s="25" t="n">
        <v>9</v>
      </c>
    </row>
    <row r="1796" customFormat="false" ht="15" hidden="false" customHeight="false" outlineLevel="0" collapsed="false">
      <c r="A1796" s="25" t="n">
        <v>20250926</v>
      </c>
      <c r="B1796" s="25" t="s">
        <v>2251</v>
      </c>
      <c r="C1796" s="27" t="b">
        <f aca="false">FALSE()</f>
        <v>0</v>
      </c>
      <c r="D1796" s="26" t="n">
        <v>45926</v>
      </c>
      <c r="E1796" s="25" t="n">
        <v>2025</v>
      </c>
      <c r="F1796" s="25" t="n">
        <v>3</v>
      </c>
      <c r="G1796" s="25" t="n">
        <v>9</v>
      </c>
    </row>
    <row r="1797" customFormat="false" ht="15" hidden="false" customHeight="false" outlineLevel="0" collapsed="false">
      <c r="A1797" s="25" t="n">
        <v>20250927</v>
      </c>
      <c r="B1797" s="25" t="s">
        <v>2251</v>
      </c>
      <c r="C1797" s="27" t="b">
        <f aca="false">TRUE()</f>
        <v>1</v>
      </c>
      <c r="D1797" s="26" t="n">
        <v>45927</v>
      </c>
      <c r="E1797" s="25" t="n">
        <v>2025</v>
      </c>
      <c r="F1797" s="25" t="n">
        <v>3</v>
      </c>
      <c r="G1797" s="25" t="n">
        <v>9</v>
      </c>
    </row>
    <row r="1798" customFormat="false" ht="15" hidden="false" customHeight="false" outlineLevel="0" collapsed="false">
      <c r="A1798" s="25" t="n">
        <v>20250928</v>
      </c>
      <c r="B1798" s="25" t="s">
        <v>2251</v>
      </c>
      <c r="C1798" s="27" t="b">
        <f aca="false">TRUE()</f>
        <v>1</v>
      </c>
      <c r="D1798" s="26" t="n">
        <v>45928</v>
      </c>
      <c r="E1798" s="25" t="n">
        <v>2025</v>
      </c>
      <c r="F1798" s="25" t="n">
        <v>3</v>
      </c>
      <c r="G1798" s="25" t="n">
        <v>9</v>
      </c>
    </row>
    <row r="1799" customFormat="false" ht="15" hidden="false" customHeight="false" outlineLevel="0" collapsed="false">
      <c r="A1799" s="25" t="n">
        <v>20250929</v>
      </c>
      <c r="B1799" s="25" t="s">
        <v>2251</v>
      </c>
      <c r="C1799" s="27" t="b">
        <f aca="false">FALSE()</f>
        <v>0</v>
      </c>
      <c r="D1799" s="26" t="n">
        <v>45929</v>
      </c>
      <c r="E1799" s="25" t="n">
        <v>2025</v>
      </c>
      <c r="F1799" s="25" t="n">
        <v>3</v>
      </c>
      <c r="G1799" s="25" t="n">
        <v>9</v>
      </c>
    </row>
    <row r="1800" customFormat="false" ht="15" hidden="false" customHeight="false" outlineLevel="0" collapsed="false">
      <c r="A1800" s="25" t="n">
        <v>20250930</v>
      </c>
      <c r="B1800" s="25" t="s">
        <v>2251</v>
      </c>
      <c r="C1800" s="27" t="b">
        <f aca="false">FALSE()</f>
        <v>0</v>
      </c>
      <c r="D1800" s="26" t="n">
        <v>45930</v>
      </c>
      <c r="E1800" s="25" t="n">
        <v>2025</v>
      </c>
      <c r="F1800" s="25" t="n">
        <v>3</v>
      </c>
      <c r="G1800" s="25" t="n">
        <v>9</v>
      </c>
    </row>
    <row r="1801" customFormat="false" ht="15" hidden="false" customHeight="false" outlineLevel="0" collapsed="false">
      <c r="A1801" s="25" t="n">
        <v>20251001</v>
      </c>
      <c r="B1801" s="25" t="s">
        <v>2240</v>
      </c>
      <c r="C1801" s="27" t="b">
        <f aca="false">FALSE()</f>
        <v>0</v>
      </c>
      <c r="D1801" s="26" t="n">
        <v>45931</v>
      </c>
      <c r="E1801" s="25" t="n">
        <v>2025</v>
      </c>
      <c r="F1801" s="25" t="n">
        <v>4</v>
      </c>
      <c r="G1801" s="25" t="n">
        <v>10</v>
      </c>
    </row>
    <row r="1802" customFormat="false" ht="15" hidden="false" customHeight="false" outlineLevel="0" collapsed="false">
      <c r="A1802" s="25" t="n">
        <v>20251002</v>
      </c>
      <c r="B1802" s="25" t="s">
        <v>2240</v>
      </c>
      <c r="C1802" s="27" t="b">
        <f aca="false">FALSE()</f>
        <v>0</v>
      </c>
      <c r="D1802" s="26" t="n">
        <v>45932</v>
      </c>
      <c r="E1802" s="25" t="n">
        <v>2025</v>
      </c>
      <c r="F1802" s="25" t="n">
        <v>4</v>
      </c>
      <c r="G1802" s="25" t="n">
        <v>10</v>
      </c>
    </row>
    <row r="1803" customFormat="false" ht="15" hidden="false" customHeight="false" outlineLevel="0" collapsed="false">
      <c r="A1803" s="25" t="n">
        <v>20251003</v>
      </c>
      <c r="B1803" s="25" t="s">
        <v>2240</v>
      </c>
      <c r="C1803" s="27" t="b">
        <f aca="false">FALSE()</f>
        <v>0</v>
      </c>
      <c r="D1803" s="26" t="n">
        <v>45933</v>
      </c>
      <c r="E1803" s="25" t="n">
        <v>2025</v>
      </c>
      <c r="F1803" s="25" t="n">
        <v>4</v>
      </c>
      <c r="G1803" s="25" t="n">
        <v>10</v>
      </c>
    </row>
    <row r="1804" customFormat="false" ht="15" hidden="false" customHeight="false" outlineLevel="0" collapsed="false">
      <c r="A1804" s="25" t="n">
        <v>20251004</v>
      </c>
      <c r="B1804" s="25" t="s">
        <v>2240</v>
      </c>
      <c r="C1804" s="27" t="b">
        <f aca="false">TRUE()</f>
        <v>1</v>
      </c>
      <c r="D1804" s="26" t="n">
        <v>45934</v>
      </c>
      <c r="E1804" s="25" t="n">
        <v>2025</v>
      </c>
      <c r="F1804" s="25" t="n">
        <v>4</v>
      </c>
      <c r="G1804" s="25" t="n">
        <v>10</v>
      </c>
    </row>
    <row r="1805" customFormat="false" ht="15" hidden="false" customHeight="false" outlineLevel="0" collapsed="false">
      <c r="A1805" s="25" t="n">
        <v>20251005</v>
      </c>
      <c r="B1805" s="25" t="s">
        <v>2240</v>
      </c>
      <c r="C1805" s="27" t="b">
        <f aca="false">TRUE()</f>
        <v>1</v>
      </c>
      <c r="D1805" s="26" t="n">
        <v>45935</v>
      </c>
      <c r="E1805" s="25" t="n">
        <v>2025</v>
      </c>
      <c r="F1805" s="25" t="n">
        <v>4</v>
      </c>
      <c r="G1805" s="25" t="n">
        <v>10</v>
      </c>
    </row>
    <row r="1806" customFormat="false" ht="15" hidden="false" customHeight="false" outlineLevel="0" collapsed="false">
      <c r="A1806" s="25" t="n">
        <v>20251006</v>
      </c>
      <c r="B1806" s="25" t="s">
        <v>2240</v>
      </c>
      <c r="C1806" s="27" t="b">
        <f aca="false">FALSE()</f>
        <v>0</v>
      </c>
      <c r="D1806" s="26" t="n">
        <v>45936</v>
      </c>
      <c r="E1806" s="25" t="n">
        <v>2025</v>
      </c>
      <c r="F1806" s="25" t="n">
        <v>4</v>
      </c>
      <c r="G1806" s="25" t="n">
        <v>10</v>
      </c>
    </row>
    <row r="1807" customFormat="false" ht="15" hidden="false" customHeight="false" outlineLevel="0" collapsed="false">
      <c r="A1807" s="25" t="n">
        <v>20251007</v>
      </c>
      <c r="B1807" s="25" t="s">
        <v>2240</v>
      </c>
      <c r="C1807" s="27" t="b">
        <f aca="false">FALSE()</f>
        <v>0</v>
      </c>
      <c r="D1807" s="26" t="n">
        <v>45937</v>
      </c>
      <c r="E1807" s="25" t="n">
        <v>2025</v>
      </c>
      <c r="F1807" s="25" t="n">
        <v>4</v>
      </c>
      <c r="G1807" s="25" t="n">
        <v>10</v>
      </c>
    </row>
    <row r="1808" customFormat="false" ht="15" hidden="false" customHeight="false" outlineLevel="0" collapsed="false">
      <c r="A1808" s="25" t="n">
        <v>20251008</v>
      </c>
      <c r="B1808" s="25" t="s">
        <v>2240</v>
      </c>
      <c r="C1808" s="27" t="b">
        <f aca="false">FALSE()</f>
        <v>0</v>
      </c>
      <c r="D1808" s="26" t="n">
        <v>45938</v>
      </c>
      <c r="E1808" s="25" t="n">
        <v>2025</v>
      </c>
      <c r="F1808" s="25" t="n">
        <v>4</v>
      </c>
      <c r="G1808" s="25" t="n">
        <v>10</v>
      </c>
    </row>
    <row r="1809" customFormat="false" ht="15" hidden="false" customHeight="false" outlineLevel="0" collapsed="false">
      <c r="A1809" s="25" t="n">
        <v>20251009</v>
      </c>
      <c r="B1809" s="25" t="s">
        <v>2240</v>
      </c>
      <c r="C1809" s="27" t="b">
        <f aca="false">FALSE()</f>
        <v>0</v>
      </c>
      <c r="D1809" s="26" t="n">
        <v>45939</v>
      </c>
      <c r="E1809" s="25" t="n">
        <v>2025</v>
      </c>
      <c r="F1809" s="25" t="n">
        <v>4</v>
      </c>
      <c r="G1809" s="25" t="n">
        <v>10</v>
      </c>
    </row>
    <row r="1810" customFormat="false" ht="15" hidden="false" customHeight="false" outlineLevel="0" collapsed="false">
      <c r="A1810" s="25" t="n">
        <v>20251010</v>
      </c>
      <c r="B1810" s="25" t="s">
        <v>2240</v>
      </c>
      <c r="C1810" s="27" t="b">
        <f aca="false">FALSE()</f>
        <v>0</v>
      </c>
      <c r="D1810" s="26" t="n">
        <v>45940</v>
      </c>
      <c r="E1810" s="25" t="n">
        <v>2025</v>
      </c>
      <c r="F1810" s="25" t="n">
        <v>4</v>
      </c>
      <c r="G1810" s="25" t="n">
        <v>10</v>
      </c>
    </row>
    <row r="1811" customFormat="false" ht="15" hidden="false" customHeight="false" outlineLevel="0" collapsed="false">
      <c r="A1811" s="25" t="n">
        <v>20251011</v>
      </c>
      <c r="B1811" s="25" t="s">
        <v>2240</v>
      </c>
      <c r="C1811" s="27" t="b">
        <f aca="false">TRUE()</f>
        <v>1</v>
      </c>
      <c r="D1811" s="26" t="n">
        <v>45941</v>
      </c>
      <c r="E1811" s="25" t="n">
        <v>2025</v>
      </c>
      <c r="F1811" s="25" t="n">
        <v>4</v>
      </c>
      <c r="G1811" s="25" t="n">
        <v>10</v>
      </c>
    </row>
    <row r="1812" customFormat="false" ht="15" hidden="false" customHeight="false" outlineLevel="0" collapsed="false">
      <c r="A1812" s="25" t="n">
        <v>20251012</v>
      </c>
      <c r="B1812" s="25" t="s">
        <v>2240</v>
      </c>
      <c r="C1812" s="27" t="b">
        <f aca="false">TRUE()</f>
        <v>1</v>
      </c>
      <c r="D1812" s="26" t="n">
        <v>45942</v>
      </c>
      <c r="E1812" s="25" t="n">
        <v>2025</v>
      </c>
      <c r="F1812" s="25" t="n">
        <v>4</v>
      </c>
      <c r="G1812" s="25" t="n">
        <v>10</v>
      </c>
    </row>
    <row r="1813" customFormat="false" ht="15" hidden="false" customHeight="false" outlineLevel="0" collapsed="false">
      <c r="A1813" s="25" t="n">
        <v>20251013</v>
      </c>
      <c r="B1813" s="25" t="s">
        <v>2240</v>
      </c>
      <c r="C1813" s="27" t="b">
        <f aca="false">FALSE()</f>
        <v>0</v>
      </c>
      <c r="D1813" s="26" t="n">
        <v>45943</v>
      </c>
      <c r="E1813" s="25" t="n">
        <v>2025</v>
      </c>
      <c r="F1813" s="25" t="n">
        <v>4</v>
      </c>
      <c r="G1813" s="25" t="n">
        <v>10</v>
      </c>
    </row>
    <row r="1814" customFormat="false" ht="15" hidden="false" customHeight="false" outlineLevel="0" collapsed="false">
      <c r="A1814" s="25" t="n">
        <v>20251014</v>
      </c>
      <c r="B1814" s="25" t="s">
        <v>2240</v>
      </c>
      <c r="C1814" s="27" t="b">
        <f aca="false">FALSE()</f>
        <v>0</v>
      </c>
      <c r="D1814" s="26" t="n">
        <v>45944</v>
      </c>
      <c r="E1814" s="25" t="n">
        <v>2025</v>
      </c>
      <c r="F1814" s="25" t="n">
        <v>4</v>
      </c>
      <c r="G1814" s="25" t="n">
        <v>10</v>
      </c>
    </row>
    <row r="1815" customFormat="false" ht="15" hidden="false" customHeight="false" outlineLevel="0" collapsed="false">
      <c r="A1815" s="25" t="n">
        <v>20251015</v>
      </c>
      <c r="B1815" s="25" t="s">
        <v>2240</v>
      </c>
      <c r="C1815" s="27" t="b">
        <f aca="false">FALSE()</f>
        <v>0</v>
      </c>
      <c r="D1815" s="26" t="n">
        <v>45945</v>
      </c>
      <c r="E1815" s="25" t="n">
        <v>2025</v>
      </c>
      <c r="F1815" s="25" t="n">
        <v>4</v>
      </c>
      <c r="G1815" s="25" t="n">
        <v>10</v>
      </c>
    </row>
    <row r="1816" customFormat="false" ht="15" hidden="false" customHeight="false" outlineLevel="0" collapsed="false">
      <c r="A1816" s="25" t="n">
        <v>20251016</v>
      </c>
      <c r="B1816" s="25" t="s">
        <v>2240</v>
      </c>
      <c r="C1816" s="27" t="b">
        <f aca="false">FALSE()</f>
        <v>0</v>
      </c>
      <c r="D1816" s="26" t="n">
        <v>45946</v>
      </c>
      <c r="E1816" s="25" t="n">
        <v>2025</v>
      </c>
      <c r="F1816" s="25" t="n">
        <v>4</v>
      </c>
      <c r="G1816" s="25" t="n">
        <v>10</v>
      </c>
    </row>
    <row r="1817" customFormat="false" ht="15" hidden="false" customHeight="false" outlineLevel="0" collapsed="false">
      <c r="A1817" s="25" t="n">
        <v>20251017</v>
      </c>
      <c r="B1817" s="25" t="s">
        <v>2240</v>
      </c>
      <c r="C1817" s="27" t="b">
        <f aca="false">FALSE()</f>
        <v>0</v>
      </c>
      <c r="D1817" s="26" t="n">
        <v>45947</v>
      </c>
      <c r="E1817" s="25" t="n">
        <v>2025</v>
      </c>
      <c r="F1817" s="25" t="n">
        <v>4</v>
      </c>
      <c r="G1817" s="25" t="n">
        <v>10</v>
      </c>
    </row>
    <row r="1818" customFormat="false" ht="15" hidden="false" customHeight="false" outlineLevel="0" collapsed="false">
      <c r="A1818" s="25" t="n">
        <v>20251018</v>
      </c>
      <c r="B1818" s="25" t="s">
        <v>2240</v>
      </c>
      <c r="C1818" s="27" t="b">
        <f aca="false">TRUE()</f>
        <v>1</v>
      </c>
      <c r="D1818" s="26" t="n">
        <v>45948</v>
      </c>
      <c r="E1818" s="25" t="n">
        <v>2025</v>
      </c>
      <c r="F1818" s="25" t="n">
        <v>4</v>
      </c>
      <c r="G1818" s="25" t="n">
        <v>10</v>
      </c>
    </row>
    <row r="1819" customFormat="false" ht="15" hidden="false" customHeight="false" outlineLevel="0" collapsed="false">
      <c r="A1819" s="25" t="n">
        <v>20251019</v>
      </c>
      <c r="B1819" s="25" t="s">
        <v>2240</v>
      </c>
      <c r="C1819" s="27" t="b">
        <f aca="false">TRUE()</f>
        <v>1</v>
      </c>
      <c r="D1819" s="26" t="n">
        <v>45949</v>
      </c>
      <c r="E1819" s="25" t="n">
        <v>2025</v>
      </c>
      <c r="F1819" s="25" t="n">
        <v>4</v>
      </c>
      <c r="G1819" s="25" t="n">
        <v>10</v>
      </c>
    </row>
    <row r="1820" customFormat="false" ht="15" hidden="false" customHeight="false" outlineLevel="0" collapsed="false">
      <c r="A1820" s="25" t="n">
        <v>20251020</v>
      </c>
      <c r="B1820" s="25" t="s">
        <v>2240</v>
      </c>
      <c r="C1820" s="27" t="b">
        <f aca="false">FALSE()</f>
        <v>0</v>
      </c>
      <c r="D1820" s="26" t="n">
        <v>45950</v>
      </c>
      <c r="E1820" s="25" t="n">
        <v>2025</v>
      </c>
      <c r="F1820" s="25" t="n">
        <v>4</v>
      </c>
      <c r="G1820" s="25" t="n">
        <v>10</v>
      </c>
    </row>
    <row r="1821" customFormat="false" ht="15" hidden="false" customHeight="false" outlineLevel="0" collapsed="false">
      <c r="A1821" s="25" t="n">
        <v>20251021</v>
      </c>
      <c r="B1821" s="25" t="s">
        <v>2240</v>
      </c>
      <c r="C1821" s="27" t="b">
        <f aca="false">FALSE()</f>
        <v>0</v>
      </c>
      <c r="D1821" s="26" t="n">
        <v>45951</v>
      </c>
      <c r="E1821" s="25" t="n">
        <v>2025</v>
      </c>
      <c r="F1821" s="25" t="n">
        <v>4</v>
      </c>
      <c r="G1821" s="25" t="n">
        <v>10</v>
      </c>
    </row>
    <row r="1822" customFormat="false" ht="15" hidden="false" customHeight="false" outlineLevel="0" collapsed="false">
      <c r="A1822" s="25" t="n">
        <v>20251022</v>
      </c>
      <c r="B1822" s="25" t="s">
        <v>2240</v>
      </c>
      <c r="C1822" s="27" t="b">
        <f aca="false">FALSE()</f>
        <v>0</v>
      </c>
      <c r="D1822" s="26" t="n">
        <v>45952</v>
      </c>
      <c r="E1822" s="25" t="n">
        <v>2025</v>
      </c>
      <c r="F1822" s="25" t="n">
        <v>4</v>
      </c>
      <c r="G1822" s="25" t="n">
        <v>10</v>
      </c>
    </row>
    <row r="1823" customFormat="false" ht="15" hidden="false" customHeight="false" outlineLevel="0" collapsed="false">
      <c r="A1823" s="25" t="n">
        <v>20251023</v>
      </c>
      <c r="B1823" s="25" t="s">
        <v>2240</v>
      </c>
      <c r="C1823" s="27" t="b">
        <f aca="false">FALSE()</f>
        <v>0</v>
      </c>
      <c r="D1823" s="26" t="n">
        <v>45953</v>
      </c>
      <c r="E1823" s="25" t="n">
        <v>2025</v>
      </c>
      <c r="F1823" s="25" t="n">
        <v>4</v>
      </c>
      <c r="G1823" s="25" t="n">
        <v>10</v>
      </c>
    </row>
    <row r="1824" customFormat="false" ht="15" hidden="false" customHeight="false" outlineLevel="0" collapsed="false">
      <c r="A1824" s="25" t="n">
        <v>20251024</v>
      </c>
      <c r="B1824" s="25" t="s">
        <v>2240</v>
      </c>
      <c r="C1824" s="27" t="b">
        <f aca="false">FALSE()</f>
        <v>0</v>
      </c>
      <c r="D1824" s="26" t="n">
        <v>45954</v>
      </c>
      <c r="E1824" s="25" t="n">
        <v>2025</v>
      </c>
      <c r="F1824" s="25" t="n">
        <v>4</v>
      </c>
      <c r="G1824" s="25" t="n">
        <v>10</v>
      </c>
    </row>
    <row r="1825" customFormat="false" ht="15" hidden="false" customHeight="false" outlineLevel="0" collapsed="false">
      <c r="A1825" s="25" t="n">
        <v>20251025</v>
      </c>
      <c r="B1825" s="25" t="s">
        <v>2240</v>
      </c>
      <c r="C1825" s="27" t="b">
        <f aca="false">TRUE()</f>
        <v>1</v>
      </c>
      <c r="D1825" s="26" t="n">
        <v>45955</v>
      </c>
      <c r="E1825" s="25" t="n">
        <v>2025</v>
      </c>
      <c r="F1825" s="25" t="n">
        <v>4</v>
      </c>
      <c r="G1825" s="25" t="n">
        <v>10</v>
      </c>
    </row>
    <row r="1826" customFormat="false" ht="15" hidden="false" customHeight="false" outlineLevel="0" collapsed="false">
      <c r="A1826" s="25" t="n">
        <v>20251026</v>
      </c>
      <c r="B1826" s="25" t="s">
        <v>2240</v>
      </c>
      <c r="C1826" s="27" t="b">
        <f aca="false">TRUE()</f>
        <v>1</v>
      </c>
      <c r="D1826" s="26" t="n">
        <v>45956</v>
      </c>
      <c r="E1826" s="25" t="n">
        <v>2025</v>
      </c>
      <c r="F1826" s="25" t="n">
        <v>4</v>
      </c>
      <c r="G1826" s="25" t="n">
        <v>10</v>
      </c>
    </row>
    <row r="1827" customFormat="false" ht="15" hidden="false" customHeight="false" outlineLevel="0" collapsed="false">
      <c r="A1827" s="25" t="n">
        <v>20251027</v>
      </c>
      <c r="B1827" s="25" t="s">
        <v>2240</v>
      </c>
      <c r="C1827" s="27" t="b">
        <f aca="false">FALSE()</f>
        <v>0</v>
      </c>
      <c r="D1827" s="26" t="n">
        <v>45957</v>
      </c>
      <c r="E1827" s="25" t="n">
        <v>2025</v>
      </c>
      <c r="F1827" s="25" t="n">
        <v>4</v>
      </c>
      <c r="G1827" s="25" t="n">
        <v>10</v>
      </c>
    </row>
    <row r="1828" customFormat="false" ht="15" hidden="false" customHeight="false" outlineLevel="0" collapsed="false">
      <c r="A1828" s="25" t="n">
        <v>20251028</v>
      </c>
      <c r="B1828" s="25" t="s">
        <v>2240</v>
      </c>
      <c r="C1828" s="27" t="b">
        <f aca="false">FALSE()</f>
        <v>0</v>
      </c>
      <c r="D1828" s="26" t="n">
        <v>45958</v>
      </c>
      <c r="E1828" s="25" t="n">
        <v>2025</v>
      </c>
      <c r="F1828" s="25" t="n">
        <v>4</v>
      </c>
      <c r="G1828" s="25" t="n">
        <v>10</v>
      </c>
    </row>
    <row r="1829" customFormat="false" ht="15" hidden="false" customHeight="false" outlineLevel="0" collapsed="false">
      <c r="A1829" s="25" t="n">
        <v>20251029</v>
      </c>
      <c r="B1829" s="25" t="s">
        <v>2240</v>
      </c>
      <c r="C1829" s="27" t="b">
        <f aca="false">FALSE()</f>
        <v>0</v>
      </c>
      <c r="D1829" s="26" t="n">
        <v>45959</v>
      </c>
      <c r="E1829" s="25" t="n">
        <v>2025</v>
      </c>
      <c r="F1829" s="25" t="n">
        <v>4</v>
      </c>
      <c r="G1829" s="25" t="n">
        <v>10</v>
      </c>
    </row>
    <row r="1830" customFormat="false" ht="15" hidden="false" customHeight="false" outlineLevel="0" collapsed="false">
      <c r="A1830" s="25" t="n">
        <v>20251030</v>
      </c>
      <c r="B1830" s="25" t="s">
        <v>2240</v>
      </c>
      <c r="C1830" s="27" t="b">
        <f aca="false">FALSE()</f>
        <v>0</v>
      </c>
      <c r="D1830" s="26" t="n">
        <v>45960</v>
      </c>
      <c r="E1830" s="25" t="n">
        <v>2025</v>
      </c>
      <c r="F1830" s="25" t="n">
        <v>4</v>
      </c>
      <c r="G1830" s="25" t="n">
        <v>10</v>
      </c>
    </row>
    <row r="1831" customFormat="false" ht="15" hidden="false" customHeight="false" outlineLevel="0" collapsed="false">
      <c r="A1831" s="25" t="n">
        <v>20251031</v>
      </c>
      <c r="B1831" s="25" t="s">
        <v>2240</v>
      </c>
      <c r="C1831" s="27" t="b">
        <f aca="false">FALSE()</f>
        <v>0</v>
      </c>
      <c r="D1831" s="26" t="n">
        <v>45961</v>
      </c>
      <c r="E1831" s="25" t="n">
        <v>2025</v>
      </c>
      <c r="F1831" s="25" t="n">
        <v>4</v>
      </c>
      <c r="G1831" s="25" t="n">
        <v>10</v>
      </c>
    </row>
    <row r="1832" customFormat="false" ht="15" hidden="false" customHeight="false" outlineLevel="0" collapsed="false">
      <c r="A1832" s="25" t="n">
        <v>20251101</v>
      </c>
      <c r="B1832" s="25" t="s">
        <v>2241</v>
      </c>
      <c r="C1832" s="27" t="b">
        <f aca="false">TRUE()</f>
        <v>1</v>
      </c>
      <c r="D1832" s="26" t="n">
        <v>45962</v>
      </c>
      <c r="E1832" s="25" t="n">
        <v>2025</v>
      </c>
      <c r="F1832" s="25" t="n">
        <v>4</v>
      </c>
      <c r="G1832" s="25" t="n">
        <v>11</v>
      </c>
    </row>
    <row r="1833" customFormat="false" ht="15" hidden="false" customHeight="false" outlineLevel="0" collapsed="false">
      <c r="A1833" s="25" t="n">
        <v>20251102</v>
      </c>
      <c r="B1833" s="25" t="s">
        <v>2241</v>
      </c>
      <c r="C1833" s="27" t="b">
        <f aca="false">TRUE()</f>
        <v>1</v>
      </c>
      <c r="D1833" s="26" t="n">
        <v>45963</v>
      </c>
      <c r="E1833" s="25" t="n">
        <v>2025</v>
      </c>
      <c r="F1833" s="25" t="n">
        <v>4</v>
      </c>
      <c r="G1833" s="25" t="n">
        <v>11</v>
      </c>
    </row>
    <row r="1834" customFormat="false" ht="15" hidden="false" customHeight="false" outlineLevel="0" collapsed="false">
      <c r="A1834" s="25" t="n">
        <v>20251103</v>
      </c>
      <c r="B1834" s="25" t="s">
        <v>2241</v>
      </c>
      <c r="C1834" s="27" t="b">
        <f aca="false">FALSE()</f>
        <v>0</v>
      </c>
      <c r="D1834" s="26" t="n">
        <v>45964</v>
      </c>
      <c r="E1834" s="25" t="n">
        <v>2025</v>
      </c>
      <c r="F1834" s="25" t="n">
        <v>4</v>
      </c>
      <c r="G1834" s="25" t="n">
        <v>11</v>
      </c>
    </row>
    <row r="1835" customFormat="false" ht="15" hidden="false" customHeight="false" outlineLevel="0" collapsed="false">
      <c r="A1835" s="25" t="n">
        <v>20251104</v>
      </c>
      <c r="B1835" s="25" t="s">
        <v>2241</v>
      </c>
      <c r="C1835" s="27" t="b">
        <f aca="false">FALSE()</f>
        <v>0</v>
      </c>
      <c r="D1835" s="26" t="n">
        <v>45965</v>
      </c>
      <c r="E1835" s="25" t="n">
        <v>2025</v>
      </c>
      <c r="F1835" s="25" t="n">
        <v>4</v>
      </c>
      <c r="G1835" s="25" t="n">
        <v>11</v>
      </c>
    </row>
    <row r="1836" customFormat="false" ht="15" hidden="false" customHeight="false" outlineLevel="0" collapsed="false">
      <c r="A1836" s="25" t="n">
        <v>20251105</v>
      </c>
      <c r="B1836" s="25" t="s">
        <v>2241</v>
      </c>
      <c r="C1836" s="27" t="b">
        <f aca="false">FALSE()</f>
        <v>0</v>
      </c>
      <c r="D1836" s="26" t="n">
        <v>45966</v>
      </c>
      <c r="E1836" s="25" t="n">
        <v>2025</v>
      </c>
      <c r="F1836" s="25" t="n">
        <v>4</v>
      </c>
      <c r="G1836" s="25" t="n">
        <v>11</v>
      </c>
    </row>
    <row r="1837" customFormat="false" ht="15" hidden="false" customHeight="false" outlineLevel="0" collapsed="false">
      <c r="A1837" s="25" t="n">
        <v>20251106</v>
      </c>
      <c r="B1837" s="25" t="s">
        <v>2241</v>
      </c>
      <c r="C1837" s="27" t="b">
        <f aca="false">FALSE()</f>
        <v>0</v>
      </c>
      <c r="D1837" s="26" t="n">
        <v>45967</v>
      </c>
      <c r="E1837" s="25" t="n">
        <v>2025</v>
      </c>
      <c r="F1837" s="25" t="n">
        <v>4</v>
      </c>
      <c r="G1837" s="25" t="n">
        <v>11</v>
      </c>
    </row>
    <row r="1838" customFormat="false" ht="15" hidden="false" customHeight="false" outlineLevel="0" collapsed="false">
      <c r="A1838" s="25" t="n">
        <v>20251107</v>
      </c>
      <c r="B1838" s="25" t="s">
        <v>2241</v>
      </c>
      <c r="C1838" s="27" t="b">
        <f aca="false">FALSE()</f>
        <v>0</v>
      </c>
      <c r="D1838" s="26" t="n">
        <v>45968</v>
      </c>
      <c r="E1838" s="25" t="n">
        <v>2025</v>
      </c>
      <c r="F1838" s="25" t="n">
        <v>4</v>
      </c>
      <c r="G1838" s="25" t="n">
        <v>11</v>
      </c>
    </row>
    <row r="1839" customFormat="false" ht="15" hidden="false" customHeight="false" outlineLevel="0" collapsed="false">
      <c r="A1839" s="25" t="n">
        <v>20251108</v>
      </c>
      <c r="B1839" s="25" t="s">
        <v>2241</v>
      </c>
      <c r="C1839" s="27" t="b">
        <f aca="false">TRUE()</f>
        <v>1</v>
      </c>
      <c r="D1839" s="26" t="n">
        <v>45969</v>
      </c>
      <c r="E1839" s="25" t="n">
        <v>2025</v>
      </c>
      <c r="F1839" s="25" t="n">
        <v>4</v>
      </c>
      <c r="G1839" s="25" t="n">
        <v>11</v>
      </c>
    </row>
    <row r="1840" customFormat="false" ht="15" hidden="false" customHeight="false" outlineLevel="0" collapsed="false">
      <c r="A1840" s="25" t="n">
        <v>20251109</v>
      </c>
      <c r="B1840" s="25" t="s">
        <v>2241</v>
      </c>
      <c r="C1840" s="27" t="b">
        <f aca="false">TRUE()</f>
        <v>1</v>
      </c>
      <c r="D1840" s="26" t="n">
        <v>45970</v>
      </c>
      <c r="E1840" s="25" t="n">
        <v>2025</v>
      </c>
      <c r="F1840" s="25" t="n">
        <v>4</v>
      </c>
      <c r="G1840" s="25" t="n">
        <v>11</v>
      </c>
    </row>
    <row r="1841" customFormat="false" ht="15" hidden="false" customHeight="false" outlineLevel="0" collapsed="false">
      <c r="A1841" s="25" t="n">
        <v>20251110</v>
      </c>
      <c r="B1841" s="25" t="s">
        <v>2241</v>
      </c>
      <c r="C1841" s="27" t="b">
        <f aca="false">FALSE()</f>
        <v>0</v>
      </c>
      <c r="D1841" s="26" t="n">
        <v>45971</v>
      </c>
      <c r="E1841" s="25" t="n">
        <v>2025</v>
      </c>
      <c r="F1841" s="25" t="n">
        <v>4</v>
      </c>
      <c r="G1841" s="25" t="n">
        <v>11</v>
      </c>
    </row>
    <row r="1842" customFormat="false" ht="15" hidden="false" customHeight="false" outlineLevel="0" collapsed="false">
      <c r="A1842" s="25" t="n">
        <v>20251111</v>
      </c>
      <c r="B1842" s="25" t="s">
        <v>2241</v>
      </c>
      <c r="C1842" s="27" t="b">
        <f aca="false">FALSE()</f>
        <v>0</v>
      </c>
      <c r="D1842" s="26" t="n">
        <v>45972</v>
      </c>
      <c r="E1842" s="25" t="n">
        <v>2025</v>
      </c>
      <c r="F1842" s="25" t="n">
        <v>4</v>
      </c>
      <c r="G1842" s="25" t="n">
        <v>11</v>
      </c>
    </row>
    <row r="1843" customFormat="false" ht="15" hidden="false" customHeight="false" outlineLevel="0" collapsed="false">
      <c r="A1843" s="25" t="n">
        <v>20251112</v>
      </c>
      <c r="B1843" s="25" t="s">
        <v>2241</v>
      </c>
      <c r="C1843" s="27" t="b">
        <f aca="false">FALSE()</f>
        <v>0</v>
      </c>
      <c r="D1843" s="26" t="n">
        <v>45973</v>
      </c>
      <c r="E1843" s="25" t="n">
        <v>2025</v>
      </c>
      <c r="F1843" s="25" t="n">
        <v>4</v>
      </c>
      <c r="G1843" s="25" t="n">
        <v>11</v>
      </c>
    </row>
    <row r="1844" customFormat="false" ht="15" hidden="false" customHeight="false" outlineLevel="0" collapsed="false">
      <c r="A1844" s="25" t="n">
        <v>20251113</v>
      </c>
      <c r="B1844" s="25" t="s">
        <v>2241</v>
      </c>
      <c r="C1844" s="27" t="b">
        <f aca="false">FALSE()</f>
        <v>0</v>
      </c>
      <c r="D1844" s="26" t="n">
        <v>45974</v>
      </c>
      <c r="E1844" s="25" t="n">
        <v>2025</v>
      </c>
      <c r="F1844" s="25" t="n">
        <v>4</v>
      </c>
      <c r="G1844" s="25" t="n">
        <v>11</v>
      </c>
    </row>
    <row r="1845" customFormat="false" ht="15" hidden="false" customHeight="false" outlineLevel="0" collapsed="false">
      <c r="A1845" s="25" t="n">
        <v>20251114</v>
      </c>
      <c r="B1845" s="25" t="s">
        <v>2241</v>
      </c>
      <c r="C1845" s="27" t="b">
        <f aca="false">FALSE()</f>
        <v>0</v>
      </c>
      <c r="D1845" s="26" t="n">
        <v>45975</v>
      </c>
      <c r="E1845" s="25" t="n">
        <v>2025</v>
      </c>
      <c r="F1845" s="25" t="n">
        <v>4</v>
      </c>
      <c r="G1845" s="25" t="n">
        <v>11</v>
      </c>
    </row>
    <row r="1846" customFormat="false" ht="15" hidden="false" customHeight="false" outlineLevel="0" collapsed="false">
      <c r="A1846" s="25" t="n">
        <v>20251115</v>
      </c>
      <c r="B1846" s="25" t="s">
        <v>2241</v>
      </c>
      <c r="C1846" s="27" t="b">
        <f aca="false">TRUE()</f>
        <v>1</v>
      </c>
      <c r="D1846" s="26" t="n">
        <v>45976</v>
      </c>
      <c r="E1846" s="25" t="n">
        <v>2025</v>
      </c>
      <c r="F1846" s="25" t="n">
        <v>4</v>
      </c>
      <c r="G1846" s="25" t="n">
        <v>11</v>
      </c>
    </row>
    <row r="1847" customFormat="false" ht="15" hidden="false" customHeight="false" outlineLevel="0" collapsed="false">
      <c r="A1847" s="25" t="n">
        <v>20251116</v>
      </c>
      <c r="B1847" s="25" t="s">
        <v>2241</v>
      </c>
      <c r="C1847" s="27" t="b">
        <f aca="false">TRUE()</f>
        <v>1</v>
      </c>
      <c r="D1847" s="26" t="n">
        <v>45977</v>
      </c>
      <c r="E1847" s="25" t="n">
        <v>2025</v>
      </c>
      <c r="F1847" s="25" t="n">
        <v>4</v>
      </c>
      <c r="G1847" s="25" t="n">
        <v>11</v>
      </c>
    </row>
    <row r="1848" customFormat="false" ht="15" hidden="false" customHeight="false" outlineLevel="0" collapsed="false">
      <c r="A1848" s="25" t="n">
        <v>20251117</v>
      </c>
      <c r="B1848" s="25" t="s">
        <v>2241</v>
      </c>
      <c r="C1848" s="27" t="b">
        <f aca="false">FALSE()</f>
        <v>0</v>
      </c>
      <c r="D1848" s="26" t="n">
        <v>45978</v>
      </c>
      <c r="E1848" s="25" t="n">
        <v>2025</v>
      </c>
      <c r="F1848" s="25" t="n">
        <v>4</v>
      </c>
      <c r="G1848" s="25" t="n">
        <v>11</v>
      </c>
    </row>
    <row r="1849" customFormat="false" ht="15" hidden="false" customHeight="false" outlineLevel="0" collapsed="false">
      <c r="A1849" s="25" t="n">
        <v>20251118</v>
      </c>
      <c r="B1849" s="25" t="s">
        <v>2241</v>
      </c>
      <c r="C1849" s="27" t="b">
        <f aca="false">FALSE()</f>
        <v>0</v>
      </c>
      <c r="D1849" s="26" t="n">
        <v>45979</v>
      </c>
      <c r="E1849" s="25" t="n">
        <v>2025</v>
      </c>
      <c r="F1849" s="25" t="n">
        <v>4</v>
      </c>
      <c r="G1849" s="25" t="n">
        <v>11</v>
      </c>
    </row>
    <row r="1850" customFormat="false" ht="15" hidden="false" customHeight="false" outlineLevel="0" collapsed="false">
      <c r="A1850" s="25" t="n">
        <v>20251119</v>
      </c>
      <c r="B1850" s="25" t="s">
        <v>2241</v>
      </c>
      <c r="C1850" s="27" t="b">
        <f aca="false">FALSE()</f>
        <v>0</v>
      </c>
      <c r="D1850" s="26" t="n">
        <v>45980</v>
      </c>
      <c r="E1850" s="25" t="n">
        <v>2025</v>
      </c>
      <c r="F1850" s="25" t="n">
        <v>4</v>
      </c>
      <c r="G1850" s="25" t="n">
        <v>11</v>
      </c>
    </row>
    <row r="1851" customFormat="false" ht="15" hidden="false" customHeight="false" outlineLevel="0" collapsed="false">
      <c r="A1851" s="25" t="n">
        <v>20251120</v>
      </c>
      <c r="B1851" s="25" t="s">
        <v>2241</v>
      </c>
      <c r="C1851" s="27" t="b">
        <f aca="false">FALSE()</f>
        <v>0</v>
      </c>
      <c r="D1851" s="26" t="n">
        <v>45981</v>
      </c>
      <c r="E1851" s="25" t="n">
        <v>2025</v>
      </c>
      <c r="F1851" s="25" t="n">
        <v>4</v>
      </c>
      <c r="G1851" s="25" t="n">
        <v>11</v>
      </c>
    </row>
    <row r="1852" customFormat="false" ht="15" hidden="false" customHeight="false" outlineLevel="0" collapsed="false">
      <c r="A1852" s="25" t="n">
        <v>20251121</v>
      </c>
      <c r="B1852" s="25" t="s">
        <v>2241</v>
      </c>
      <c r="C1852" s="27" t="b">
        <f aca="false">FALSE()</f>
        <v>0</v>
      </c>
      <c r="D1852" s="26" t="n">
        <v>45982</v>
      </c>
      <c r="E1852" s="25" t="n">
        <v>2025</v>
      </c>
      <c r="F1852" s="25" t="n">
        <v>4</v>
      </c>
      <c r="G1852" s="25" t="n">
        <v>11</v>
      </c>
    </row>
    <row r="1853" customFormat="false" ht="15" hidden="false" customHeight="false" outlineLevel="0" collapsed="false">
      <c r="A1853" s="25" t="n">
        <v>20251122</v>
      </c>
      <c r="B1853" s="25" t="s">
        <v>2241</v>
      </c>
      <c r="C1853" s="27" t="b">
        <f aca="false">TRUE()</f>
        <v>1</v>
      </c>
      <c r="D1853" s="26" t="n">
        <v>45983</v>
      </c>
      <c r="E1853" s="25" t="n">
        <v>2025</v>
      </c>
      <c r="F1853" s="25" t="n">
        <v>4</v>
      </c>
      <c r="G1853" s="25" t="n">
        <v>11</v>
      </c>
    </row>
    <row r="1854" customFormat="false" ht="15" hidden="false" customHeight="false" outlineLevel="0" collapsed="false">
      <c r="A1854" s="25" t="n">
        <v>20251123</v>
      </c>
      <c r="B1854" s="25" t="s">
        <v>2241</v>
      </c>
      <c r="C1854" s="27" t="b">
        <f aca="false">TRUE()</f>
        <v>1</v>
      </c>
      <c r="D1854" s="26" t="n">
        <v>45984</v>
      </c>
      <c r="E1854" s="25" t="n">
        <v>2025</v>
      </c>
      <c r="F1854" s="25" t="n">
        <v>4</v>
      </c>
      <c r="G1854" s="25" t="n">
        <v>11</v>
      </c>
    </row>
    <row r="1855" customFormat="false" ht="15" hidden="false" customHeight="false" outlineLevel="0" collapsed="false">
      <c r="A1855" s="25" t="n">
        <v>20251124</v>
      </c>
      <c r="B1855" s="25" t="s">
        <v>2241</v>
      </c>
      <c r="C1855" s="27" t="b">
        <f aca="false">FALSE()</f>
        <v>0</v>
      </c>
      <c r="D1855" s="26" t="n">
        <v>45985</v>
      </c>
      <c r="E1855" s="25" t="n">
        <v>2025</v>
      </c>
      <c r="F1855" s="25" t="n">
        <v>4</v>
      </c>
      <c r="G1855" s="25" t="n">
        <v>11</v>
      </c>
    </row>
    <row r="1856" customFormat="false" ht="15" hidden="false" customHeight="false" outlineLevel="0" collapsed="false">
      <c r="A1856" s="25" t="n">
        <v>20251125</v>
      </c>
      <c r="B1856" s="25" t="s">
        <v>2241</v>
      </c>
      <c r="C1856" s="27" t="b">
        <f aca="false">FALSE()</f>
        <v>0</v>
      </c>
      <c r="D1856" s="26" t="n">
        <v>45986</v>
      </c>
      <c r="E1856" s="25" t="n">
        <v>2025</v>
      </c>
      <c r="F1856" s="25" t="n">
        <v>4</v>
      </c>
      <c r="G1856" s="25" t="n">
        <v>11</v>
      </c>
    </row>
    <row r="1857" customFormat="false" ht="15" hidden="false" customHeight="false" outlineLevel="0" collapsed="false">
      <c r="A1857" s="25" t="n">
        <v>20251126</v>
      </c>
      <c r="B1857" s="25" t="s">
        <v>2241</v>
      </c>
      <c r="C1857" s="27" t="b">
        <f aca="false">FALSE()</f>
        <v>0</v>
      </c>
      <c r="D1857" s="26" t="n">
        <v>45987</v>
      </c>
      <c r="E1857" s="25" t="n">
        <v>2025</v>
      </c>
      <c r="F1857" s="25" t="n">
        <v>4</v>
      </c>
      <c r="G1857" s="25" t="n">
        <v>11</v>
      </c>
    </row>
    <row r="1858" customFormat="false" ht="15" hidden="false" customHeight="false" outlineLevel="0" collapsed="false">
      <c r="A1858" s="25" t="n">
        <v>20251127</v>
      </c>
      <c r="B1858" s="25" t="s">
        <v>2241</v>
      </c>
      <c r="C1858" s="27" t="b">
        <f aca="false">FALSE()</f>
        <v>0</v>
      </c>
      <c r="D1858" s="26" t="n">
        <v>45988</v>
      </c>
      <c r="E1858" s="25" t="n">
        <v>2025</v>
      </c>
      <c r="F1858" s="25" t="n">
        <v>4</v>
      </c>
      <c r="G1858" s="25" t="n">
        <v>11</v>
      </c>
    </row>
    <row r="1859" customFormat="false" ht="15" hidden="false" customHeight="false" outlineLevel="0" collapsed="false">
      <c r="A1859" s="25" t="n">
        <v>20251128</v>
      </c>
      <c r="B1859" s="25" t="s">
        <v>2241</v>
      </c>
      <c r="C1859" s="27" t="b">
        <f aca="false">FALSE()</f>
        <v>0</v>
      </c>
      <c r="D1859" s="26" t="n">
        <v>45989</v>
      </c>
      <c r="E1859" s="25" t="n">
        <v>2025</v>
      </c>
      <c r="F1859" s="25" t="n">
        <v>4</v>
      </c>
      <c r="G1859" s="25" t="n">
        <v>11</v>
      </c>
    </row>
    <row r="1860" customFormat="false" ht="15" hidden="false" customHeight="false" outlineLevel="0" collapsed="false">
      <c r="A1860" s="25" t="n">
        <v>20251129</v>
      </c>
      <c r="B1860" s="25" t="s">
        <v>2241</v>
      </c>
      <c r="C1860" s="27" t="b">
        <f aca="false">TRUE()</f>
        <v>1</v>
      </c>
      <c r="D1860" s="26" t="n">
        <v>45990</v>
      </c>
      <c r="E1860" s="25" t="n">
        <v>2025</v>
      </c>
      <c r="F1860" s="25" t="n">
        <v>4</v>
      </c>
      <c r="G1860" s="25" t="n">
        <v>11</v>
      </c>
    </row>
    <row r="1861" customFormat="false" ht="15" hidden="false" customHeight="false" outlineLevel="0" collapsed="false">
      <c r="A1861" s="25" t="n">
        <v>20251130</v>
      </c>
      <c r="B1861" s="25" t="s">
        <v>2241</v>
      </c>
      <c r="C1861" s="27" t="b">
        <f aca="false">TRUE()</f>
        <v>1</v>
      </c>
      <c r="D1861" s="26" t="n">
        <v>45991</v>
      </c>
      <c r="E1861" s="25" t="n">
        <v>2025</v>
      </c>
      <c r="F1861" s="25" t="n">
        <v>4</v>
      </c>
      <c r="G1861" s="25" t="n">
        <v>11</v>
      </c>
    </row>
    <row r="1862" customFormat="false" ht="15" hidden="false" customHeight="false" outlineLevel="0" collapsed="false">
      <c r="A1862" s="25" t="n">
        <v>20251201</v>
      </c>
      <c r="B1862" s="25" t="s">
        <v>2242</v>
      </c>
      <c r="C1862" s="27" t="b">
        <f aca="false">FALSE()</f>
        <v>0</v>
      </c>
      <c r="D1862" s="26" t="n">
        <v>45992</v>
      </c>
      <c r="E1862" s="25" t="n">
        <v>2025</v>
      </c>
      <c r="F1862" s="25" t="n">
        <v>4</v>
      </c>
      <c r="G1862" s="25" t="n">
        <v>12</v>
      </c>
    </row>
    <row r="1863" customFormat="false" ht="15" hidden="false" customHeight="false" outlineLevel="0" collapsed="false">
      <c r="A1863" s="25" t="n">
        <v>20251202</v>
      </c>
      <c r="B1863" s="25" t="s">
        <v>2242</v>
      </c>
      <c r="C1863" s="27" t="b">
        <f aca="false">FALSE()</f>
        <v>0</v>
      </c>
      <c r="D1863" s="26" t="n">
        <v>45993</v>
      </c>
      <c r="E1863" s="25" t="n">
        <v>2025</v>
      </c>
      <c r="F1863" s="25" t="n">
        <v>4</v>
      </c>
      <c r="G1863" s="25" t="n">
        <v>12</v>
      </c>
    </row>
    <row r="1864" customFormat="false" ht="15" hidden="false" customHeight="false" outlineLevel="0" collapsed="false">
      <c r="A1864" s="25" t="n">
        <v>20251203</v>
      </c>
      <c r="B1864" s="25" t="s">
        <v>2242</v>
      </c>
      <c r="C1864" s="27" t="b">
        <f aca="false">FALSE()</f>
        <v>0</v>
      </c>
      <c r="D1864" s="26" t="n">
        <v>45994</v>
      </c>
      <c r="E1864" s="25" t="n">
        <v>2025</v>
      </c>
      <c r="F1864" s="25" t="n">
        <v>4</v>
      </c>
      <c r="G1864" s="25" t="n">
        <v>12</v>
      </c>
    </row>
    <row r="1865" customFormat="false" ht="15" hidden="false" customHeight="false" outlineLevel="0" collapsed="false">
      <c r="A1865" s="25" t="n">
        <v>20251204</v>
      </c>
      <c r="B1865" s="25" t="s">
        <v>2242</v>
      </c>
      <c r="C1865" s="27" t="b">
        <f aca="false">FALSE()</f>
        <v>0</v>
      </c>
      <c r="D1865" s="26" t="n">
        <v>45995</v>
      </c>
      <c r="E1865" s="25" t="n">
        <v>2025</v>
      </c>
      <c r="F1865" s="25" t="n">
        <v>4</v>
      </c>
      <c r="G1865" s="25" t="n">
        <v>12</v>
      </c>
    </row>
    <row r="1866" customFormat="false" ht="15" hidden="false" customHeight="false" outlineLevel="0" collapsed="false">
      <c r="A1866" s="25" t="n">
        <v>20251205</v>
      </c>
      <c r="B1866" s="25" t="s">
        <v>2242</v>
      </c>
      <c r="C1866" s="27" t="b">
        <f aca="false">FALSE()</f>
        <v>0</v>
      </c>
      <c r="D1866" s="26" t="n">
        <v>45996</v>
      </c>
      <c r="E1866" s="25" t="n">
        <v>2025</v>
      </c>
      <c r="F1866" s="25" t="n">
        <v>4</v>
      </c>
      <c r="G1866" s="25" t="n">
        <v>12</v>
      </c>
    </row>
    <row r="1867" customFormat="false" ht="15" hidden="false" customHeight="false" outlineLevel="0" collapsed="false">
      <c r="A1867" s="25" t="n">
        <v>20251206</v>
      </c>
      <c r="B1867" s="25" t="s">
        <v>2242</v>
      </c>
      <c r="C1867" s="27" t="b">
        <f aca="false">TRUE()</f>
        <v>1</v>
      </c>
      <c r="D1867" s="26" t="n">
        <v>45997</v>
      </c>
      <c r="E1867" s="25" t="n">
        <v>2025</v>
      </c>
      <c r="F1867" s="25" t="n">
        <v>4</v>
      </c>
      <c r="G1867" s="25" t="n">
        <v>12</v>
      </c>
    </row>
    <row r="1868" customFormat="false" ht="15" hidden="false" customHeight="false" outlineLevel="0" collapsed="false">
      <c r="A1868" s="25" t="n">
        <v>20251207</v>
      </c>
      <c r="B1868" s="25" t="s">
        <v>2242</v>
      </c>
      <c r="C1868" s="27" t="b">
        <f aca="false">TRUE()</f>
        <v>1</v>
      </c>
      <c r="D1868" s="26" t="n">
        <v>45998</v>
      </c>
      <c r="E1868" s="25" t="n">
        <v>2025</v>
      </c>
      <c r="F1868" s="25" t="n">
        <v>4</v>
      </c>
      <c r="G1868" s="25" t="n">
        <v>12</v>
      </c>
    </row>
    <row r="1869" customFormat="false" ht="15" hidden="false" customHeight="false" outlineLevel="0" collapsed="false">
      <c r="A1869" s="25" t="n">
        <v>20251208</v>
      </c>
      <c r="B1869" s="25" t="s">
        <v>2242</v>
      </c>
      <c r="C1869" s="27" t="b">
        <f aca="false">FALSE()</f>
        <v>0</v>
      </c>
      <c r="D1869" s="26" t="n">
        <v>45999</v>
      </c>
      <c r="E1869" s="25" t="n">
        <v>2025</v>
      </c>
      <c r="F1869" s="25" t="n">
        <v>4</v>
      </c>
      <c r="G1869" s="25" t="n">
        <v>12</v>
      </c>
    </row>
    <row r="1870" customFormat="false" ht="15" hidden="false" customHeight="false" outlineLevel="0" collapsed="false">
      <c r="A1870" s="25" t="n">
        <v>20251209</v>
      </c>
      <c r="B1870" s="25" t="s">
        <v>2242</v>
      </c>
      <c r="C1870" s="27" t="b">
        <f aca="false">FALSE()</f>
        <v>0</v>
      </c>
      <c r="D1870" s="26" t="n">
        <v>46000</v>
      </c>
      <c r="E1870" s="25" t="n">
        <v>2025</v>
      </c>
      <c r="F1870" s="25" t="n">
        <v>4</v>
      </c>
      <c r="G1870" s="25" t="n">
        <v>12</v>
      </c>
    </row>
    <row r="1871" customFormat="false" ht="15" hidden="false" customHeight="false" outlineLevel="0" collapsed="false">
      <c r="A1871" s="25" t="n">
        <v>20251210</v>
      </c>
      <c r="B1871" s="25" t="s">
        <v>2242</v>
      </c>
      <c r="C1871" s="27" t="b">
        <f aca="false">FALSE()</f>
        <v>0</v>
      </c>
      <c r="D1871" s="26" t="n">
        <v>46001</v>
      </c>
      <c r="E1871" s="25" t="n">
        <v>2025</v>
      </c>
      <c r="F1871" s="25" t="n">
        <v>4</v>
      </c>
      <c r="G1871" s="25" t="n">
        <v>12</v>
      </c>
    </row>
    <row r="1872" customFormat="false" ht="15" hidden="false" customHeight="false" outlineLevel="0" collapsed="false">
      <c r="A1872" s="25" t="n">
        <v>20251211</v>
      </c>
      <c r="B1872" s="25" t="s">
        <v>2242</v>
      </c>
      <c r="C1872" s="27" t="b">
        <f aca="false">FALSE()</f>
        <v>0</v>
      </c>
      <c r="D1872" s="26" t="n">
        <v>46002</v>
      </c>
      <c r="E1872" s="25" t="n">
        <v>2025</v>
      </c>
      <c r="F1872" s="25" t="n">
        <v>4</v>
      </c>
      <c r="G1872" s="25" t="n">
        <v>12</v>
      </c>
    </row>
    <row r="1873" customFormat="false" ht="15" hidden="false" customHeight="false" outlineLevel="0" collapsed="false">
      <c r="A1873" s="25" t="n">
        <v>20251212</v>
      </c>
      <c r="B1873" s="25" t="s">
        <v>2242</v>
      </c>
      <c r="C1873" s="27" t="b">
        <f aca="false">FALSE()</f>
        <v>0</v>
      </c>
      <c r="D1873" s="26" t="n">
        <v>46003</v>
      </c>
      <c r="E1873" s="25" t="n">
        <v>2025</v>
      </c>
      <c r="F1873" s="25" t="n">
        <v>4</v>
      </c>
      <c r="G1873" s="25" t="n">
        <v>12</v>
      </c>
    </row>
    <row r="1874" customFormat="false" ht="15" hidden="false" customHeight="false" outlineLevel="0" collapsed="false">
      <c r="A1874" s="25" t="n">
        <v>20251213</v>
      </c>
      <c r="B1874" s="25" t="s">
        <v>2242</v>
      </c>
      <c r="C1874" s="27" t="b">
        <f aca="false">TRUE()</f>
        <v>1</v>
      </c>
      <c r="D1874" s="26" t="n">
        <v>46004</v>
      </c>
      <c r="E1874" s="25" t="n">
        <v>2025</v>
      </c>
      <c r="F1874" s="25" t="n">
        <v>4</v>
      </c>
      <c r="G1874" s="25" t="n">
        <v>12</v>
      </c>
    </row>
    <row r="1875" customFormat="false" ht="15" hidden="false" customHeight="false" outlineLevel="0" collapsed="false">
      <c r="A1875" s="25" t="n">
        <v>20251214</v>
      </c>
      <c r="B1875" s="25" t="s">
        <v>2242</v>
      </c>
      <c r="C1875" s="27" t="b">
        <f aca="false">TRUE()</f>
        <v>1</v>
      </c>
      <c r="D1875" s="26" t="n">
        <v>46005</v>
      </c>
      <c r="E1875" s="25" t="n">
        <v>2025</v>
      </c>
      <c r="F1875" s="25" t="n">
        <v>4</v>
      </c>
      <c r="G1875" s="25" t="n">
        <v>12</v>
      </c>
    </row>
    <row r="1876" customFormat="false" ht="15" hidden="false" customHeight="false" outlineLevel="0" collapsed="false">
      <c r="A1876" s="25" t="n">
        <v>20251215</v>
      </c>
      <c r="B1876" s="25" t="s">
        <v>2242</v>
      </c>
      <c r="C1876" s="27" t="b">
        <f aca="false">FALSE()</f>
        <v>0</v>
      </c>
      <c r="D1876" s="26" t="n">
        <v>46006</v>
      </c>
      <c r="E1876" s="25" t="n">
        <v>2025</v>
      </c>
      <c r="F1876" s="25" t="n">
        <v>4</v>
      </c>
      <c r="G1876" s="25" t="n">
        <v>12</v>
      </c>
    </row>
    <row r="1877" customFormat="false" ht="15" hidden="false" customHeight="false" outlineLevel="0" collapsed="false">
      <c r="A1877" s="25" t="n">
        <v>20251216</v>
      </c>
      <c r="B1877" s="25" t="s">
        <v>2242</v>
      </c>
      <c r="C1877" s="27" t="b">
        <f aca="false">FALSE()</f>
        <v>0</v>
      </c>
      <c r="D1877" s="26" t="n">
        <v>46007</v>
      </c>
      <c r="E1877" s="25" t="n">
        <v>2025</v>
      </c>
      <c r="F1877" s="25" t="n">
        <v>4</v>
      </c>
      <c r="G1877" s="25" t="n">
        <v>12</v>
      </c>
    </row>
    <row r="1878" customFormat="false" ht="15" hidden="false" customHeight="false" outlineLevel="0" collapsed="false">
      <c r="A1878" s="25" t="n">
        <v>20251217</v>
      </c>
      <c r="B1878" s="25" t="s">
        <v>2242</v>
      </c>
      <c r="C1878" s="27" t="b">
        <f aca="false">FALSE()</f>
        <v>0</v>
      </c>
      <c r="D1878" s="26" t="n">
        <v>46008</v>
      </c>
      <c r="E1878" s="25" t="n">
        <v>2025</v>
      </c>
      <c r="F1878" s="25" t="n">
        <v>4</v>
      </c>
      <c r="G1878" s="25" t="n">
        <v>12</v>
      </c>
    </row>
    <row r="1879" customFormat="false" ht="15" hidden="false" customHeight="false" outlineLevel="0" collapsed="false">
      <c r="A1879" s="25" t="n">
        <v>20251218</v>
      </c>
      <c r="B1879" s="25" t="s">
        <v>2242</v>
      </c>
      <c r="C1879" s="27" t="b">
        <f aca="false">FALSE()</f>
        <v>0</v>
      </c>
      <c r="D1879" s="26" t="n">
        <v>46009</v>
      </c>
      <c r="E1879" s="25" t="n">
        <v>2025</v>
      </c>
      <c r="F1879" s="25" t="n">
        <v>4</v>
      </c>
      <c r="G1879" s="25" t="n">
        <v>12</v>
      </c>
    </row>
    <row r="1880" customFormat="false" ht="15" hidden="false" customHeight="false" outlineLevel="0" collapsed="false">
      <c r="A1880" s="25" t="n">
        <v>20251219</v>
      </c>
      <c r="B1880" s="25" t="s">
        <v>2242</v>
      </c>
      <c r="C1880" s="27" t="b">
        <f aca="false">FALSE()</f>
        <v>0</v>
      </c>
      <c r="D1880" s="26" t="n">
        <v>46010</v>
      </c>
      <c r="E1880" s="25" t="n">
        <v>2025</v>
      </c>
      <c r="F1880" s="25" t="n">
        <v>4</v>
      </c>
      <c r="G1880" s="25" t="n">
        <v>12</v>
      </c>
    </row>
    <row r="1881" customFormat="false" ht="15" hidden="false" customHeight="false" outlineLevel="0" collapsed="false">
      <c r="A1881" s="25" t="n">
        <v>20251220</v>
      </c>
      <c r="B1881" s="25" t="s">
        <v>2242</v>
      </c>
      <c r="C1881" s="27" t="b">
        <f aca="false">TRUE()</f>
        <v>1</v>
      </c>
      <c r="D1881" s="26" t="n">
        <v>46011</v>
      </c>
      <c r="E1881" s="25" t="n">
        <v>2025</v>
      </c>
      <c r="F1881" s="25" t="n">
        <v>4</v>
      </c>
      <c r="G1881" s="25" t="n">
        <v>12</v>
      </c>
    </row>
    <row r="1882" customFormat="false" ht="15" hidden="false" customHeight="false" outlineLevel="0" collapsed="false">
      <c r="A1882" s="25" t="n">
        <v>20251221</v>
      </c>
      <c r="B1882" s="25" t="s">
        <v>2242</v>
      </c>
      <c r="C1882" s="27" t="b">
        <f aca="false">TRUE()</f>
        <v>1</v>
      </c>
      <c r="D1882" s="26" t="n">
        <v>46012</v>
      </c>
      <c r="E1882" s="25" t="n">
        <v>2025</v>
      </c>
      <c r="F1882" s="25" t="n">
        <v>4</v>
      </c>
      <c r="G1882" s="25" t="n">
        <v>12</v>
      </c>
    </row>
    <row r="1883" customFormat="false" ht="15" hidden="false" customHeight="false" outlineLevel="0" collapsed="false">
      <c r="A1883" s="25" t="n">
        <v>20251222</v>
      </c>
      <c r="B1883" s="25" t="s">
        <v>2242</v>
      </c>
      <c r="C1883" s="27" t="b">
        <f aca="false">FALSE()</f>
        <v>0</v>
      </c>
      <c r="D1883" s="26" t="n">
        <v>46013</v>
      </c>
      <c r="E1883" s="25" t="n">
        <v>2025</v>
      </c>
      <c r="F1883" s="25" t="n">
        <v>4</v>
      </c>
      <c r="G1883" s="25" t="n">
        <v>12</v>
      </c>
    </row>
    <row r="1884" customFormat="false" ht="15" hidden="false" customHeight="false" outlineLevel="0" collapsed="false">
      <c r="A1884" s="25" t="n">
        <v>20251223</v>
      </c>
      <c r="B1884" s="25" t="s">
        <v>2242</v>
      </c>
      <c r="C1884" s="27" t="b">
        <f aca="false">FALSE()</f>
        <v>0</v>
      </c>
      <c r="D1884" s="26" t="n">
        <v>46014</v>
      </c>
      <c r="E1884" s="25" t="n">
        <v>2025</v>
      </c>
      <c r="F1884" s="25" t="n">
        <v>4</v>
      </c>
      <c r="G1884" s="25" t="n">
        <v>12</v>
      </c>
    </row>
    <row r="1885" customFormat="false" ht="15" hidden="false" customHeight="false" outlineLevel="0" collapsed="false">
      <c r="A1885" s="25" t="n">
        <v>20251224</v>
      </c>
      <c r="B1885" s="25" t="s">
        <v>2242</v>
      </c>
      <c r="C1885" s="27" t="b">
        <f aca="false">FALSE()</f>
        <v>0</v>
      </c>
      <c r="D1885" s="26" t="n">
        <v>46015</v>
      </c>
      <c r="E1885" s="25" t="n">
        <v>2025</v>
      </c>
      <c r="F1885" s="25" t="n">
        <v>4</v>
      </c>
      <c r="G1885" s="25" t="n">
        <v>12</v>
      </c>
    </row>
    <row r="1886" customFormat="false" ht="15" hidden="false" customHeight="false" outlineLevel="0" collapsed="false">
      <c r="A1886" s="25" t="n">
        <v>20251225</v>
      </c>
      <c r="B1886" s="25" t="s">
        <v>2242</v>
      </c>
      <c r="C1886" s="27" t="b">
        <f aca="false">FALSE()</f>
        <v>0</v>
      </c>
      <c r="D1886" s="26" t="n">
        <v>46016</v>
      </c>
      <c r="E1886" s="25" t="n">
        <v>2025</v>
      </c>
      <c r="F1886" s="25" t="n">
        <v>4</v>
      </c>
      <c r="G1886" s="25" t="n">
        <v>12</v>
      </c>
    </row>
    <row r="1887" customFormat="false" ht="15" hidden="false" customHeight="false" outlineLevel="0" collapsed="false">
      <c r="A1887" s="25" t="n">
        <v>20251226</v>
      </c>
      <c r="B1887" s="25" t="s">
        <v>2242</v>
      </c>
      <c r="C1887" s="27" t="b">
        <f aca="false">FALSE()</f>
        <v>0</v>
      </c>
      <c r="D1887" s="26" t="n">
        <v>46017</v>
      </c>
      <c r="E1887" s="25" t="n">
        <v>2025</v>
      </c>
      <c r="F1887" s="25" t="n">
        <v>4</v>
      </c>
      <c r="G1887" s="25" t="n">
        <v>12</v>
      </c>
    </row>
    <row r="1888" customFormat="false" ht="15" hidden="false" customHeight="false" outlineLevel="0" collapsed="false">
      <c r="A1888" s="25" t="n">
        <v>20251227</v>
      </c>
      <c r="B1888" s="25" t="s">
        <v>2242</v>
      </c>
      <c r="C1888" s="27" t="b">
        <f aca="false">TRUE()</f>
        <v>1</v>
      </c>
      <c r="D1888" s="26" t="n">
        <v>46018</v>
      </c>
      <c r="E1888" s="25" t="n">
        <v>2025</v>
      </c>
      <c r="F1888" s="25" t="n">
        <v>4</v>
      </c>
      <c r="G1888" s="25" t="n">
        <v>12</v>
      </c>
    </row>
    <row r="1889" customFormat="false" ht="15" hidden="false" customHeight="false" outlineLevel="0" collapsed="false">
      <c r="A1889" s="25" t="n">
        <v>20251228</v>
      </c>
      <c r="B1889" s="25" t="s">
        <v>2242</v>
      </c>
      <c r="C1889" s="27" t="b">
        <f aca="false">TRUE()</f>
        <v>1</v>
      </c>
      <c r="D1889" s="26" t="n">
        <v>46019</v>
      </c>
      <c r="E1889" s="25" t="n">
        <v>2025</v>
      </c>
      <c r="F1889" s="25" t="n">
        <v>4</v>
      </c>
      <c r="G1889" s="25" t="n">
        <v>12</v>
      </c>
    </row>
    <row r="1890" customFormat="false" ht="15" hidden="false" customHeight="false" outlineLevel="0" collapsed="false">
      <c r="A1890" s="25" t="n">
        <v>20251229</v>
      </c>
      <c r="B1890" s="25" t="s">
        <v>2242</v>
      </c>
      <c r="C1890" s="27" t="b">
        <f aca="false">FALSE()</f>
        <v>0</v>
      </c>
      <c r="D1890" s="26" t="n">
        <v>46020</v>
      </c>
      <c r="E1890" s="25" t="n">
        <v>2025</v>
      </c>
      <c r="F1890" s="25" t="n">
        <v>4</v>
      </c>
      <c r="G1890" s="25" t="n">
        <v>12</v>
      </c>
    </row>
    <row r="1891" customFormat="false" ht="15" hidden="false" customHeight="false" outlineLevel="0" collapsed="false">
      <c r="A1891" s="25" t="n">
        <v>20251230</v>
      </c>
      <c r="B1891" s="25" t="s">
        <v>2242</v>
      </c>
      <c r="C1891" s="27" t="b">
        <f aca="false">FALSE()</f>
        <v>0</v>
      </c>
      <c r="D1891" s="26" t="n">
        <v>46021</v>
      </c>
      <c r="E1891" s="25" t="n">
        <v>2025</v>
      </c>
      <c r="F1891" s="25" t="n">
        <v>4</v>
      </c>
      <c r="G1891" s="25" t="n">
        <v>12</v>
      </c>
    </row>
    <row r="1892" customFormat="false" ht="15" hidden="false" customHeight="false" outlineLevel="0" collapsed="false">
      <c r="A1892" s="25" t="n">
        <v>20251231</v>
      </c>
      <c r="B1892" s="25" t="s">
        <v>2242</v>
      </c>
      <c r="C1892" s="27" t="b">
        <f aca="false">FALSE()</f>
        <v>0</v>
      </c>
      <c r="D1892" s="26" t="n">
        <v>46022</v>
      </c>
      <c r="E1892" s="25" t="n">
        <v>2025</v>
      </c>
      <c r="F1892" s="25" t="n">
        <v>4</v>
      </c>
      <c r="G1892" s="25" t="n">
        <v>12</v>
      </c>
    </row>
    <row r="1893" customFormat="false" ht="15" hidden="false" customHeight="false" outlineLevel="0" collapsed="false">
      <c r="A1893" s="25" t="n">
        <v>20260101</v>
      </c>
      <c r="B1893" s="25" t="s">
        <v>2243</v>
      </c>
      <c r="C1893" s="27" t="b">
        <f aca="false">FALSE()</f>
        <v>0</v>
      </c>
      <c r="D1893" s="26" t="n">
        <v>46023</v>
      </c>
      <c r="E1893" s="25" t="n">
        <v>2026</v>
      </c>
      <c r="F1893" s="25" t="n">
        <v>1</v>
      </c>
      <c r="G1893" s="25" t="n">
        <v>1</v>
      </c>
    </row>
    <row r="1894" customFormat="false" ht="15" hidden="false" customHeight="false" outlineLevel="0" collapsed="false">
      <c r="A1894" s="25" t="n">
        <v>20260102</v>
      </c>
      <c r="B1894" s="25" t="s">
        <v>2243</v>
      </c>
      <c r="C1894" s="27" t="b">
        <f aca="false">FALSE()</f>
        <v>0</v>
      </c>
      <c r="D1894" s="26" t="n">
        <v>46024</v>
      </c>
      <c r="E1894" s="25" t="n">
        <v>2026</v>
      </c>
      <c r="F1894" s="25" t="n">
        <v>1</v>
      </c>
      <c r="G1894" s="25" t="n">
        <v>1</v>
      </c>
    </row>
    <row r="1895" customFormat="false" ht="15" hidden="false" customHeight="false" outlineLevel="0" collapsed="false">
      <c r="A1895" s="25" t="n">
        <v>20260103</v>
      </c>
      <c r="B1895" s="25" t="s">
        <v>2243</v>
      </c>
      <c r="C1895" s="27" t="b">
        <f aca="false">TRUE()</f>
        <v>1</v>
      </c>
      <c r="D1895" s="26" t="n">
        <v>46025</v>
      </c>
      <c r="E1895" s="25" t="n">
        <v>2026</v>
      </c>
      <c r="F1895" s="25" t="n">
        <v>1</v>
      </c>
      <c r="G1895" s="25" t="n">
        <v>1</v>
      </c>
    </row>
    <row r="1896" customFormat="false" ht="15" hidden="false" customHeight="false" outlineLevel="0" collapsed="false">
      <c r="A1896" s="25" t="n">
        <v>20260104</v>
      </c>
      <c r="B1896" s="25" t="s">
        <v>2243</v>
      </c>
      <c r="C1896" s="27" t="b">
        <f aca="false">TRUE()</f>
        <v>1</v>
      </c>
      <c r="D1896" s="26" t="n">
        <v>46026</v>
      </c>
      <c r="E1896" s="25" t="n">
        <v>2026</v>
      </c>
      <c r="F1896" s="25" t="n">
        <v>1</v>
      </c>
      <c r="G1896" s="25" t="n">
        <v>1</v>
      </c>
    </row>
    <row r="1897" customFormat="false" ht="15" hidden="false" customHeight="false" outlineLevel="0" collapsed="false">
      <c r="A1897" s="25" t="n">
        <v>20260105</v>
      </c>
      <c r="B1897" s="25" t="s">
        <v>2243</v>
      </c>
      <c r="C1897" s="27" t="b">
        <f aca="false">FALSE()</f>
        <v>0</v>
      </c>
      <c r="D1897" s="26" t="n">
        <v>46027</v>
      </c>
      <c r="E1897" s="25" t="n">
        <v>2026</v>
      </c>
      <c r="F1897" s="25" t="n">
        <v>1</v>
      </c>
      <c r="G1897" s="25" t="n">
        <v>1</v>
      </c>
    </row>
    <row r="1898" customFormat="false" ht="15" hidden="false" customHeight="false" outlineLevel="0" collapsed="false">
      <c r="A1898" s="25" t="n">
        <v>20260106</v>
      </c>
      <c r="B1898" s="25" t="s">
        <v>2243</v>
      </c>
      <c r="C1898" s="27" t="b">
        <f aca="false">FALSE()</f>
        <v>0</v>
      </c>
      <c r="D1898" s="26" t="n">
        <v>46028</v>
      </c>
      <c r="E1898" s="25" t="n">
        <v>2026</v>
      </c>
      <c r="F1898" s="25" t="n">
        <v>1</v>
      </c>
      <c r="G1898" s="25" t="n">
        <v>1</v>
      </c>
    </row>
    <row r="1899" customFormat="false" ht="15" hidden="false" customHeight="false" outlineLevel="0" collapsed="false">
      <c r="A1899" s="25" t="n">
        <v>20260107</v>
      </c>
      <c r="B1899" s="25" t="s">
        <v>2243</v>
      </c>
      <c r="C1899" s="27" t="b">
        <f aca="false">FALSE()</f>
        <v>0</v>
      </c>
      <c r="D1899" s="26" t="n">
        <v>46029</v>
      </c>
      <c r="E1899" s="25" t="n">
        <v>2026</v>
      </c>
      <c r="F1899" s="25" t="n">
        <v>1</v>
      </c>
      <c r="G1899" s="25" t="n">
        <v>1</v>
      </c>
    </row>
    <row r="1900" customFormat="false" ht="15" hidden="false" customHeight="false" outlineLevel="0" collapsed="false">
      <c r="A1900" s="25" t="n">
        <v>20260108</v>
      </c>
      <c r="B1900" s="25" t="s">
        <v>2243</v>
      </c>
      <c r="C1900" s="27" t="b">
        <f aca="false">FALSE()</f>
        <v>0</v>
      </c>
      <c r="D1900" s="26" t="n">
        <v>46030</v>
      </c>
      <c r="E1900" s="25" t="n">
        <v>2026</v>
      </c>
      <c r="F1900" s="25" t="n">
        <v>1</v>
      </c>
      <c r="G1900" s="25" t="n">
        <v>1</v>
      </c>
    </row>
    <row r="1901" customFormat="false" ht="15" hidden="false" customHeight="false" outlineLevel="0" collapsed="false">
      <c r="A1901" s="25" t="n">
        <v>20260109</v>
      </c>
      <c r="B1901" s="25" t="s">
        <v>2243</v>
      </c>
      <c r="C1901" s="27" t="b">
        <f aca="false">FALSE()</f>
        <v>0</v>
      </c>
      <c r="D1901" s="26" t="n">
        <v>46031</v>
      </c>
      <c r="E1901" s="25" t="n">
        <v>2026</v>
      </c>
      <c r="F1901" s="25" t="n">
        <v>1</v>
      </c>
      <c r="G1901" s="25" t="n">
        <v>1</v>
      </c>
    </row>
    <row r="1902" customFormat="false" ht="15" hidden="false" customHeight="false" outlineLevel="0" collapsed="false">
      <c r="A1902" s="25" t="n">
        <v>20260110</v>
      </c>
      <c r="B1902" s="25" t="s">
        <v>2243</v>
      </c>
      <c r="C1902" s="27" t="b">
        <f aca="false">TRUE()</f>
        <v>1</v>
      </c>
      <c r="D1902" s="26" t="n">
        <v>46032</v>
      </c>
      <c r="E1902" s="25" t="n">
        <v>2026</v>
      </c>
      <c r="F1902" s="25" t="n">
        <v>1</v>
      </c>
      <c r="G1902" s="25" t="n">
        <v>1</v>
      </c>
    </row>
    <row r="1903" customFormat="false" ht="15" hidden="false" customHeight="false" outlineLevel="0" collapsed="false">
      <c r="A1903" s="25" t="n">
        <v>20260111</v>
      </c>
      <c r="B1903" s="25" t="s">
        <v>2243</v>
      </c>
      <c r="C1903" s="27" t="b">
        <f aca="false">TRUE()</f>
        <v>1</v>
      </c>
      <c r="D1903" s="26" t="n">
        <v>46033</v>
      </c>
      <c r="E1903" s="25" t="n">
        <v>2026</v>
      </c>
      <c r="F1903" s="25" t="n">
        <v>1</v>
      </c>
      <c r="G1903" s="25" t="n">
        <v>1</v>
      </c>
    </row>
    <row r="1904" customFormat="false" ht="15" hidden="false" customHeight="false" outlineLevel="0" collapsed="false">
      <c r="A1904" s="25" t="n">
        <v>20260112</v>
      </c>
      <c r="B1904" s="25" t="s">
        <v>2243</v>
      </c>
      <c r="C1904" s="27" t="b">
        <f aca="false">FALSE()</f>
        <v>0</v>
      </c>
      <c r="D1904" s="26" t="n">
        <v>46034</v>
      </c>
      <c r="E1904" s="25" t="n">
        <v>2026</v>
      </c>
      <c r="F1904" s="25" t="n">
        <v>1</v>
      </c>
      <c r="G1904" s="25" t="n">
        <v>1</v>
      </c>
    </row>
    <row r="1905" customFormat="false" ht="15" hidden="false" customHeight="false" outlineLevel="0" collapsed="false">
      <c r="A1905" s="25" t="n">
        <v>20260113</v>
      </c>
      <c r="B1905" s="25" t="s">
        <v>2243</v>
      </c>
      <c r="C1905" s="27" t="b">
        <f aca="false">FALSE()</f>
        <v>0</v>
      </c>
      <c r="D1905" s="26" t="n">
        <v>46035</v>
      </c>
      <c r="E1905" s="25" t="n">
        <v>2026</v>
      </c>
      <c r="F1905" s="25" t="n">
        <v>1</v>
      </c>
      <c r="G1905" s="25" t="n">
        <v>1</v>
      </c>
    </row>
    <row r="1906" customFormat="false" ht="15" hidden="false" customHeight="false" outlineLevel="0" collapsed="false">
      <c r="A1906" s="25" t="n">
        <v>20260114</v>
      </c>
      <c r="B1906" s="25" t="s">
        <v>2243</v>
      </c>
      <c r="C1906" s="27" t="b">
        <f aca="false">FALSE()</f>
        <v>0</v>
      </c>
      <c r="D1906" s="26" t="n">
        <v>46036</v>
      </c>
      <c r="E1906" s="25" t="n">
        <v>2026</v>
      </c>
      <c r="F1906" s="25" t="n">
        <v>1</v>
      </c>
      <c r="G1906" s="25" t="n">
        <v>1</v>
      </c>
    </row>
    <row r="1907" customFormat="false" ht="15" hidden="false" customHeight="false" outlineLevel="0" collapsed="false">
      <c r="A1907" s="25" t="n">
        <v>20260115</v>
      </c>
      <c r="B1907" s="25" t="s">
        <v>2243</v>
      </c>
      <c r="C1907" s="27" t="b">
        <f aca="false">FALSE()</f>
        <v>0</v>
      </c>
      <c r="D1907" s="26" t="n">
        <v>46037</v>
      </c>
      <c r="E1907" s="25" t="n">
        <v>2026</v>
      </c>
      <c r="F1907" s="25" t="n">
        <v>1</v>
      </c>
      <c r="G1907" s="25" t="n">
        <v>1</v>
      </c>
    </row>
    <row r="1908" customFormat="false" ht="15" hidden="false" customHeight="false" outlineLevel="0" collapsed="false">
      <c r="A1908" s="25" t="n">
        <v>20260116</v>
      </c>
      <c r="B1908" s="25" t="s">
        <v>2243</v>
      </c>
      <c r="C1908" s="27" t="b">
        <f aca="false">FALSE()</f>
        <v>0</v>
      </c>
      <c r="D1908" s="26" t="n">
        <v>46038</v>
      </c>
      <c r="E1908" s="25" t="n">
        <v>2026</v>
      </c>
      <c r="F1908" s="25" t="n">
        <v>1</v>
      </c>
      <c r="G1908" s="25" t="n">
        <v>1</v>
      </c>
    </row>
    <row r="1909" customFormat="false" ht="15" hidden="false" customHeight="false" outlineLevel="0" collapsed="false">
      <c r="A1909" s="25" t="n">
        <v>20260117</v>
      </c>
      <c r="B1909" s="25" t="s">
        <v>2243</v>
      </c>
      <c r="C1909" s="27" t="b">
        <f aca="false">TRUE()</f>
        <v>1</v>
      </c>
      <c r="D1909" s="26" t="n">
        <v>46039</v>
      </c>
      <c r="E1909" s="25" t="n">
        <v>2026</v>
      </c>
      <c r="F1909" s="25" t="n">
        <v>1</v>
      </c>
      <c r="G1909" s="25" t="n">
        <v>1</v>
      </c>
    </row>
    <row r="1910" customFormat="false" ht="15" hidden="false" customHeight="false" outlineLevel="0" collapsed="false">
      <c r="A1910" s="25" t="n">
        <v>20260118</v>
      </c>
      <c r="B1910" s="25" t="s">
        <v>2243</v>
      </c>
      <c r="C1910" s="27" t="b">
        <f aca="false">TRUE()</f>
        <v>1</v>
      </c>
      <c r="D1910" s="26" t="n">
        <v>46040</v>
      </c>
      <c r="E1910" s="25" t="n">
        <v>2026</v>
      </c>
      <c r="F1910" s="25" t="n">
        <v>1</v>
      </c>
      <c r="G1910" s="25" t="n">
        <v>1</v>
      </c>
    </row>
    <row r="1911" customFormat="false" ht="15" hidden="false" customHeight="false" outlineLevel="0" collapsed="false">
      <c r="A1911" s="25" t="n">
        <v>20260119</v>
      </c>
      <c r="B1911" s="25" t="s">
        <v>2243</v>
      </c>
      <c r="C1911" s="27" t="b">
        <f aca="false">FALSE()</f>
        <v>0</v>
      </c>
      <c r="D1911" s="26" t="n">
        <v>46041</v>
      </c>
      <c r="E1911" s="25" t="n">
        <v>2026</v>
      </c>
      <c r="F1911" s="25" t="n">
        <v>1</v>
      </c>
      <c r="G1911" s="25" t="n">
        <v>1</v>
      </c>
    </row>
    <row r="1912" customFormat="false" ht="15" hidden="false" customHeight="false" outlineLevel="0" collapsed="false">
      <c r="A1912" s="25" t="n">
        <v>20260120</v>
      </c>
      <c r="B1912" s="25" t="s">
        <v>2243</v>
      </c>
      <c r="C1912" s="27" t="b">
        <f aca="false">FALSE()</f>
        <v>0</v>
      </c>
      <c r="D1912" s="26" t="n">
        <v>46042</v>
      </c>
      <c r="E1912" s="25" t="n">
        <v>2026</v>
      </c>
      <c r="F1912" s="25" t="n">
        <v>1</v>
      </c>
      <c r="G1912" s="25" t="n">
        <v>1</v>
      </c>
    </row>
    <row r="1913" customFormat="false" ht="15" hidden="false" customHeight="false" outlineLevel="0" collapsed="false">
      <c r="A1913" s="25" t="n">
        <v>20260121</v>
      </c>
      <c r="B1913" s="25" t="s">
        <v>2243</v>
      </c>
      <c r="C1913" s="27" t="b">
        <f aca="false">FALSE()</f>
        <v>0</v>
      </c>
      <c r="D1913" s="26" t="n">
        <v>46043</v>
      </c>
      <c r="E1913" s="25" t="n">
        <v>2026</v>
      </c>
      <c r="F1913" s="25" t="n">
        <v>1</v>
      </c>
      <c r="G1913" s="25" t="n">
        <v>1</v>
      </c>
    </row>
    <row r="1914" customFormat="false" ht="15" hidden="false" customHeight="false" outlineLevel="0" collapsed="false">
      <c r="A1914" s="25" t="n">
        <v>20260122</v>
      </c>
      <c r="B1914" s="25" t="s">
        <v>2243</v>
      </c>
      <c r="C1914" s="27" t="b">
        <f aca="false">FALSE()</f>
        <v>0</v>
      </c>
      <c r="D1914" s="26" t="n">
        <v>46044</v>
      </c>
      <c r="E1914" s="25" t="n">
        <v>2026</v>
      </c>
      <c r="F1914" s="25" t="n">
        <v>1</v>
      </c>
      <c r="G1914" s="25" t="n">
        <v>1</v>
      </c>
    </row>
    <row r="1915" customFormat="false" ht="15" hidden="false" customHeight="false" outlineLevel="0" collapsed="false">
      <c r="A1915" s="25" t="n">
        <v>20260123</v>
      </c>
      <c r="B1915" s="25" t="s">
        <v>2243</v>
      </c>
      <c r="C1915" s="27" t="b">
        <f aca="false">FALSE()</f>
        <v>0</v>
      </c>
      <c r="D1915" s="26" t="n">
        <v>46045</v>
      </c>
      <c r="E1915" s="25" t="n">
        <v>2026</v>
      </c>
      <c r="F1915" s="25" t="n">
        <v>1</v>
      </c>
      <c r="G1915" s="25" t="n">
        <v>1</v>
      </c>
    </row>
    <row r="1916" customFormat="false" ht="15" hidden="false" customHeight="false" outlineLevel="0" collapsed="false">
      <c r="A1916" s="25" t="n">
        <v>20260124</v>
      </c>
      <c r="B1916" s="25" t="s">
        <v>2243</v>
      </c>
      <c r="C1916" s="27" t="b">
        <f aca="false">TRUE()</f>
        <v>1</v>
      </c>
      <c r="D1916" s="26" t="n">
        <v>46046</v>
      </c>
      <c r="E1916" s="25" t="n">
        <v>2026</v>
      </c>
      <c r="F1916" s="25" t="n">
        <v>1</v>
      </c>
      <c r="G1916" s="25" t="n">
        <v>1</v>
      </c>
    </row>
    <row r="1917" customFormat="false" ht="15" hidden="false" customHeight="false" outlineLevel="0" collapsed="false">
      <c r="A1917" s="25" t="n">
        <v>20260125</v>
      </c>
      <c r="B1917" s="25" t="s">
        <v>2243</v>
      </c>
      <c r="C1917" s="27" t="b">
        <f aca="false">TRUE()</f>
        <v>1</v>
      </c>
      <c r="D1917" s="26" t="n">
        <v>46047</v>
      </c>
      <c r="E1917" s="25" t="n">
        <v>2026</v>
      </c>
      <c r="F1917" s="25" t="n">
        <v>1</v>
      </c>
      <c r="G1917" s="25" t="n">
        <v>1</v>
      </c>
    </row>
    <row r="1918" customFormat="false" ht="15" hidden="false" customHeight="false" outlineLevel="0" collapsed="false">
      <c r="A1918" s="25" t="n">
        <v>20260126</v>
      </c>
      <c r="B1918" s="25" t="s">
        <v>2243</v>
      </c>
      <c r="C1918" s="27" t="b">
        <f aca="false">FALSE()</f>
        <v>0</v>
      </c>
      <c r="D1918" s="26" t="n">
        <v>46048</v>
      </c>
      <c r="E1918" s="25" t="n">
        <v>2026</v>
      </c>
      <c r="F1918" s="25" t="n">
        <v>1</v>
      </c>
      <c r="G1918" s="25" t="n">
        <v>1</v>
      </c>
    </row>
    <row r="1919" customFormat="false" ht="15" hidden="false" customHeight="false" outlineLevel="0" collapsed="false">
      <c r="A1919" s="25" t="n">
        <v>20260127</v>
      </c>
      <c r="B1919" s="25" t="s">
        <v>2243</v>
      </c>
      <c r="C1919" s="27" t="b">
        <f aca="false">FALSE()</f>
        <v>0</v>
      </c>
      <c r="D1919" s="26" t="n">
        <v>46049</v>
      </c>
      <c r="E1919" s="25" t="n">
        <v>2026</v>
      </c>
      <c r="F1919" s="25" t="n">
        <v>1</v>
      </c>
      <c r="G1919" s="25" t="n">
        <v>1</v>
      </c>
    </row>
    <row r="1920" customFormat="false" ht="15" hidden="false" customHeight="false" outlineLevel="0" collapsed="false">
      <c r="A1920" s="25" t="n">
        <v>20260128</v>
      </c>
      <c r="B1920" s="25" t="s">
        <v>2243</v>
      </c>
      <c r="C1920" s="27" t="b">
        <f aca="false">FALSE()</f>
        <v>0</v>
      </c>
      <c r="D1920" s="26" t="n">
        <v>46050</v>
      </c>
      <c r="E1920" s="25" t="n">
        <v>2026</v>
      </c>
      <c r="F1920" s="25" t="n">
        <v>1</v>
      </c>
      <c r="G1920" s="25" t="n">
        <v>1</v>
      </c>
    </row>
    <row r="1921" customFormat="false" ht="15" hidden="false" customHeight="false" outlineLevel="0" collapsed="false">
      <c r="A1921" s="25" t="n">
        <v>20260129</v>
      </c>
      <c r="B1921" s="25" t="s">
        <v>2243</v>
      </c>
      <c r="C1921" s="27" t="b">
        <f aca="false">FALSE()</f>
        <v>0</v>
      </c>
      <c r="D1921" s="26" t="n">
        <v>46051</v>
      </c>
      <c r="E1921" s="25" t="n">
        <v>2026</v>
      </c>
      <c r="F1921" s="25" t="n">
        <v>1</v>
      </c>
      <c r="G1921" s="25" t="n">
        <v>1</v>
      </c>
    </row>
    <row r="1922" customFormat="false" ht="15" hidden="false" customHeight="false" outlineLevel="0" collapsed="false">
      <c r="A1922" s="25" t="n">
        <v>20260130</v>
      </c>
      <c r="B1922" s="25" t="s">
        <v>2243</v>
      </c>
      <c r="C1922" s="27" t="b">
        <f aca="false">FALSE()</f>
        <v>0</v>
      </c>
      <c r="D1922" s="26" t="n">
        <v>46052</v>
      </c>
      <c r="E1922" s="25" t="n">
        <v>2026</v>
      </c>
      <c r="F1922" s="25" t="n">
        <v>1</v>
      </c>
      <c r="G1922" s="25" t="n">
        <v>1</v>
      </c>
    </row>
    <row r="1923" customFormat="false" ht="15" hidden="false" customHeight="false" outlineLevel="0" collapsed="false">
      <c r="A1923" s="25" t="n">
        <v>20260131</v>
      </c>
      <c r="B1923" s="25" t="s">
        <v>2243</v>
      </c>
      <c r="C1923" s="27" t="b">
        <f aca="false">TRUE()</f>
        <v>1</v>
      </c>
      <c r="D1923" s="26" t="n">
        <v>46053</v>
      </c>
      <c r="E1923" s="25" t="n">
        <v>2026</v>
      </c>
      <c r="F1923" s="25" t="n">
        <v>1</v>
      </c>
      <c r="G1923" s="25" t="n">
        <v>1</v>
      </c>
    </row>
    <row r="1924" customFormat="false" ht="15" hidden="false" customHeight="false" outlineLevel="0" collapsed="false">
      <c r="A1924" s="25" t="n">
        <v>20260201</v>
      </c>
      <c r="B1924" s="25" t="s">
        <v>2244</v>
      </c>
      <c r="C1924" s="27" t="b">
        <f aca="false">TRUE()</f>
        <v>1</v>
      </c>
      <c r="D1924" s="26" t="n">
        <v>46054</v>
      </c>
      <c r="E1924" s="25" t="n">
        <v>2026</v>
      </c>
      <c r="F1924" s="25" t="n">
        <v>1</v>
      </c>
      <c r="G1924" s="25" t="n">
        <v>2</v>
      </c>
    </row>
    <row r="1925" customFormat="false" ht="15" hidden="false" customHeight="false" outlineLevel="0" collapsed="false">
      <c r="A1925" s="25" t="n">
        <v>20260202</v>
      </c>
      <c r="B1925" s="25" t="s">
        <v>2244</v>
      </c>
      <c r="C1925" s="27" t="b">
        <f aca="false">FALSE()</f>
        <v>0</v>
      </c>
      <c r="D1925" s="26" t="n">
        <v>46055</v>
      </c>
      <c r="E1925" s="25" t="n">
        <v>2026</v>
      </c>
      <c r="F1925" s="25" t="n">
        <v>1</v>
      </c>
      <c r="G1925" s="25" t="n">
        <v>2</v>
      </c>
    </row>
    <row r="1926" customFormat="false" ht="15" hidden="false" customHeight="false" outlineLevel="0" collapsed="false">
      <c r="A1926" s="25" t="n">
        <v>20260203</v>
      </c>
      <c r="B1926" s="25" t="s">
        <v>2244</v>
      </c>
      <c r="C1926" s="27" t="b">
        <f aca="false">FALSE()</f>
        <v>0</v>
      </c>
      <c r="D1926" s="26" t="n">
        <v>46056</v>
      </c>
      <c r="E1926" s="25" t="n">
        <v>2026</v>
      </c>
      <c r="F1926" s="25" t="n">
        <v>1</v>
      </c>
      <c r="G1926" s="25" t="n">
        <v>2</v>
      </c>
    </row>
    <row r="1927" customFormat="false" ht="15" hidden="false" customHeight="false" outlineLevel="0" collapsed="false">
      <c r="A1927" s="25" t="n">
        <v>20260204</v>
      </c>
      <c r="B1927" s="25" t="s">
        <v>2244</v>
      </c>
      <c r="C1927" s="27" t="b">
        <f aca="false">FALSE()</f>
        <v>0</v>
      </c>
      <c r="D1927" s="26" t="n">
        <v>46057</v>
      </c>
      <c r="E1927" s="25" t="n">
        <v>2026</v>
      </c>
      <c r="F1927" s="25" t="n">
        <v>1</v>
      </c>
      <c r="G1927" s="25" t="n">
        <v>2</v>
      </c>
    </row>
    <row r="1928" customFormat="false" ht="15" hidden="false" customHeight="false" outlineLevel="0" collapsed="false">
      <c r="A1928" s="25" t="n">
        <v>20260205</v>
      </c>
      <c r="B1928" s="25" t="s">
        <v>2244</v>
      </c>
      <c r="C1928" s="27" t="b">
        <f aca="false">FALSE()</f>
        <v>0</v>
      </c>
      <c r="D1928" s="26" t="n">
        <v>46058</v>
      </c>
      <c r="E1928" s="25" t="n">
        <v>2026</v>
      </c>
      <c r="F1928" s="25" t="n">
        <v>1</v>
      </c>
      <c r="G1928" s="25" t="n">
        <v>2</v>
      </c>
    </row>
    <row r="1929" customFormat="false" ht="15" hidden="false" customHeight="false" outlineLevel="0" collapsed="false">
      <c r="A1929" s="25" t="n">
        <v>20260206</v>
      </c>
      <c r="B1929" s="25" t="s">
        <v>2244</v>
      </c>
      <c r="C1929" s="27" t="b">
        <f aca="false">FALSE()</f>
        <v>0</v>
      </c>
      <c r="D1929" s="26" t="n">
        <v>46059</v>
      </c>
      <c r="E1929" s="25" t="n">
        <v>2026</v>
      </c>
      <c r="F1929" s="25" t="n">
        <v>1</v>
      </c>
      <c r="G1929" s="25" t="n">
        <v>2</v>
      </c>
    </row>
    <row r="1930" customFormat="false" ht="15" hidden="false" customHeight="false" outlineLevel="0" collapsed="false">
      <c r="A1930" s="25" t="n">
        <v>20260207</v>
      </c>
      <c r="B1930" s="25" t="s">
        <v>2244</v>
      </c>
      <c r="C1930" s="27" t="b">
        <f aca="false">TRUE()</f>
        <v>1</v>
      </c>
      <c r="D1930" s="26" t="n">
        <v>46060</v>
      </c>
      <c r="E1930" s="25" t="n">
        <v>2026</v>
      </c>
      <c r="F1930" s="25" t="n">
        <v>1</v>
      </c>
      <c r="G1930" s="25" t="n">
        <v>2</v>
      </c>
    </row>
    <row r="1931" customFormat="false" ht="15" hidden="false" customHeight="false" outlineLevel="0" collapsed="false">
      <c r="A1931" s="25" t="n">
        <v>20260208</v>
      </c>
      <c r="B1931" s="25" t="s">
        <v>2244</v>
      </c>
      <c r="C1931" s="27" t="b">
        <f aca="false">TRUE()</f>
        <v>1</v>
      </c>
      <c r="D1931" s="26" t="n">
        <v>46061</v>
      </c>
      <c r="E1931" s="25" t="n">
        <v>2026</v>
      </c>
      <c r="F1931" s="25" t="n">
        <v>1</v>
      </c>
      <c r="G1931" s="25" t="n">
        <v>2</v>
      </c>
    </row>
    <row r="1932" customFormat="false" ht="15" hidden="false" customHeight="false" outlineLevel="0" collapsed="false">
      <c r="A1932" s="25" t="n">
        <v>20260209</v>
      </c>
      <c r="B1932" s="25" t="s">
        <v>2244</v>
      </c>
      <c r="C1932" s="27" t="b">
        <f aca="false">FALSE()</f>
        <v>0</v>
      </c>
      <c r="D1932" s="26" t="n">
        <v>46062</v>
      </c>
      <c r="E1932" s="25" t="n">
        <v>2026</v>
      </c>
      <c r="F1932" s="25" t="n">
        <v>1</v>
      </c>
      <c r="G1932" s="25" t="n">
        <v>2</v>
      </c>
    </row>
    <row r="1933" customFormat="false" ht="15" hidden="false" customHeight="false" outlineLevel="0" collapsed="false">
      <c r="A1933" s="25" t="n">
        <v>20260210</v>
      </c>
      <c r="B1933" s="25" t="s">
        <v>2244</v>
      </c>
      <c r="C1933" s="27" t="b">
        <f aca="false">FALSE()</f>
        <v>0</v>
      </c>
      <c r="D1933" s="26" t="n">
        <v>46063</v>
      </c>
      <c r="E1933" s="25" t="n">
        <v>2026</v>
      </c>
      <c r="F1933" s="25" t="n">
        <v>1</v>
      </c>
      <c r="G1933" s="25" t="n">
        <v>2</v>
      </c>
    </row>
    <row r="1934" customFormat="false" ht="15" hidden="false" customHeight="false" outlineLevel="0" collapsed="false">
      <c r="A1934" s="25" t="n">
        <v>20260211</v>
      </c>
      <c r="B1934" s="25" t="s">
        <v>2244</v>
      </c>
      <c r="C1934" s="27" t="b">
        <f aca="false">FALSE()</f>
        <v>0</v>
      </c>
      <c r="D1934" s="26" t="n">
        <v>46064</v>
      </c>
      <c r="E1934" s="25" t="n">
        <v>2026</v>
      </c>
      <c r="F1934" s="25" t="n">
        <v>1</v>
      </c>
      <c r="G1934" s="25" t="n">
        <v>2</v>
      </c>
    </row>
    <row r="1935" customFormat="false" ht="15" hidden="false" customHeight="false" outlineLevel="0" collapsed="false">
      <c r="A1935" s="25" t="n">
        <v>20260212</v>
      </c>
      <c r="B1935" s="25" t="s">
        <v>2244</v>
      </c>
      <c r="C1935" s="27" t="b">
        <f aca="false">FALSE()</f>
        <v>0</v>
      </c>
      <c r="D1935" s="26" t="n">
        <v>46065</v>
      </c>
      <c r="E1935" s="25" t="n">
        <v>2026</v>
      </c>
      <c r="F1935" s="25" t="n">
        <v>1</v>
      </c>
      <c r="G1935" s="25" t="n">
        <v>2</v>
      </c>
    </row>
    <row r="1936" customFormat="false" ht="15" hidden="false" customHeight="false" outlineLevel="0" collapsed="false">
      <c r="A1936" s="25" t="n">
        <v>20260213</v>
      </c>
      <c r="B1936" s="25" t="s">
        <v>2244</v>
      </c>
      <c r="C1936" s="27" t="b">
        <f aca="false">FALSE()</f>
        <v>0</v>
      </c>
      <c r="D1936" s="26" t="n">
        <v>46066</v>
      </c>
      <c r="E1936" s="25" t="n">
        <v>2026</v>
      </c>
      <c r="F1936" s="25" t="n">
        <v>1</v>
      </c>
      <c r="G1936" s="25" t="n">
        <v>2</v>
      </c>
    </row>
    <row r="1937" customFormat="false" ht="15" hidden="false" customHeight="false" outlineLevel="0" collapsed="false">
      <c r="A1937" s="25" t="n">
        <v>20260214</v>
      </c>
      <c r="B1937" s="25" t="s">
        <v>2244</v>
      </c>
      <c r="C1937" s="27" t="b">
        <f aca="false">TRUE()</f>
        <v>1</v>
      </c>
      <c r="D1937" s="26" t="n">
        <v>46067</v>
      </c>
      <c r="E1937" s="25" t="n">
        <v>2026</v>
      </c>
      <c r="F1937" s="25" t="n">
        <v>1</v>
      </c>
      <c r="G1937" s="25" t="n">
        <v>2</v>
      </c>
    </row>
    <row r="1938" customFormat="false" ht="15" hidden="false" customHeight="false" outlineLevel="0" collapsed="false">
      <c r="A1938" s="25" t="n">
        <v>20260215</v>
      </c>
      <c r="B1938" s="25" t="s">
        <v>2244</v>
      </c>
      <c r="C1938" s="27" t="b">
        <f aca="false">TRUE()</f>
        <v>1</v>
      </c>
      <c r="D1938" s="26" t="n">
        <v>46068</v>
      </c>
      <c r="E1938" s="25" t="n">
        <v>2026</v>
      </c>
      <c r="F1938" s="25" t="n">
        <v>1</v>
      </c>
      <c r="G1938" s="25" t="n">
        <v>2</v>
      </c>
    </row>
    <row r="1939" customFormat="false" ht="15" hidden="false" customHeight="false" outlineLevel="0" collapsed="false">
      <c r="A1939" s="25" t="n">
        <v>20260216</v>
      </c>
      <c r="B1939" s="25" t="s">
        <v>2244</v>
      </c>
      <c r="C1939" s="27" t="b">
        <f aca="false">FALSE()</f>
        <v>0</v>
      </c>
      <c r="D1939" s="26" t="n">
        <v>46069</v>
      </c>
      <c r="E1939" s="25" t="n">
        <v>2026</v>
      </c>
      <c r="F1939" s="25" t="n">
        <v>1</v>
      </c>
      <c r="G1939" s="25" t="n">
        <v>2</v>
      </c>
    </row>
    <row r="1940" customFormat="false" ht="15" hidden="false" customHeight="false" outlineLevel="0" collapsed="false">
      <c r="A1940" s="25" t="n">
        <v>20260217</v>
      </c>
      <c r="B1940" s="25" t="s">
        <v>2244</v>
      </c>
      <c r="C1940" s="27" t="b">
        <f aca="false">FALSE()</f>
        <v>0</v>
      </c>
      <c r="D1940" s="26" t="n">
        <v>46070</v>
      </c>
      <c r="E1940" s="25" t="n">
        <v>2026</v>
      </c>
      <c r="F1940" s="25" t="n">
        <v>1</v>
      </c>
      <c r="G1940" s="25" t="n">
        <v>2</v>
      </c>
    </row>
    <row r="1941" customFormat="false" ht="15" hidden="false" customHeight="false" outlineLevel="0" collapsed="false">
      <c r="A1941" s="25" t="n">
        <v>20260218</v>
      </c>
      <c r="B1941" s="25" t="s">
        <v>2244</v>
      </c>
      <c r="C1941" s="27" t="b">
        <f aca="false">FALSE()</f>
        <v>0</v>
      </c>
      <c r="D1941" s="26" t="n">
        <v>46071</v>
      </c>
      <c r="E1941" s="25" t="n">
        <v>2026</v>
      </c>
      <c r="F1941" s="25" t="n">
        <v>1</v>
      </c>
      <c r="G1941" s="25" t="n">
        <v>2</v>
      </c>
    </row>
    <row r="1942" customFormat="false" ht="15" hidden="false" customHeight="false" outlineLevel="0" collapsed="false">
      <c r="A1942" s="25" t="n">
        <v>20260219</v>
      </c>
      <c r="B1942" s="25" t="s">
        <v>2244</v>
      </c>
      <c r="C1942" s="27" t="b">
        <f aca="false">FALSE()</f>
        <v>0</v>
      </c>
      <c r="D1942" s="26" t="n">
        <v>46072</v>
      </c>
      <c r="E1942" s="25" t="n">
        <v>2026</v>
      </c>
      <c r="F1942" s="25" t="n">
        <v>1</v>
      </c>
      <c r="G1942" s="25" t="n">
        <v>2</v>
      </c>
    </row>
    <row r="1943" customFormat="false" ht="15" hidden="false" customHeight="false" outlineLevel="0" collapsed="false">
      <c r="A1943" s="25" t="n">
        <v>20260220</v>
      </c>
      <c r="B1943" s="25" t="s">
        <v>2244</v>
      </c>
      <c r="C1943" s="27" t="b">
        <f aca="false">FALSE()</f>
        <v>0</v>
      </c>
      <c r="D1943" s="26" t="n">
        <v>46073</v>
      </c>
      <c r="E1943" s="25" t="n">
        <v>2026</v>
      </c>
      <c r="F1943" s="25" t="n">
        <v>1</v>
      </c>
      <c r="G1943" s="25" t="n">
        <v>2</v>
      </c>
    </row>
    <row r="1944" customFormat="false" ht="15" hidden="false" customHeight="false" outlineLevel="0" collapsed="false">
      <c r="A1944" s="25" t="n">
        <v>20260221</v>
      </c>
      <c r="B1944" s="25" t="s">
        <v>2244</v>
      </c>
      <c r="C1944" s="27" t="b">
        <f aca="false">TRUE()</f>
        <v>1</v>
      </c>
      <c r="D1944" s="26" t="n">
        <v>46074</v>
      </c>
      <c r="E1944" s="25" t="n">
        <v>2026</v>
      </c>
      <c r="F1944" s="25" t="n">
        <v>1</v>
      </c>
      <c r="G1944" s="25" t="n">
        <v>2</v>
      </c>
    </row>
    <row r="1945" customFormat="false" ht="15" hidden="false" customHeight="false" outlineLevel="0" collapsed="false">
      <c r="A1945" s="25" t="n">
        <v>20260222</v>
      </c>
      <c r="B1945" s="25" t="s">
        <v>2244</v>
      </c>
      <c r="C1945" s="27" t="b">
        <f aca="false">TRUE()</f>
        <v>1</v>
      </c>
      <c r="D1945" s="26" t="n">
        <v>46075</v>
      </c>
      <c r="E1945" s="25" t="n">
        <v>2026</v>
      </c>
      <c r="F1945" s="25" t="n">
        <v>1</v>
      </c>
      <c r="G1945" s="25" t="n">
        <v>2</v>
      </c>
    </row>
    <row r="1946" customFormat="false" ht="15" hidden="false" customHeight="false" outlineLevel="0" collapsed="false">
      <c r="A1946" s="25" t="n">
        <v>20260223</v>
      </c>
      <c r="B1946" s="25" t="s">
        <v>2244</v>
      </c>
      <c r="C1946" s="27" t="b">
        <f aca="false">FALSE()</f>
        <v>0</v>
      </c>
      <c r="D1946" s="26" t="n">
        <v>46076</v>
      </c>
      <c r="E1946" s="25" t="n">
        <v>2026</v>
      </c>
      <c r="F1946" s="25" t="n">
        <v>1</v>
      </c>
      <c r="G1946" s="25" t="n">
        <v>2</v>
      </c>
    </row>
    <row r="1947" customFormat="false" ht="15" hidden="false" customHeight="false" outlineLevel="0" collapsed="false">
      <c r="A1947" s="25" t="n">
        <v>20260224</v>
      </c>
      <c r="B1947" s="25" t="s">
        <v>2244</v>
      </c>
      <c r="C1947" s="27" t="b">
        <f aca="false">FALSE()</f>
        <v>0</v>
      </c>
      <c r="D1947" s="26" t="n">
        <v>46077</v>
      </c>
      <c r="E1947" s="25" t="n">
        <v>2026</v>
      </c>
      <c r="F1947" s="25" t="n">
        <v>1</v>
      </c>
      <c r="G1947" s="25" t="n">
        <v>2</v>
      </c>
    </row>
    <row r="1948" customFormat="false" ht="15" hidden="false" customHeight="false" outlineLevel="0" collapsed="false">
      <c r="A1948" s="25" t="n">
        <v>20260225</v>
      </c>
      <c r="B1948" s="25" t="s">
        <v>2244</v>
      </c>
      <c r="C1948" s="27" t="b">
        <f aca="false">FALSE()</f>
        <v>0</v>
      </c>
      <c r="D1948" s="26" t="n">
        <v>46078</v>
      </c>
      <c r="E1948" s="25" t="n">
        <v>2026</v>
      </c>
      <c r="F1948" s="25" t="n">
        <v>1</v>
      </c>
      <c r="G1948" s="25" t="n">
        <v>2</v>
      </c>
    </row>
    <row r="1949" customFormat="false" ht="15" hidden="false" customHeight="false" outlineLevel="0" collapsed="false">
      <c r="A1949" s="25" t="n">
        <v>20260226</v>
      </c>
      <c r="B1949" s="25" t="s">
        <v>2244</v>
      </c>
      <c r="C1949" s="27" t="b">
        <f aca="false">FALSE()</f>
        <v>0</v>
      </c>
      <c r="D1949" s="26" t="n">
        <v>46079</v>
      </c>
      <c r="E1949" s="25" t="n">
        <v>2026</v>
      </c>
      <c r="F1949" s="25" t="n">
        <v>1</v>
      </c>
      <c r="G1949" s="25" t="n">
        <v>2</v>
      </c>
    </row>
    <row r="1950" customFormat="false" ht="15" hidden="false" customHeight="false" outlineLevel="0" collapsed="false">
      <c r="A1950" s="25" t="n">
        <v>20260227</v>
      </c>
      <c r="B1950" s="25" t="s">
        <v>2244</v>
      </c>
      <c r="C1950" s="27" t="b">
        <f aca="false">FALSE()</f>
        <v>0</v>
      </c>
      <c r="D1950" s="26" t="n">
        <v>46080</v>
      </c>
      <c r="E1950" s="25" t="n">
        <v>2026</v>
      </c>
      <c r="F1950" s="25" t="n">
        <v>1</v>
      </c>
      <c r="G1950" s="25" t="n">
        <v>2</v>
      </c>
    </row>
    <row r="1951" customFormat="false" ht="15" hidden="false" customHeight="false" outlineLevel="0" collapsed="false">
      <c r="A1951" s="25" t="n">
        <v>20260228</v>
      </c>
      <c r="B1951" s="25" t="s">
        <v>2244</v>
      </c>
      <c r="C1951" s="27" t="b">
        <f aca="false">TRUE()</f>
        <v>1</v>
      </c>
      <c r="D1951" s="26" t="n">
        <v>46081</v>
      </c>
      <c r="E1951" s="25" t="n">
        <v>2026</v>
      </c>
      <c r="F1951" s="25" t="n">
        <v>1</v>
      </c>
      <c r="G1951" s="25" t="n">
        <v>2</v>
      </c>
    </row>
    <row r="1952" customFormat="false" ht="15" hidden="false" customHeight="false" outlineLevel="0" collapsed="false">
      <c r="A1952" s="25" t="n">
        <v>20260301</v>
      </c>
      <c r="B1952" s="25" t="s">
        <v>2245</v>
      </c>
      <c r="C1952" s="27" t="b">
        <f aca="false">TRUE()</f>
        <v>1</v>
      </c>
      <c r="D1952" s="26" t="n">
        <v>46082</v>
      </c>
      <c r="E1952" s="25" t="n">
        <v>2026</v>
      </c>
      <c r="F1952" s="25" t="n">
        <v>1</v>
      </c>
      <c r="G1952" s="25" t="n">
        <v>3</v>
      </c>
    </row>
    <row r="1953" customFormat="false" ht="15" hidden="false" customHeight="false" outlineLevel="0" collapsed="false">
      <c r="A1953" s="25" t="n">
        <v>20260302</v>
      </c>
      <c r="B1953" s="25" t="s">
        <v>2245</v>
      </c>
      <c r="C1953" s="27" t="b">
        <f aca="false">FALSE()</f>
        <v>0</v>
      </c>
      <c r="D1953" s="26" t="n">
        <v>46083</v>
      </c>
      <c r="E1953" s="25" t="n">
        <v>2026</v>
      </c>
      <c r="F1953" s="25" t="n">
        <v>1</v>
      </c>
      <c r="G1953" s="25" t="n">
        <v>3</v>
      </c>
    </row>
    <row r="1954" customFormat="false" ht="15" hidden="false" customHeight="false" outlineLevel="0" collapsed="false">
      <c r="A1954" s="25" t="n">
        <v>20260303</v>
      </c>
      <c r="B1954" s="25" t="s">
        <v>2245</v>
      </c>
      <c r="C1954" s="27" t="b">
        <f aca="false">FALSE()</f>
        <v>0</v>
      </c>
      <c r="D1954" s="26" t="n">
        <v>46084</v>
      </c>
      <c r="E1954" s="25" t="n">
        <v>2026</v>
      </c>
      <c r="F1954" s="25" t="n">
        <v>1</v>
      </c>
      <c r="G1954" s="25" t="n">
        <v>3</v>
      </c>
    </row>
    <row r="1955" customFormat="false" ht="15" hidden="false" customHeight="false" outlineLevel="0" collapsed="false">
      <c r="A1955" s="25" t="n">
        <v>20260304</v>
      </c>
      <c r="B1955" s="25" t="s">
        <v>2245</v>
      </c>
      <c r="C1955" s="27" t="b">
        <f aca="false">FALSE()</f>
        <v>0</v>
      </c>
      <c r="D1955" s="26" t="n">
        <v>46085</v>
      </c>
      <c r="E1955" s="25" t="n">
        <v>2026</v>
      </c>
      <c r="F1955" s="25" t="n">
        <v>1</v>
      </c>
      <c r="G1955" s="25" t="n">
        <v>3</v>
      </c>
    </row>
    <row r="1956" customFormat="false" ht="15" hidden="false" customHeight="false" outlineLevel="0" collapsed="false">
      <c r="A1956" s="25" t="n">
        <v>20260305</v>
      </c>
      <c r="B1956" s="25" t="s">
        <v>2245</v>
      </c>
      <c r="C1956" s="27" t="b">
        <f aca="false">FALSE()</f>
        <v>0</v>
      </c>
      <c r="D1956" s="26" t="n">
        <v>46086</v>
      </c>
      <c r="E1956" s="25" t="n">
        <v>2026</v>
      </c>
      <c r="F1956" s="25" t="n">
        <v>1</v>
      </c>
      <c r="G1956" s="25" t="n">
        <v>3</v>
      </c>
    </row>
    <row r="1957" customFormat="false" ht="15" hidden="false" customHeight="false" outlineLevel="0" collapsed="false">
      <c r="A1957" s="25" t="n">
        <v>20260306</v>
      </c>
      <c r="B1957" s="25" t="s">
        <v>2245</v>
      </c>
      <c r="C1957" s="27" t="b">
        <f aca="false">FALSE()</f>
        <v>0</v>
      </c>
      <c r="D1957" s="26" t="n">
        <v>46087</v>
      </c>
      <c r="E1957" s="25" t="n">
        <v>2026</v>
      </c>
      <c r="F1957" s="25" t="n">
        <v>1</v>
      </c>
      <c r="G1957" s="25" t="n">
        <v>3</v>
      </c>
    </row>
    <row r="1958" customFormat="false" ht="15" hidden="false" customHeight="false" outlineLevel="0" collapsed="false">
      <c r="A1958" s="25" t="n">
        <v>20260307</v>
      </c>
      <c r="B1958" s="25" t="s">
        <v>2245</v>
      </c>
      <c r="C1958" s="27" t="b">
        <f aca="false">TRUE()</f>
        <v>1</v>
      </c>
      <c r="D1958" s="26" t="n">
        <v>46088</v>
      </c>
      <c r="E1958" s="25" t="n">
        <v>2026</v>
      </c>
      <c r="F1958" s="25" t="n">
        <v>1</v>
      </c>
      <c r="G1958" s="25" t="n">
        <v>3</v>
      </c>
    </row>
    <row r="1959" customFormat="false" ht="15" hidden="false" customHeight="false" outlineLevel="0" collapsed="false">
      <c r="A1959" s="25" t="n">
        <v>20260308</v>
      </c>
      <c r="B1959" s="25" t="s">
        <v>2245</v>
      </c>
      <c r="C1959" s="27" t="b">
        <f aca="false">TRUE()</f>
        <v>1</v>
      </c>
      <c r="D1959" s="26" t="n">
        <v>46089</v>
      </c>
      <c r="E1959" s="25" t="n">
        <v>2026</v>
      </c>
      <c r="F1959" s="25" t="n">
        <v>1</v>
      </c>
      <c r="G1959" s="25" t="n">
        <v>3</v>
      </c>
    </row>
    <row r="1960" customFormat="false" ht="15" hidden="false" customHeight="false" outlineLevel="0" collapsed="false">
      <c r="A1960" s="25" t="n">
        <v>20260309</v>
      </c>
      <c r="B1960" s="25" t="s">
        <v>2245</v>
      </c>
      <c r="C1960" s="27" t="b">
        <f aca="false">FALSE()</f>
        <v>0</v>
      </c>
      <c r="D1960" s="26" t="n">
        <v>46090</v>
      </c>
      <c r="E1960" s="25" t="n">
        <v>2026</v>
      </c>
      <c r="F1960" s="25" t="n">
        <v>1</v>
      </c>
      <c r="G1960" s="25" t="n">
        <v>3</v>
      </c>
    </row>
    <row r="1961" customFormat="false" ht="15" hidden="false" customHeight="false" outlineLevel="0" collapsed="false">
      <c r="A1961" s="25" t="n">
        <v>20260310</v>
      </c>
      <c r="B1961" s="25" t="s">
        <v>2245</v>
      </c>
      <c r="C1961" s="27" t="b">
        <f aca="false">FALSE()</f>
        <v>0</v>
      </c>
      <c r="D1961" s="26" t="n">
        <v>46091</v>
      </c>
      <c r="E1961" s="25" t="n">
        <v>2026</v>
      </c>
      <c r="F1961" s="25" t="n">
        <v>1</v>
      </c>
      <c r="G1961" s="25" t="n">
        <v>3</v>
      </c>
    </row>
    <row r="1962" customFormat="false" ht="15" hidden="false" customHeight="false" outlineLevel="0" collapsed="false">
      <c r="A1962" s="25" t="n">
        <v>20260311</v>
      </c>
      <c r="B1962" s="25" t="s">
        <v>2245</v>
      </c>
      <c r="C1962" s="27" t="b">
        <f aca="false">FALSE()</f>
        <v>0</v>
      </c>
      <c r="D1962" s="26" t="n">
        <v>46092</v>
      </c>
      <c r="E1962" s="25" t="n">
        <v>2026</v>
      </c>
      <c r="F1962" s="25" t="n">
        <v>1</v>
      </c>
      <c r="G1962" s="25" t="n">
        <v>3</v>
      </c>
    </row>
    <row r="1963" customFormat="false" ht="15" hidden="false" customHeight="false" outlineLevel="0" collapsed="false">
      <c r="A1963" s="25" t="n">
        <v>20260312</v>
      </c>
      <c r="B1963" s="25" t="s">
        <v>2245</v>
      </c>
      <c r="C1963" s="27" t="b">
        <f aca="false">FALSE()</f>
        <v>0</v>
      </c>
      <c r="D1963" s="26" t="n">
        <v>46093</v>
      </c>
      <c r="E1963" s="25" t="n">
        <v>2026</v>
      </c>
      <c r="F1963" s="25" t="n">
        <v>1</v>
      </c>
      <c r="G1963" s="25" t="n">
        <v>3</v>
      </c>
    </row>
    <row r="1964" customFormat="false" ht="15" hidden="false" customHeight="false" outlineLevel="0" collapsed="false">
      <c r="A1964" s="25" t="n">
        <v>20260313</v>
      </c>
      <c r="B1964" s="25" t="s">
        <v>2245</v>
      </c>
      <c r="C1964" s="27" t="b">
        <f aca="false">FALSE()</f>
        <v>0</v>
      </c>
      <c r="D1964" s="26" t="n">
        <v>46094</v>
      </c>
      <c r="E1964" s="25" t="n">
        <v>2026</v>
      </c>
      <c r="F1964" s="25" t="n">
        <v>1</v>
      </c>
      <c r="G1964" s="25" t="n">
        <v>3</v>
      </c>
    </row>
    <row r="1965" customFormat="false" ht="15" hidden="false" customHeight="false" outlineLevel="0" collapsed="false">
      <c r="A1965" s="25" t="n">
        <v>20260314</v>
      </c>
      <c r="B1965" s="25" t="s">
        <v>2245</v>
      </c>
      <c r="C1965" s="27" t="b">
        <f aca="false">TRUE()</f>
        <v>1</v>
      </c>
      <c r="D1965" s="26" t="n">
        <v>46095</v>
      </c>
      <c r="E1965" s="25" t="n">
        <v>2026</v>
      </c>
      <c r="F1965" s="25" t="n">
        <v>1</v>
      </c>
      <c r="G1965" s="25" t="n">
        <v>3</v>
      </c>
    </row>
    <row r="1966" customFormat="false" ht="15" hidden="false" customHeight="false" outlineLevel="0" collapsed="false">
      <c r="A1966" s="25" t="n">
        <v>20260315</v>
      </c>
      <c r="B1966" s="25" t="s">
        <v>2245</v>
      </c>
      <c r="C1966" s="27" t="b">
        <f aca="false">TRUE()</f>
        <v>1</v>
      </c>
      <c r="D1966" s="26" t="n">
        <v>46096</v>
      </c>
      <c r="E1966" s="25" t="n">
        <v>2026</v>
      </c>
      <c r="F1966" s="25" t="n">
        <v>1</v>
      </c>
      <c r="G1966" s="25" t="n">
        <v>3</v>
      </c>
    </row>
    <row r="1967" customFormat="false" ht="15" hidden="false" customHeight="false" outlineLevel="0" collapsed="false">
      <c r="A1967" s="25" t="n">
        <v>20260316</v>
      </c>
      <c r="B1967" s="25" t="s">
        <v>2245</v>
      </c>
      <c r="C1967" s="27" t="b">
        <f aca="false">FALSE()</f>
        <v>0</v>
      </c>
      <c r="D1967" s="26" t="n">
        <v>46097</v>
      </c>
      <c r="E1967" s="25" t="n">
        <v>2026</v>
      </c>
      <c r="F1967" s="25" t="n">
        <v>1</v>
      </c>
      <c r="G1967" s="25" t="n">
        <v>3</v>
      </c>
    </row>
    <row r="1968" customFormat="false" ht="15" hidden="false" customHeight="false" outlineLevel="0" collapsed="false">
      <c r="A1968" s="25" t="n">
        <v>20260317</v>
      </c>
      <c r="B1968" s="25" t="s">
        <v>2245</v>
      </c>
      <c r="C1968" s="27" t="b">
        <f aca="false">FALSE()</f>
        <v>0</v>
      </c>
      <c r="D1968" s="26" t="n">
        <v>46098</v>
      </c>
      <c r="E1968" s="25" t="n">
        <v>2026</v>
      </c>
      <c r="F1968" s="25" t="n">
        <v>1</v>
      </c>
      <c r="G1968" s="25" t="n">
        <v>3</v>
      </c>
    </row>
    <row r="1969" customFormat="false" ht="15" hidden="false" customHeight="false" outlineLevel="0" collapsed="false">
      <c r="A1969" s="25" t="n">
        <v>20260318</v>
      </c>
      <c r="B1969" s="25" t="s">
        <v>2245</v>
      </c>
      <c r="C1969" s="27" t="b">
        <f aca="false">FALSE()</f>
        <v>0</v>
      </c>
      <c r="D1969" s="26" t="n">
        <v>46099</v>
      </c>
      <c r="E1969" s="25" t="n">
        <v>2026</v>
      </c>
      <c r="F1969" s="25" t="n">
        <v>1</v>
      </c>
      <c r="G1969" s="25" t="n">
        <v>3</v>
      </c>
    </row>
    <row r="1970" customFormat="false" ht="15" hidden="false" customHeight="false" outlineLevel="0" collapsed="false">
      <c r="A1970" s="25" t="n">
        <v>20260319</v>
      </c>
      <c r="B1970" s="25" t="s">
        <v>2245</v>
      </c>
      <c r="C1970" s="27" t="b">
        <f aca="false">FALSE()</f>
        <v>0</v>
      </c>
      <c r="D1970" s="26" t="n">
        <v>46100</v>
      </c>
      <c r="E1970" s="25" t="n">
        <v>2026</v>
      </c>
      <c r="F1970" s="25" t="n">
        <v>1</v>
      </c>
      <c r="G1970" s="25" t="n">
        <v>3</v>
      </c>
    </row>
    <row r="1971" customFormat="false" ht="15" hidden="false" customHeight="false" outlineLevel="0" collapsed="false">
      <c r="A1971" s="25" t="n">
        <v>20260320</v>
      </c>
      <c r="B1971" s="25" t="s">
        <v>2245</v>
      </c>
      <c r="C1971" s="27" t="b">
        <f aca="false">FALSE()</f>
        <v>0</v>
      </c>
      <c r="D1971" s="26" t="n">
        <v>46101</v>
      </c>
      <c r="E1971" s="25" t="n">
        <v>2026</v>
      </c>
      <c r="F1971" s="25" t="n">
        <v>1</v>
      </c>
      <c r="G1971" s="25" t="n">
        <v>3</v>
      </c>
    </row>
    <row r="1972" customFormat="false" ht="15" hidden="false" customHeight="false" outlineLevel="0" collapsed="false">
      <c r="A1972" s="25" t="n">
        <v>20260321</v>
      </c>
      <c r="B1972" s="25" t="s">
        <v>2245</v>
      </c>
      <c r="C1972" s="27" t="b">
        <f aca="false">TRUE()</f>
        <v>1</v>
      </c>
      <c r="D1972" s="26" t="n">
        <v>46102</v>
      </c>
      <c r="E1972" s="25" t="n">
        <v>2026</v>
      </c>
      <c r="F1972" s="25" t="n">
        <v>1</v>
      </c>
      <c r="G1972" s="25" t="n">
        <v>3</v>
      </c>
    </row>
    <row r="1973" customFormat="false" ht="15" hidden="false" customHeight="false" outlineLevel="0" collapsed="false">
      <c r="A1973" s="25" t="n">
        <v>20260322</v>
      </c>
      <c r="B1973" s="25" t="s">
        <v>2245</v>
      </c>
      <c r="C1973" s="27" t="b">
        <f aca="false">TRUE()</f>
        <v>1</v>
      </c>
      <c r="D1973" s="26" t="n">
        <v>46103</v>
      </c>
      <c r="E1973" s="25" t="n">
        <v>2026</v>
      </c>
      <c r="F1973" s="25" t="n">
        <v>1</v>
      </c>
      <c r="G1973" s="25" t="n">
        <v>3</v>
      </c>
    </row>
    <row r="1974" customFormat="false" ht="15" hidden="false" customHeight="false" outlineLevel="0" collapsed="false">
      <c r="A1974" s="25" t="n">
        <v>20260323</v>
      </c>
      <c r="B1974" s="25" t="s">
        <v>2245</v>
      </c>
      <c r="C1974" s="27" t="b">
        <f aca="false">FALSE()</f>
        <v>0</v>
      </c>
      <c r="D1974" s="26" t="n">
        <v>46104</v>
      </c>
      <c r="E1974" s="25" t="n">
        <v>2026</v>
      </c>
      <c r="F1974" s="25" t="n">
        <v>1</v>
      </c>
      <c r="G1974" s="25" t="n">
        <v>3</v>
      </c>
    </row>
    <row r="1975" customFormat="false" ht="15" hidden="false" customHeight="false" outlineLevel="0" collapsed="false">
      <c r="A1975" s="25" t="n">
        <v>20260324</v>
      </c>
      <c r="B1975" s="25" t="s">
        <v>2245</v>
      </c>
      <c r="C1975" s="27" t="b">
        <f aca="false">FALSE()</f>
        <v>0</v>
      </c>
      <c r="D1975" s="26" t="n">
        <v>46105</v>
      </c>
      <c r="E1975" s="25" t="n">
        <v>2026</v>
      </c>
      <c r="F1975" s="25" t="n">
        <v>1</v>
      </c>
      <c r="G1975" s="25" t="n">
        <v>3</v>
      </c>
    </row>
    <row r="1976" customFormat="false" ht="15" hidden="false" customHeight="false" outlineLevel="0" collapsed="false">
      <c r="A1976" s="25" t="n">
        <v>20260325</v>
      </c>
      <c r="B1976" s="25" t="s">
        <v>2245</v>
      </c>
      <c r="C1976" s="27" t="b">
        <f aca="false">FALSE()</f>
        <v>0</v>
      </c>
      <c r="D1976" s="26" t="n">
        <v>46106</v>
      </c>
      <c r="E1976" s="25" t="n">
        <v>2026</v>
      </c>
      <c r="F1976" s="25" t="n">
        <v>1</v>
      </c>
      <c r="G1976" s="25" t="n">
        <v>3</v>
      </c>
    </row>
    <row r="1977" customFormat="false" ht="15" hidden="false" customHeight="false" outlineLevel="0" collapsed="false">
      <c r="A1977" s="25" t="n">
        <v>20260326</v>
      </c>
      <c r="B1977" s="25" t="s">
        <v>2245</v>
      </c>
      <c r="C1977" s="27" t="b">
        <f aca="false">FALSE()</f>
        <v>0</v>
      </c>
      <c r="D1977" s="26" t="n">
        <v>46107</v>
      </c>
      <c r="E1977" s="25" t="n">
        <v>2026</v>
      </c>
      <c r="F1977" s="25" t="n">
        <v>1</v>
      </c>
      <c r="G1977" s="25" t="n">
        <v>3</v>
      </c>
    </row>
    <row r="1978" customFormat="false" ht="15" hidden="false" customHeight="false" outlineLevel="0" collapsed="false">
      <c r="A1978" s="25" t="n">
        <v>20260327</v>
      </c>
      <c r="B1978" s="25" t="s">
        <v>2245</v>
      </c>
      <c r="C1978" s="27" t="b">
        <f aca="false">FALSE()</f>
        <v>0</v>
      </c>
      <c r="D1978" s="26" t="n">
        <v>46108</v>
      </c>
      <c r="E1978" s="25" t="n">
        <v>2026</v>
      </c>
      <c r="F1978" s="25" t="n">
        <v>1</v>
      </c>
      <c r="G1978" s="25" t="n">
        <v>3</v>
      </c>
    </row>
    <row r="1979" customFormat="false" ht="15" hidden="false" customHeight="false" outlineLevel="0" collapsed="false">
      <c r="A1979" s="25" t="n">
        <v>20260328</v>
      </c>
      <c r="B1979" s="25" t="s">
        <v>2245</v>
      </c>
      <c r="C1979" s="27" t="b">
        <f aca="false">TRUE()</f>
        <v>1</v>
      </c>
      <c r="D1979" s="26" t="n">
        <v>46109</v>
      </c>
      <c r="E1979" s="25" t="n">
        <v>2026</v>
      </c>
      <c r="F1979" s="25" t="n">
        <v>1</v>
      </c>
      <c r="G1979" s="25" t="n">
        <v>3</v>
      </c>
    </row>
    <row r="1980" customFormat="false" ht="15" hidden="false" customHeight="false" outlineLevel="0" collapsed="false">
      <c r="A1980" s="25" t="n">
        <v>20260329</v>
      </c>
      <c r="B1980" s="25" t="s">
        <v>2245</v>
      </c>
      <c r="C1980" s="27" t="b">
        <f aca="false">TRUE()</f>
        <v>1</v>
      </c>
      <c r="D1980" s="26" t="n">
        <v>46110</v>
      </c>
      <c r="E1980" s="25" t="n">
        <v>2026</v>
      </c>
      <c r="F1980" s="25" t="n">
        <v>1</v>
      </c>
      <c r="G1980" s="25" t="n">
        <v>3</v>
      </c>
    </row>
    <row r="1981" customFormat="false" ht="15" hidden="false" customHeight="false" outlineLevel="0" collapsed="false">
      <c r="A1981" s="25" t="n">
        <v>20260330</v>
      </c>
      <c r="B1981" s="25" t="s">
        <v>2245</v>
      </c>
      <c r="C1981" s="27" t="b">
        <f aca="false">FALSE()</f>
        <v>0</v>
      </c>
      <c r="D1981" s="26" t="n">
        <v>46111</v>
      </c>
      <c r="E1981" s="25" t="n">
        <v>2026</v>
      </c>
      <c r="F1981" s="25" t="n">
        <v>1</v>
      </c>
      <c r="G1981" s="25" t="n">
        <v>3</v>
      </c>
    </row>
    <row r="1982" customFormat="false" ht="15" hidden="false" customHeight="false" outlineLevel="0" collapsed="false">
      <c r="A1982" s="25" t="n">
        <v>20260331</v>
      </c>
      <c r="B1982" s="25" t="s">
        <v>2245</v>
      </c>
      <c r="C1982" s="27" t="b">
        <f aca="false">FALSE()</f>
        <v>0</v>
      </c>
      <c r="D1982" s="26" t="n">
        <v>46112</v>
      </c>
      <c r="E1982" s="25" t="n">
        <v>2026</v>
      </c>
      <c r="F1982" s="25" t="n">
        <v>1</v>
      </c>
      <c r="G1982" s="25" t="n">
        <v>3</v>
      </c>
    </row>
    <row r="1983" customFormat="false" ht="15" hidden="false" customHeight="false" outlineLevel="0" collapsed="false">
      <c r="A1983" s="25" t="n">
        <v>20260401</v>
      </c>
      <c r="B1983" s="25" t="s">
        <v>2246</v>
      </c>
      <c r="C1983" s="27" t="b">
        <f aca="false">FALSE()</f>
        <v>0</v>
      </c>
      <c r="D1983" s="26" t="n">
        <v>46113</v>
      </c>
      <c r="E1983" s="25" t="n">
        <v>2026</v>
      </c>
      <c r="F1983" s="25" t="n">
        <v>2</v>
      </c>
      <c r="G1983" s="25" t="n">
        <v>4</v>
      </c>
    </row>
    <row r="1984" customFormat="false" ht="15" hidden="false" customHeight="false" outlineLevel="0" collapsed="false">
      <c r="A1984" s="25" t="n">
        <v>20260402</v>
      </c>
      <c r="B1984" s="25" t="s">
        <v>2246</v>
      </c>
      <c r="C1984" s="27" t="b">
        <f aca="false">FALSE()</f>
        <v>0</v>
      </c>
      <c r="D1984" s="26" t="n">
        <v>46114</v>
      </c>
      <c r="E1984" s="25" t="n">
        <v>2026</v>
      </c>
      <c r="F1984" s="25" t="n">
        <v>2</v>
      </c>
      <c r="G1984" s="25" t="n">
        <v>4</v>
      </c>
    </row>
    <row r="1985" customFormat="false" ht="15" hidden="false" customHeight="false" outlineLevel="0" collapsed="false">
      <c r="A1985" s="25" t="n">
        <v>20260403</v>
      </c>
      <c r="B1985" s="25" t="s">
        <v>2246</v>
      </c>
      <c r="C1985" s="27" t="b">
        <f aca="false">FALSE()</f>
        <v>0</v>
      </c>
      <c r="D1985" s="26" t="n">
        <v>46115</v>
      </c>
      <c r="E1985" s="25" t="n">
        <v>2026</v>
      </c>
      <c r="F1985" s="25" t="n">
        <v>2</v>
      </c>
      <c r="G1985" s="25" t="n">
        <v>4</v>
      </c>
    </row>
    <row r="1986" customFormat="false" ht="15" hidden="false" customHeight="false" outlineLevel="0" collapsed="false">
      <c r="A1986" s="25" t="n">
        <v>20260404</v>
      </c>
      <c r="B1986" s="25" t="s">
        <v>2246</v>
      </c>
      <c r="C1986" s="27" t="b">
        <f aca="false">TRUE()</f>
        <v>1</v>
      </c>
      <c r="D1986" s="26" t="n">
        <v>46116</v>
      </c>
      <c r="E1986" s="25" t="n">
        <v>2026</v>
      </c>
      <c r="F1986" s="25" t="n">
        <v>2</v>
      </c>
      <c r="G1986" s="25" t="n">
        <v>4</v>
      </c>
    </row>
    <row r="1987" customFormat="false" ht="15" hidden="false" customHeight="false" outlineLevel="0" collapsed="false">
      <c r="A1987" s="25" t="n">
        <v>20260405</v>
      </c>
      <c r="B1987" s="25" t="s">
        <v>2246</v>
      </c>
      <c r="C1987" s="27" t="b">
        <f aca="false">TRUE()</f>
        <v>1</v>
      </c>
      <c r="D1987" s="26" t="n">
        <v>46117</v>
      </c>
      <c r="E1987" s="25" t="n">
        <v>2026</v>
      </c>
      <c r="F1987" s="25" t="n">
        <v>2</v>
      </c>
      <c r="G1987" s="25" t="n">
        <v>4</v>
      </c>
    </row>
    <row r="1988" customFormat="false" ht="15" hidden="false" customHeight="false" outlineLevel="0" collapsed="false">
      <c r="A1988" s="25" t="n">
        <v>20260406</v>
      </c>
      <c r="B1988" s="25" t="s">
        <v>2246</v>
      </c>
      <c r="C1988" s="27" t="b">
        <f aca="false">FALSE()</f>
        <v>0</v>
      </c>
      <c r="D1988" s="26" t="n">
        <v>46118</v>
      </c>
      <c r="E1988" s="25" t="n">
        <v>2026</v>
      </c>
      <c r="F1988" s="25" t="n">
        <v>2</v>
      </c>
      <c r="G1988" s="25" t="n">
        <v>4</v>
      </c>
    </row>
    <row r="1989" customFormat="false" ht="15" hidden="false" customHeight="false" outlineLevel="0" collapsed="false">
      <c r="A1989" s="25" t="n">
        <v>20260407</v>
      </c>
      <c r="B1989" s="25" t="s">
        <v>2246</v>
      </c>
      <c r="C1989" s="27" t="b">
        <f aca="false">FALSE()</f>
        <v>0</v>
      </c>
      <c r="D1989" s="26" t="n">
        <v>46119</v>
      </c>
      <c r="E1989" s="25" t="n">
        <v>2026</v>
      </c>
      <c r="F1989" s="25" t="n">
        <v>2</v>
      </c>
      <c r="G1989" s="25" t="n">
        <v>4</v>
      </c>
    </row>
    <row r="1990" customFormat="false" ht="15" hidden="false" customHeight="false" outlineLevel="0" collapsed="false">
      <c r="A1990" s="25" t="n">
        <v>20260408</v>
      </c>
      <c r="B1990" s="25" t="s">
        <v>2246</v>
      </c>
      <c r="C1990" s="27" t="b">
        <f aca="false">FALSE()</f>
        <v>0</v>
      </c>
      <c r="D1990" s="26" t="n">
        <v>46120</v>
      </c>
      <c r="E1990" s="25" t="n">
        <v>2026</v>
      </c>
      <c r="F1990" s="25" t="n">
        <v>2</v>
      </c>
      <c r="G1990" s="25" t="n">
        <v>4</v>
      </c>
    </row>
    <row r="1991" customFormat="false" ht="15" hidden="false" customHeight="false" outlineLevel="0" collapsed="false">
      <c r="A1991" s="25" t="n">
        <v>20260409</v>
      </c>
      <c r="B1991" s="25" t="s">
        <v>2246</v>
      </c>
      <c r="C1991" s="27" t="b">
        <f aca="false">FALSE()</f>
        <v>0</v>
      </c>
      <c r="D1991" s="26" t="n">
        <v>46121</v>
      </c>
      <c r="E1991" s="25" t="n">
        <v>2026</v>
      </c>
      <c r="F1991" s="25" t="n">
        <v>2</v>
      </c>
      <c r="G1991" s="25" t="n">
        <v>4</v>
      </c>
    </row>
    <row r="1992" customFormat="false" ht="15" hidden="false" customHeight="false" outlineLevel="0" collapsed="false">
      <c r="A1992" s="25" t="n">
        <v>20260410</v>
      </c>
      <c r="B1992" s="25" t="s">
        <v>2246</v>
      </c>
      <c r="C1992" s="27" t="b">
        <f aca="false">FALSE()</f>
        <v>0</v>
      </c>
      <c r="D1992" s="26" t="n">
        <v>46122</v>
      </c>
      <c r="E1992" s="25" t="n">
        <v>2026</v>
      </c>
      <c r="F1992" s="25" t="n">
        <v>2</v>
      </c>
      <c r="G1992" s="25" t="n">
        <v>4</v>
      </c>
    </row>
    <row r="1993" customFormat="false" ht="15" hidden="false" customHeight="false" outlineLevel="0" collapsed="false">
      <c r="A1993" s="25" t="n">
        <v>20260411</v>
      </c>
      <c r="B1993" s="25" t="s">
        <v>2246</v>
      </c>
      <c r="C1993" s="27" t="b">
        <f aca="false">TRUE()</f>
        <v>1</v>
      </c>
      <c r="D1993" s="26" t="n">
        <v>46123</v>
      </c>
      <c r="E1993" s="25" t="n">
        <v>2026</v>
      </c>
      <c r="F1993" s="25" t="n">
        <v>2</v>
      </c>
      <c r="G1993" s="25" t="n">
        <v>4</v>
      </c>
    </row>
    <row r="1994" customFormat="false" ht="15" hidden="false" customHeight="false" outlineLevel="0" collapsed="false">
      <c r="A1994" s="25" t="n">
        <v>20260412</v>
      </c>
      <c r="B1994" s="25" t="s">
        <v>2246</v>
      </c>
      <c r="C1994" s="27" t="b">
        <f aca="false">TRUE()</f>
        <v>1</v>
      </c>
      <c r="D1994" s="26" t="n">
        <v>46124</v>
      </c>
      <c r="E1994" s="25" t="n">
        <v>2026</v>
      </c>
      <c r="F1994" s="25" t="n">
        <v>2</v>
      </c>
      <c r="G1994" s="25" t="n">
        <v>4</v>
      </c>
    </row>
    <row r="1995" customFormat="false" ht="15" hidden="false" customHeight="false" outlineLevel="0" collapsed="false">
      <c r="A1995" s="25" t="n">
        <v>20260413</v>
      </c>
      <c r="B1995" s="25" t="s">
        <v>2246</v>
      </c>
      <c r="C1995" s="27" t="b">
        <f aca="false">FALSE()</f>
        <v>0</v>
      </c>
      <c r="D1995" s="26" t="n">
        <v>46125</v>
      </c>
      <c r="E1995" s="25" t="n">
        <v>2026</v>
      </c>
      <c r="F1995" s="25" t="n">
        <v>2</v>
      </c>
      <c r="G1995" s="25" t="n">
        <v>4</v>
      </c>
    </row>
    <row r="1996" customFormat="false" ht="15" hidden="false" customHeight="false" outlineLevel="0" collapsed="false">
      <c r="A1996" s="25" t="n">
        <v>20260414</v>
      </c>
      <c r="B1996" s="25" t="s">
        <v>2246</v>
      </c>
      <c r="C1996" s="27" t="b">
        <f aca="false">FALSE()</f>
        <v>0</v>
      </c>
      <c r="D1996" s="26" t="n">
        <v>46126</v>
      </c>
      <c r="E1996" s="25" t="n">
        <v>2026</v>
      </c>
      <c r="F1996" s="25" t="n">
        <v>2</v>
      </c>
      <c r="G1996" s="25" t="n">
        <v>4</v>
      </c>
    </row>
    <row r="1997" customFormat="false" ht="15" hidden="false" customHeight="false" outlineLevel="0" collapsed="false">
      <c r="A1997" s="25" t="n">
        <v>20260415</v>
      </c>
      <c r="B1997" s="25" t="s">
        <v>2246</v>
      </c>
      <c r="C1997" s="27" t="b">
        <f aca="false">FALSE()</f>
        <v>0</v>
      </c>
      <c r="D1997" s="26" t="n">
        <v>46127</v>
      </c>
      <c r="E1997" s="25" t="n">
        <v>2026</v>
      </c>
      <c r="F1997" s="25" t="n">
        <v>2</v>
      </c>
      <c r="G1997" s="25" t="n">
        <v>4</v>
      </c>
    </row>
    <row r="1998" customFormat="false" ht="15" hidden="false" customHeight="false" outlineLevel="0" collapsed="false">
      <c r="A1998" s="25" t="n">
        <v>20260416</v>
      </c>
      <c r="B1998" s="25" t="s">
        <v>2246</v>
      </c>
      <c r="C1998" s="27" t="b">
        <f aca="false">FALSE()</f>
        <v>0</v>
      </c>
      <c r="D1998" s="26" t="n">
        <v>46128</v>
      </c>
      <c r="E1998" s="25" t="n">
        <v>2026</v>
      </c>
      <c r="F1998" s="25" t="n">
        <v>2</v>
      </c>
      <c r="G1998" s="25" t="n">
        <v>4</v>
      </c>
    </row>
    <row r="1999" customFormat="false" ht="15" hidden="false" customHeight="false" outlineLevel="0" collapsed="false">
      <c r="A1999" s="25" t="n">
        <v>20260417</v>
      </c>
      <c r="B1999" s="25" t="s">
        <v>2246</v>
      </c>
      <c r="C1999" s="27" t="b">
        <f aca="false">FALSE()</f>
        <v>0</v>
      </c>
      <c r="D1999" s="26" t="n">
        <v>46129</v>
      </c>
      <c r="E1999" s="25" t="n">
        <v>2026</v>
      </c>
      <c r="F1999" s="25" t="n">
        <v>2</v>
      </c>
      <c r="G1999" s="25" t="n">
        <v>4</v>
      </c>
    </row>
    <row r="2000" customFormat="false" ht="15" hidden="false" customHeight="false" outlineLevel="0" collapsed="false">
      <c r="A2000" s="25" t="n">
        <v>20260418</v>
      </c>
      <c r="B2000" s="25" t="s">
        <v>2246</v>
      </c>
      <c r="C2000" s="27" t="b">
        <f aca="false">TRUE()</f>
        <v>1</v>
      </c>
      <c r="D2000" s="26" t="n">
        <v>46130</v>
      </c>
      <c r="E2000" s="25" t="n">
        <v>2026</v>
      </c>
      <c r="F2000" s="25" t="n">
        <v>2</v>
      </c>
      <c r="G2000" s="25" t="n">
        <v>4</v>
      </c>
    </row>
    <row r="2001" customFormat="false" ht="15" hidden="false" customHeight="false" outlineLevel="0" collapsed="false">
      <c r="A2001" s="25" t="n">
        <v>20260419</v>
      </c>
      <c r="B2001" s="25" t="s">
        <v>2246</v>
      </c>
      <c r="C2001" s="27" t="b">
        <f aca="false">TRUE()</f>
        <v>1</v>
      </c>
      <c r="D2001" s="26" t="n">
        <v>46131</v>
      </c>
      <c r="E2001" s="25" t="n">
        <v>2026</v>
      </c>
      <c r="F2001" s="25" t="n">
        <v>2</v>
      </c>
      <c r="G2001" s="25" t="n">
        <v>4</v>
      </c>
    </row>
    <row r="2002" customFormat="false" ht="15" hidden="false" customHeight="false" outlineLevel="0" collapsed="false">
      <c r="A2002" s="25" t="n">
        <v>20260420</v>
      </c>
      <c r="B2002" s="25" t="s">
        <v>2246</v>
      </c>
      <c r="C2002" s="27" t="b">
        <f aca="false">FALSE()</f>
        <v>0</v>
      </c>
      <c r="D2002" s="26" t="n">
        <v>46132</v>
      </c>
      <c r="E2002" s="25" t="n">
        <v>2026</v>
      </c>
      <c r="F2002" s="25" t="n">
        <v>2</v>
      </c>
      <c r="G2002" s="25" t="n">
        <v>4</v>
      </c>
    </row>
    <row r="2003" customFormat="false" ht="15" hidden="false" customHeight="false" outlineLevel="0" collapsed="false">
      <c r="A2003" s="25" t="n">
        <v>20260421</v>
      </c>
      <c r="B2003" s="25" t="s">
        <v>2246</v>
      </c>
      <c r="C2003" s="27" t="b">
        <f aca="false">FALSE()</f>
        <v>0</v>
      </c>
      <c r="D2003" s="26" t="n">
        <v>46133</v>
      </c>
      <c r="E2003" s="25" t="n">
        <v>2026</v>
      </c>
      <c r="F2003" s="25" t="n">
        <v>2</v>
      </c>
      <c r="G2003" s="25" t="n">
        <v>4</v>
      </c>
    </row>
    <row r="2004" customFormat="false" ht="15" hidden="false" customHeight="false" outlineLevel="0" collapsed="false">
      <c r="A2004" s="25" t="n">
        <v>20260422</v>
      </c>
      <c r="B2004" s="25" t="s">
        <v>2246</v>
      </c>
      <c r="C2004" s="27" t="b">
        <f aca="false">FALSE()</f>
        <v>0</v>
      </c>
      <c r="D2004" s="26" t="n">
        <v>46134</v>
      </c>
      <c r="E2004" s="25" t="n">
        <v>2026</v>
      </c>
      <c r="F2004" s="25" t="n">
        <v>2</v>
      </c>
      <c r="G2004" s="25" t="n">
        <v>4</v>
      </c>
    </row>
    <row r="2005" customFormat="false" ht="15" hidden="false" customHeight="false" outlineLevel="0" collapsed="false">
      <c r="A2005" s="25" t="n">
        <v>20260423</v>
      </c>
      <c r="B2005" s="25" t="s">
        <v>2246</v>
      </c>
      <c r="C2005" s="27" t="b">
        <f aca="false">FALSE()</f>
        <v>0</v>
      </c>
      <c r="D2005" s="26" t="n">
        <v>46135</v>
      </c>
      <c r="E2005" s="25" t="n">
        <v>2026</v>
      </c>
      <c r="F2005" s="25" t="n">
        <v>2</v>
      </c>
      <c r="G2005" s="25" t="n">
        <v>4</v>
      </c>
    </row>
    <row r="2006" customFormat="false" ht="15" hidden="false" customHeight="false" outlineLevel="0" collapsed="false">
      <c r="A2006" s="25" t="n">
        <v>20260424</v>
      </c>
      <c r="B2006" s="25" t="s">
        <v>2246</v>
      </c>
      <c r="C2006" s="27" t="b">
        <f aca="false">FALSE()</f>
        <v>0</v>
      </c>
      <c r="D2006" s="26" t="n">
        <v>46136</v>
      </c>
      <c r="E2006" s="25" t="n">
        <v>2026</v>
      </c>
      <c r="F2006" s="25" t="n">
        <v>2</v>
      </c>
      <c r="G2006" s="25" t="n">
        <v>4</v>
      </c>
    </row>
    <row r="2007" customFormat="false" ht="15" hidden="false" customHeight="false" outlineLevel="0" collapsed="false">
      <c r="A2007" s="25" t="n">
        <v>20260425</v>
      </c>
      <c r="B2007" s="25" t="s">
        <v>2246</v>
      </c>
      <c r="C2007" s="27" t="b">
        <f aca="false">TRUE()</f>
        <v>1</v>
      </c>
      <c r="D2007" s="26" t="n">
        <v>46137</v>
      </c>
      <c r="E2007" s="25" t="n">
        <v>2026</v>
      </c>
      <c r="F2007" s="25" t="n">
        <v>2</v>
      </c>
      <c r="G2007" s="25" t="n">
        <v>4</v>
      </c>
    </row>
    <row r="2008" customFormat="false" ht="15" hidden="false" customHeight="false" outlineLevel="0" collapsed="false">
      <c r="A2008" s="25" t="n">
        <v>20260426</v>
      </c>
      <c r="B2008" s="25" t="s">
        <v>2246</v>
      </c>
      <c r="C2008" s="27" t="b">
        <f aca="false">TRUE()</f>
        <v>1</v>
      </c>
      <c r="D2008" s="26" t="n">
        <v>46138</v>
      </c>
      <c r="E2008" s="25" t="n">
        <v>2026</v>
      </c>
      <c r="F2008" s="25" t="n">
        <v>2</v>
      </c>
      <c r="G2008" s="25" t="n">
        <v>4</v>
      </c>
    </row>
    <row r="2009" customFormat="false" ht="15" hidden="false" customHeight="false" outlineLevel="0" collapsed="false">
      <c r="A2009" s="25" t="n">
        <v>20260427</v>
      </c>
      <c r="B2009" s="25" t="s">
        <v>2246</v>
      </c>
      <c r="C2009" s="27" t="b">
        <f aca="false">FALSE()</f>
        <v>0</v>
      </c>
      <c r="D2009" s="26" t="n">
        <v>46139</v>
      </c>
      <c r="E2009" s="25" t="n">
        <v>2026</v>
      </c>
      <c r="F2009" s="25" t="n">
        <v>2</v>
      </c>
      <c r="G2009" s="25" t="n">
        <v>4</v>
      </c>
    </row>
    <row r="2010" customFormat="false" ht="15" hidden="false" customHeight="false" outlineLevel="0" collapsed="false">
      <c r="A2010" s="25" t="n">
        <v>20260428</v>
      </c>
      <c r="B2010" s="25" t="s">
        <v>2246</v>
      </c>
      <c r="C2010" s="27" t="b">
        <f aca="false">FALSE()</f>
        <v>0</v>
      </c>
      <c r="D2010" s="26" t="n">
        <v>46140</v>
      </c>
      <c r="E2010" s="25" t="n">
        <v>2026</v>
      </c>
      <c r="F2010" s="25" t="n">
        <v>2</v>
      </c>
      <c r="G2010" s="25" t="n">
        <v>4</v>
      </c>
    </row>
    <row r="2011" customFormat="false" ht="15" hidden="false" customHeight="false" outlineLevel="0" collapsed="false">
      <c r="A2011" s="25" t="n">
        <v>20260429</v>
      </c>
      <c r="B2011" s="25" t="s">
        <v>2246</v>
      </c>
      <c r="C2011" s="27" t="b">
        <f aca="false">FALSE()</f>
        <v>0</v>
      </c>
      <c r="D2011" s="26" t="n">
        <v>46141</v>
      </c>
      <c r="E2011" s="25" t="n">
        <v>2026</v>
      </c>
      <c r="F2011" s="25" t="n">
        <v>2</v>
      </c>
      <c r="G2011" s="25" t="n">
        <v>4</v>
      </c>
    </row>
    <row r="2012" customFormat="false" ht="15" hidden="false" customHeight="false" outlineLevel="0" collapsed="false">
      <c r="A2012" s="25" t="n">
        <v>20260430</v>
      </c>
      <c r="B2012" s="25" t="s">
        <v>2246</v>
      </c>
      <c r="C2012" s="27" t="b">
        <f aca="false">FALSE()</f>
        <v>0</v>
      </c>
      <c r="D2012" s="26" t="n">
        <v>46142</v>
      </c>
      <c r="E2012" s="25" t="n">
        <v>2026</v>
      </c>
      <c r="F2012" s="25" t="n">
        <v>2</v>
      </c>
      <c r="G2012" s="25" t="n">
        <v>4</v>
      </c>
    </row>
    <row r="2013" customFormat="false" ht="15" hidden="false" customHeight="false" outlineLevel="0" collapsed="false">
      <c r="A2013" s="25" t="n">
        <v>20260501</v>
      </c>
      <c r="B2013" s="25" t="s">
        <v>2247</v>
      </c>
      <c r="C2013" s="27" t="b">
        <f aca="false">FALSE()</f>
        <v>0</v>
      </c>
      <c r="D2013" s="26" t="n">
        <v>46143</v>
      </c>
      <c r="E2013" s="25" t="n">
        <v>2026</v>
      </c>
      <c r="F2013" s="25" t="n">
        <v>2</v>
      </c>
      <c r="G2013" s="25" t="n">
        <v>5</v>
      </c>
    </row>
    <row r="2014" customFormat="false" ht="15" hidden="false" customHeight="false" outlineLevel="0" collapsed="false">
      <c r="A2014" s="25" t="n">
        <v>20260502</v>
      </c>
      <c r="B2014" s="25" t="s">
        <v>2247</v>
      </c>
      <c r="C2014" s="27" t="b">
        <f aca="false">TRUE()</f>
        <v>1</v>
      </c>
      <c r="D2014" s="26" t="n">
        <v>46144</v>
      </c>
      <c r="E2014" s="25" t="n">
        <v>2026</v>
      </c>
      <c r="F2014" s="25" t="n">
        <v>2</v>
      </c>
      <c r="G2014" s="25" t="n">
        <v>5</v>
      </c>
    </row>
    <row r="2015" customFormat="false" ht="15" hidden="false" customHeight="false" outlineLevel="0" collapsed="false">
      <c r="A2015" s="25" t="n">
        <v>20260503</v>
      </c>
      <c r="B2015" s="25" t="s">
        <v>2247</v>
      </c>
      <c r="C2015" s="27" t="b">
        <f aca="false">TRUE()</f>
        <v>1</v>
      </c>
      <c r="D2015" s="26" t="n">
        <v>46145</v>
      </c>
      <c r="E2015" s="25" t="n">
        <v>2026</v>
      </c>
      <c r="F2015" s="25" t="n">
        <v>2</v>
      </c>
      <c r="G2015" s="25" t="n">
        <v>5</v>
      </c>
    </row>
    <row r="2016" customFormat="false" ht="15" hidden="false" customHeight="false" outlineLevel="0" collapsed="false">
      <c r="A2016" s="25" t="n">
        <v>20260504</v>
      </c>
      <c r="B2016" s="25" t="s">
        <v>2247</v>
      </c>
      <c r="C2016" s="27" t="b">
        <f aca="false">FALSE()</f>
        <v>0</v>
      </c>
      <c r="D2016" s="26" t="n">
        <v>46146</v>
      </c>
      <c r="E2016" s="25" t="n">
        <v>2026</v>
      </c>
      <c r="F2016" s="25" t="n">
        <v>2</v>
      </c>
      <c r="G2016" s="25" t="n">
        <v>5</v>
      </c>
    </row>
    <row r="2017" customFormat="false" ht="15" hidden="false" customHeight="false" outlineLevel="0" collapsed="false">
      <c r="A2017" s="25" t="n">
        <v>20260505</v>
      </c>
      <c r="B2017" s="25" t="s">
        <v>2247</v>
      </c>
      <c r="C2017" s="27" t="b">
        <f aca="false">FALSE()</f>
        <v>0</v>
      </c>
      <c r="D2017" s="26" t="n">
        <v>46147</v>
      </c>
      <c r="E2017" s="25" t="n">
        <v>2026</v>
      </c>
      <c r="F2017" s="25" t="n">
        <v>2</v>
      </c>
      <c r="G2017" s="25" t="n">
        <v>5</v>
      </c>
    </row>
    <row r="2018" customFormat="false" ht="15" hidden="false" customHeight="false" outlineLevel="0" collapsed="false">
      <c r="A2018" s="25" t="n">
        <v>20260506</v>
      </c>
      <c r="B2018" s="25" t="s">
        <v>2247</v>
      </c>
      <c r="C2018" s="27" t="b">
        <f aca="false">FALSE()</f>
        <v>0</v>
      </c>
      <c r="D2018" s="26" t="n">
        <v>46148</v>
      </c>
      <c r="E2018" s="25" t="n">
        <v>2026</v>
      </c>
      <c r="F2018" s="25" t="n">
        <v>2</v>
      </c>
      <c r="G2018" s="25" t="n">
        <v>5</v>
      </c>
    </row>
    <row r="2019" customFormat="false" ht="15" hidden="false" customHeight="false" outlineLevel="0" collapsed="false">
      <c r="A2019" s="25" t="n">
        <v>20260507</v>
      </c>
      <c r="B2019" s="25" t="s">
        <v>2247</v>
      </c>
      <c r="C2019" s="27" t="b">
        <f aca="false">FALSE()</f>
        <v>0</v>
      </c>
      <c r="D2019" s="26" t="n">
        <v>46149</v>
      </c>
      <c r="E2019" s="25" t="n">
        <v>2026</v>
      </c>
      <c r="F2019" s="25" t="n">
        <v>2</v>
      </c>
      <c r="G2019" s="25" t="n">
        <v>5</v>
      </c>
    </row>
    <row r="2020" customFormat="false" ht="15" hidden="false" customHeight="false" outlineLevel="0" collapsed="false">
      <c r="A2020" s="25" t="n">
        <v>20260508</v>
      </c>
      <c r="B2020" s="25" t="s">
        <v>2247</v>
      </c>
      <c r="C2020" s="27" t="b">
        <f aca="false">FALSE()</f>
        <v>0</v>
      </c>
      <c r="D2020" s="26" t="n">
        <v>46150</v>
      </c>
      <c r="E2020" s="25" t="n">
        <v>2026</v>
      </c>
      <c r="F2020" s="25" t="n">
        <v>2</v>
      </c>
      <c r="G2020" s="25" t="n">
        <v>5</v>
      </c>
    </row>
    <row r="2021" customFormat="false" ht="15" hidden="false" customHeight="false" outlineLevel="0" collapsed="false">
      <c r="A2021" s="25" t="n">
        <v>20260509</v>
      </c>
      <c r="B2021" s="25" t="s">
        <v>2247</v>
      </c>
      <c r="C2021" s="27" t="b">
        <f aca="false">TRUE()</f>
        <v>1</v>
      </c>
      <c r="D2021" s="26" t="n">
        <v>46151</v>
      </c>
      <c r="E2021" s="25" t="n">
        <v>2026</v>
      </c>
      <c r="F2021" s="25" t="n">
        <v>2</v>
      </c>
      <c r="G2021" s="25" t="n">
        <v>5</v>
      </c>
    </row>
    <row r="2022" customFormat="false" ht="15" hidden="false" customHeight="false" outlineLevel="0" collapsed="false">
      <c r="A2022" s="25" t="n">
        <v>20260510</v>
      </c>
      <c r="B2022" s="25" t="s">
        <v>2247</v>
      </c>
      <c r="C2022" s="27" t="b">
        <f aca="false">TRUE()</f>
        <v>1</v>
      </c>
      <c r="D2022" s="26" t="n">
        <v>46152</v>
      </c>
      <c r="E2022" s="25" t="n">
        <v>2026</v>
      </c>
      <c r="F2022" s="25" t="n">
        <v>2</v>
      </c>
      <c r="G2022" s="25" t="n">
        <v>5</v>
      </c>
    </row>
    <row r="2023" customFormat="false" ht="15" hidden="false" customHeight="false" outlineLevel="0" collapsed="false">
      <c r="A2023" s="25" t="n">
        <v>20260511</v>
      </c>
      <c r="B2023" s="25" t="s">
        <v>2247</v>
      </c>
      <c r="C2023" s="27" t="b">
        <f aca="false">FALSE()</f>
        <v>0</v>
      </c>
      <c r="D2023" s="26" t="n">
        <v>46153</v>
      </c>
      <c r="E2023" s="25" t="n">
        <v>2026</v>
      </c>
      <c r="F2023" s="25" t="n">
        <v>2</v>
      </c>
      <c r="G2023" s="25" t="n">
        <v>5</v>
      </c>
    </row>
    <row r="2024" customFormat="false" ht="15" hidden="false" customHeight="false" outlineLevel="0" collapsed="false">
      <c r="A2024" s="25" t="n">
        <v>20260512</v>
      </c>
      <c r="B2024" s="25" t="s">
        <v>2247</v>
      </c>
      <c r="C2024" s="27" t="b">
        <f aca="false">FALSE()</f>
        <v>0</v>
      </c>
      <c r="D2024" s="26" t="n">
        <v>46154</v>
      </c>
      <c r="E2024" s="25" t="n">
        <v>2026</v>
      </c>
      <c r="F2024" s="25" t="n">
        <v>2</v>
      </c>
      <c r="G2024" s="25" t="n">
        <v>5</v>
      </c>
    </row>
    <row r="2025" customFormat="false" ht="15" hidden="false" customHeight="false" outlineLevel="0" collapsed="false">
      <c r="A2025" s="25" t="n">
        <v>20260513</v>
      </c>
      <c r="B2025" s="25" t="s">
        <v>2247</v>
      </c>
      <c r="C2025" s="27" t="b">
        <f aca="false">FALSE()</f>
        <v>0</v>
      </c>
      <c r="D2025" s="26" t="n">
        <v>46155</v>
      </c>
      <c r="E2025" s="25" t="n">
        <v>2026</v>
      </c>
      <c r="F2025" s="25" t="n">
        <v>2</v>
      </c>
      <c r="G2025" s="25" t="n">
        <v>5</v>
      </c>
    </row>
    <row r="2026" customFormat="false" ht="15" hidden="false" customHeight="false" outlineLevel="0" collapsed="false">
      <c r="A2026" s="25" t="n">
        <v>20260514</v>
      </c>
      <c r="B2026" s="25" t="s">
        <v>2247</v>
      </c>
      <c r="C2026" s="27" t="b">
        <f aca="false">FALSE()</f>
        <v>0</v>
      </c>
      <c r="D2026" s="26" t="n">
        <v>46156</v>
      </c>
      <c r="E2026" s="25" t="n">
        <v>2026</v>
      </c>
      <c r="F2026" s="25" t="n">
        <v>2</v>
      </c>
      <c r="G2026" s="25" t="n">
        <v>5</v>
      </c>
    </row>
    <row r="2027" customFormat="false" ht="15" hidden="false" customHeight="false" outlineLevel="0" collapsed="false">
      <c r="A2027" s="25" t="n">
        <v>20260515</v>
      </c>
      <c r="B2027" s="25" t="s">
        <v>2247</v>
      </c>
      <c r="C2027" s="27" t="b">
        <f aca="false">FALSE()</f>
        <v>0</v>
      </c>
      <c r="D2027" s="26" t="n">
        <v>46157</v>
      </c>
      <c r="E2027" s="25" t="n">
        <v>2026</v>
      </c>
      <c r="F2027" s="25" t="n">
        <v>2</v>
      </c>
      <c r="G2027" s="25" t="n">
        <v>5</v>
      </c>
    </row>
    <row r="2028" customFormat="false" ht="15" hidden="false" customHeight="false" outlineLevel="0" collapsed="false">
      <c r="A2028" s="25" t="n">
        <v>20260516</v>
      </c>
      <c r="B2028" s="25" t="s">
        <v>2247</v>
      </c>
      <c r="C2028" s="27" t="b">
        <f aca="false">TRUE()</f>
        <v>1</v>
      </c>
      <c r="D2028" s="26" t="n">
        <v>46158</v>
      </c>
      <c r="E2028" s="25" t="n">
        <v>2026</v>
      </c>
      <c r="F2028" s="25" t="n">
        <v>2</v>
      </c>
      <c r="G2028" s="25" t="n">
        <v>5</v>
      </c>
    </row>
    <row r="2029" customFormat="false" ht="15" hidden="false" customHeight="false" outlineLevel="0" collapsed="false">
      <c r="A2029" s="25" t="n">
        <v>20260517</v>
      </c>
      <c r="B2029" s="25" t="s">
        <v>2247</v>
      </c>
      <c r="C2029" s="27" t="b">
        <f aca="false">TRUE()</f>
        <v>1</v>
      </c>
      <c r="D2029" s="26" t="n">
        <v>46159</v>
      </c>
      <c r="E2029" s="25" t="n">
        <v>2026</v>
      </c>
      <c r="F2029" s="25" t="n">
        <v>2</v>
      </c>
      <c r="G2029" s="25" t="n">
        <v>5</v>
      </c>
    </row>
    <row r="2030" customFormat="false" ht="15" hidden="false" customHeight="false" outlineLevel="0" collapsed="false">
      <c r="A2030" s="25" t="n">
        <v>20260518</v>
      </c>
      <c r="B2030" s="25" t="s">
        <v>2247</v>
      </c>
      <c r="C2030" s="27" t="b">
        <f aca="false">FALSE()</f>
        <v>0</v>
      </c>
      <c r="D2030" s="26" t="n">
        <v>46160</v>
      </c>
      <c r="E2030" s="25" t="n">
        <v>2026</v>
      </c>
      <c r="F2030" s="25" t="n">
        <v>2</v>
      </c>
      <c r="G2030" s="25" t="n">
        <v>5</v>
      </c>
    </row>
    <row r="2031" customFormat="false" ht="15" hidden="false" customHeight="false" outlineLevel="0" collapsed="false">
      <c r="A2031" s="25" t="n">
        <v>20260519</v>
      </c>
      <c r="B2031" s="25" t="s">
        <v>2247</v>
      </c>
      <c r="C2031" s="27" t="b">
        <f aca="false">FALSE()</f>
        <v>0</v>
      </c>
      <c r="D2031" s="26" t="n">
        <v>46161</v>
      </c>
      <c r="E2031" s="25" t="n">
        <v>2026</v>
      </c>
      <c r="F2031" s="25" t="n">
        <v>2</v>
      </c>
      <c r="G2031" s="25" t="n">
        <v>5</v>
      </c>
    </row>
    <row r="2032" customFormat="false" ht="15" hidden="false" customHeight="false" outlineLevel="0" collapsed="false">
      <c r="A2032" s="25" t="n">
        <v>20260520</v>
      </c>
      <c r="B2032" s="25" t="s">
        <v>2247</v>
      </c>
      <c r="C2032" s="27" t="b">
        <f aca="false">FALSE()</f>
        <v>0</v>
      </c>
      <c r="D2032" s="26" t="n">
        <v>46162</v>
      </c>
      <c r="E2032" s="25" t="n">
        <v>2026</v>
      </c>
      <c r="F2032" s="25" t="n">
        <v>2</v>
      </c>
      <c r="G2032" s="25" t="n">
        <v>5</v>
      </c>
    </row>
    <row r="2033" customFormat="false" ht="15" hidden="false" customHeight="false" outlineLevel="0" collapsed="false">
      <c r="A2033" s="25" t="n">
        <v>20260521</v>
      </c>
      <c r="B2033" s="25" t="s">
        <v>2247</v>
      </c>
      <c r="C2033" s="27" t="b">
        <f aca="false">FALSE()</f>
        <v>0</v>
      </c>
      <c r="D2033" s="26" t="n">
        <v>46163</v>
      </c>
      <c r="E2033" s="25" t="n">
        <v>2026</v>
      </c>
      <c r="F2033" s="25" t="n">
        <v>2</v>
      </c>
      <c r="G2033" s="25" t="n">
        <v>5</v>
      </c>
    </row>
    <row r="2034" customFormat="false" ht="15" hidden="false" customHeight="false" outlineLevel="0" collapsed="false">
      <c r="A2034" s="25" t="n">
        <v>20260522</v>
      </c>
      <c r="B2034" s="25" t="s">
        <v>2247</v>
      </c>
      <c r="C2034" s="27" t="b">
        <f aca="false">FALSE()</f>
        <v>0</v>
      </c>
      <c r="D2034" s="26" t="n">
        <v>46164</v>
      </c>
      <c r="E2034" s="25" t="n">
        <v>2026</v>
      </c>
      <c r="F2034" s="25" t="n">
        <v>2</v>
      </c>
      <c r="G2034" s="25" t="n">
        <v>5</v>
      </c>
    </row>
    <row r="2035" customFormat="false" ht="15" hidden="false" customHeight="false" outlineLevel="0" collapsed="false">
      <c r="A2035" s="25" t="n">
        <v>20260523</v>
      </c>
      <c r="B2035" s="25" t="s">
        <v>2247</v>
      </c>
      <c r="C2035" s="27" t="b">
        <f aca="false">TRUE()</f>
        <v>1</v>
      </c>
      <c r="D2035" s="26" t="n">
        <v>46165</v>
      </c>
      <c r="E2035" s="25" t="n">
        <v>2026</v>
      </c>
      <c r="F2035" s="25" t="n">
        <v>2</v>
      </c>
      <c r="G2035" s="25" t="n">
        <v>5</v>
      </c>
    </row>
    <row r="2036" customFormat="false" ht="15" hidden="false" customHeight="false" outlineLevel="0" collapsed="false">
      <c r="A2036" s="25" t="n">
        <v>20260524</v>
      </c>
      <c r="B2036" s="25" t="s">
        <v>2247</v>
      </c>
      <c r="C2036" s="27" t="b">
        <f aca="false">TRUE()</f>
        <v>1</v>
      </c>
      <c r="D2036" s="26" t="n">
        <v>46166</v>
      </c>
      <c r="E2036" s="25" t="n">
        <v>2026</v>
      </c>
      <c r="F2036" s="25" t="n">
        <v>2</v>
      </c>
      <c r="G2036" s="25" t="n">
        <v>5</v>
      </c>
    </row>
    <row r="2037" customFormat="false" ht="15" hidden="false" customHeight="false" outlineLevel="0" collapsed="false">
      <c r="A2037" s="25" t="n">
        <v>20260525</v>
      </c>
      <c r="B2037" s="25" t="s">
        <v>2247</v>
      </c>
      <c r="C2037" s="27" t="b">
        <f aca="false">FALSE()</f>
        <v>0</v>
      </c>
      <c r="D2037" s="26" t="n">
        <v>46167</v>
      </c>
      <c r="E2037" s="25" t="n">
        <v>2026</v>
      </c>
      <c r="F2037" s="25" t="n">
        <v>2</v>
      </c>
      <c r="G2037" s="25" t="n">
        <v>5</v>
      </c>
    </row>
    <row r="2038" customFormat="false" ht="15" hidden="false" customHeight="false" outlineLevel="0" collapsed="false">
      <c r="A2038" s="25" t="n">
        <v>20260526</v>
      </c>
      <c r="B2038" s="25" t="s">
        <v>2247</v>
      </c>
      <c r="C2038" s="27" t="b">
        <f aca="false">FALSE()</f>
        <v>0</v>
      </c>
      <c r="D2038" s="26" t="n">
        <v>46168</v>
      </c>
      <c r="E2038" s="25" t="n">
        <v>2026</v>
      </c>
      <c r="F2038" s="25" t="n">
        <v>2</v>
      </c>
      <c r="G2038" s="25" t="n">
        <v>5</v>
      </c>
    </row>
    <row r="2039" customFormat="false" ht="15" hidden="false" customHeight="false" outlineLevel="0" collapsed="false">
      <c r="A2039" s="25" t="n">
        <v>20260527</v>
      </c>
      <c r="B2039" s="25" t="s">
        <v>2247</v>
      </c>
      <c r="C2039" s="27" t="b">
        <f aca="false">FALSE()</f>
        <v>0</v>
      </c>
      <c r="D2039" s="26" t="n">
        <v>46169</v>
      </c>
      <c r="E2039" s="25" t="n">
        <v>2026</v>
      </c>
      <c r="F2039" s="25" t="n">
        <v>2</v>
      </c>
      <c r="G2039" s="25" t="n">
        <v>5</v>
      </c>
    </row>
    <row r="2040" customFormat="false" ht="15" hidden="false" customHeight="false" outlineLevel="0" collapsed="false">
      <c r="A2040" s="25" t="n">
        <v>20260528</v>
      </c>
      <c r="B2040" s="25" t="s">
        <v>2247</v>
      </c>
      <c r="C2040" s="27" t="b">
        <f aca="false">FALSE()</f>
        <v>0</v>
      </c>
      <c r="D2040" s="26" t="n">
        <v>46170</v>
      </c>
      <c r="E2040" s="25" t="n">
        <v>2026</v>
      </c>
      <c r="F2040" s="25" t="n">
        <v>2</v>
      </c>
      <c r="G2040" s="25" t="n">
        <v>5</v>
      </c>
    </row>
    <row r="2041" customFormat="false" ht="15" hidden="false" customHeight="false" outlineLevel="0" collapsed="false">
      <c r="A2041" s="25" t="n">
        <v>20260529</v>
      </c>
      <c r="B2041" s="25" t="s">
        <v>2247</v>
      </c>
      <c r="C2041" s="27" t="b">
        <f aca="false">FALSE()</f>
        <v>0</v>
      </c>
      <c r="D2041" s="26" t="n">
        <v>46171</v>
      </c>
      <c r="E2041" s="25" t="n">
        <v>2026</v>
      </c>
      <c r="F2041" s="25" t="n">
        <v>2</v>
      </c>
      <c r="G2041" s="25" t="n">
        <v>5</v>
      </c>
    </row>
    <row r="2042" customFormat="false" ht="15" hidden="false" customHeight="false" outlineLevel="0" collapsed="false">
      <c r="A2042" s="25" t="n">
        <v>20260530</v>
      </c>
      <c r="B2042" s="25" t="s">
        <v>2247</v>
      </c>
      <c r="C2042" s="27" t="b">
        <f aca="false">TRUE()</f>
        <v>1</v>
      </c>
      <c r="D2042" s="26" t="n">
        <v>46172</v>
      </c>
      <c r="E2042" s="25" t="n">
        <v>2026</v>
      </c>
      <c r="F2042" s="25" t="n">
        <v>2</v>
      </c>
      <c r="G2042" s="25" t="n">
        <v>5</v>
      </c>
    </row>
    <row r="2043" customFormat="false" ht="15" hidden="false" customHeight="false" outlineLevel="0" collapsed="false">
      <c r="A2043" s="25" t="n">
        <v>20260531</v>
      </c>
      <c r="B2043" s="25" t="s">
        <v>2247</v>
      </c>
      <c r="C2043" s="27" t="b">
        <f aca="false">TRUE()</f>
        <v>1</v>
      </c>
      <c r="D2043" s="26" t="n">
        <v>46173</v>
      </c>
      <c r="E2043" s="25" t="n">
        <v>2026</v>
      </c>
      <c r="F2043" s="25" t="n">
        <v>2</v>
      </c>
      <c r="G2043" s="25" t="n">
        <v>5</v>
      </c>
    </row>
    <row r="2044" customFormat="false" ht="15" hidden="false" customHeight="false" outlineLevel="0" collapsed="false">
      <c r="A2044" s="25" t="n">
        <v>20260601</v>
      </c>
      <c r="B2044" s="25" t="s">
        <v>2248</v>
      </c>
      <c r="C2044" s="27" t="b">
        <f aca="false">FALSE()</f>
        <v>0</v>
      </c>
      <c r="D2044" s="26" t="n">
        <v>46174</v>
      </c>
      <c r="E2044" s="25" t="n">
        <v>2026</v>
      </c>
      <c r="F2044" s="25" t="n">
        <v>2</v>
      </c>
      <c r="G2044" s="25" t="n">
        <v>6</v>
      </c>
    </row>
    <row r="2045" customFormat="false" ht="15" hidden="false" customHeight="false" outlineLevel="0" collapsed="false">
      <c r="A2045" s="25" t="n">
        <v>20260602</v>
      </c>
      <c r="B2045" s="25" t="s">
        <v>2248</v>
      </c>
      <c r="C2045" s="27" t="b">
        <f aca="false">FALSE()</f>
        <v>0</v>
      </c>
      <c r="D2045" s="26" t="n">
        <v>46175</v>
      </c>
      <c r="E2045" s="25" t="n">
        <v>2026</v>
      </c>
      <c r="F2045" s="25" t="n">
        <v>2</v>
      </c>
      <c r="G2045" s="25" t="n">
        <v>6</v>
      </c>
    </row>
    <row r="2046" customFormat="false" ht="15" hidden="false" customHeight="false" outlineLevel="0" collapsed="false">
      <c r="A2046" s="25" t="n">
        <v>20260603</v>
      </c>
      <c r="B2046" s="25" t="s">
        <v>2248</v>
      </c>
      <c r="C2046" s="27" t="b">
        <f aca="false">FALSE()</f>
        <v>0</v>
      </c>
      <c r="D2046" s="26" t="n">
        <v>46176</v>
      </c>
      <c r="E2046" s="25" t="n">
        <v>2026</v>
      </c>
      <c r="F2046" s="25" t="n">
        <v>2</v>
      </c>
      <c r="G2046" s="25" t="n">
        <v>6</v>
      </c>
    </row>
    <row r="2047" customFormat="false" ht="15" hidden="false" customHeight="false" outlineLevel="0" collapsed="false">
      <c r="A2047" s="25" t="n">
        <v>20260604</v>
      </c>
      <c r="B2047" s="25" t="s">
        <v>2248</v>
      </c>
      <c r="C2047" s="27" t="b">
        <f aca="false">FALSE()</f>
        <v>0</v>
      </c>
      <c r="D2047" s="26" t="n">
        <v>46177</v>
      </c>
      <c r="E2047" s="25" t="n">
        <v>2026</v>
      </c>
      <c r="F2047" s="25" t="n">
        <v>2</v>
      </c>
      <c r="G2047" s="25" t="n">
        <v>6</v>
      </c>
    </row>
    <row r="2048" customFormat="false" ht="15" hidden="false" customHeight="false" outlineLevel="0" collapsed="false">
      <c r="A2048" s="25" t="n">
        <v>20260605</v>
      </c>
      <c r="B2048" s="25" t="s">
        <v>2248</v>
      </c>
      <c r="C2048" s="27" t="b">
        <f aca="false">FALSE()</f>
        <v>0</v>
      </c>
      <c r="D2048" s="26" t="n">
        <v>46178</v>
      </c>
      <c r="E2048" s="25" t="n">
        <v>2026</v>
      </c>
      <c r="F2048" s="25" t="n">
        <v>2</v>
      </c>
      <c r="G2048" s="25" t="n">
        <v>6</v>
      </c>
    </row>
    <row r="2049" customFormat="false" ht="15" hidden="false" customHeight="false" outlineLevel="0" collapsed="false">
      <c r="A2049" s="25" t="n">
        <v>20260606</v>
      </c>
      <c r="B2049" s="25" t="s">
        <v>2248</v>
      </c>
      <c r="C2049" s="27" t="b">
        <f aca="false">TRUE()</f>
        <v>1</v>
      </c>
      <c r="D2049" s="26" t="n">
        <v>46179</v>
      </c>
      <c r="E2049" s="25" t="n">
        <v>2026</v>
      </c>
      <c r="F2049" s="25" t="n">
        <v>2</v>
      </c>
      <c r="G2049" s="25" t="n">
        <v>6</v>
      </c>
    </row>
    <row r="2050" customFormat="false" ht="15" hidden="false" customHeight="false" outlineLevel="0" collapsed="false">
      <c r="A2050" s="25" t="n">
        <v>20260607</v>
      </c>
      <c r="B2050" s="25" t="s">
        <v>2248</v>
      </c>
      <c r="C2050" s="27" t="b">
        <f aca="false">TRUE()</f>
        <v>1</v>
      </c>
      <c r="D2050" s="26" t="n">
        <v>46180</v>
      </c>
      <c r="E2050" s="25" t="n">
        <v>2026</v>
      </c>
      <c r="F2050" s="25" t="n">
        <v>2</v>
      </c>
      <c r="G2050" s="25" t="n">
        <v>6</v>
      </c>
    </row>
    <row r="2051" customFormat="false" ht="15" hidden="false" customHeight="false" outlineLevel="0" collapsed="false">
      <c r="A2051" s="25" t="n">
        <v>20260608</v>
      </c>
      <c r="B2051" s="25" t="s">
        <v>2248</v>
      </c>
      <c r="C2051" s="27" t="b">
        <f aca="false">FALSE()</f>
        <v>0</v>
      </c>
      <c r="D2051" s="26" t="n">
        <v>46181</v>
      </c>
      <c r="E2051" s="25" t="n">
        <v>2026</v>
      </c>
      <c r="F2051" s="25" t="n">
        <v>2</v>
      </c>
      <c r="G2051" s="25" t="n">
        <v>6</v>
      </c>
    </row>
    <row r="2052" customFormat="false" ht="15" hidden="false" customHeight="false" outlineLevel="0" collapsed="false">
      <c r="A2052" s="25" t="n">
        <v>20260609</v>
      </c>
      <c r="B2052" s="25" t="s">
        <v>2248</v>
      </c>
      <c r="C2052" s="27" t="b">
        <f aca="false">FALSE()</f>
        <v>0</v>
      </c>
      <c r="D2052" s="26" t="n">
        <v>46182</v>
      </c>
      <c r="E2052" s="25" t="n">
        <v>2026</v>
      </c>
      <c r="F2052" s="25" t="n">
        <v>2</v>
      </c>
      <c r="G2052" s="25" t="n">
        <v>6</v>
      </c>
    </row>
    <row r="2053" customFormat="false" ht="15" hidden="false" customHeight="false" outlineLevel="0" collapsed="false">
      <c r="A2053" s="25" t="n">
        <v>20260610</v>
      </c>
      <c r="B2053" s="25" t="s">
        <v>2248</v>
      </c>
      <c r="C2053" s="27" t="b">
        <f aca="false">FALSE()</f>
        <v>0</v>
      </c>
      <c r="D2053" s="26" t="n">
        <v>46183</v>
      </c>
      <c r="E2053" s="25" t="n">
        <v>2026</v>
      </c>
      <c r="F2053" s="25" t="n">
        <v>2</v>
      </c>
      <c r="G2053" s="25" t="n">
        <v>6</v>
      </c>
    </row>
    <row r="2054" customFormat="false" ht="15" hidden="false" customHeight="false" outlineLevel="0" collapsed="false">
      <c r="A2054" s="25" t="n">
        <v>20260611</v>
      </c>
      <c r="B2054" s="25" t="s">
        <v>2248</v>
      </c>
      <c r="C2054" s="27" t="b">
        <f aca="false">FALSE()</f>
        <v>0</v>
      </c>
      <c r="D2054" s="26" t="n">
        <v>46184</v>
      </c>
      <c r="E2054" s="25" t="n">
        <v>2026</v>
      </c>
      <c r="F2054" s="25" t="n">
        <v>2</v>
      </c>
      <c r="G2054" s="25" t="n">
        <v>6</v>
      </c>
    </row>
    <row r="2055" customFormat="false" ht="15" hidden="false" customHeight="false" outlineLevel="0" collapsed="false">
      <c r="A2055" s="25" t="n">
        <v>20260612</v>
      </c>
      <c r="B2055" s="25" t="s">
        <v>2248</v>
      </c>
      <c r="C2055" s="27" t="b">
        <f aca="false">FALSE()</f>
        <v>0</v>
      </c>
      <c r="D2055" s="26" t="n">
        <v>46185</v>
      </c>
      <c r="E2055" s="25" t="n">
        <v>2026</v>
      </c>
      <c r="F2055" s="25" t="n">
        <v>2</v>
      </c>
      <c r="G2055" s="25" t="n">
        <v>6</v>
      </c>
    </row>
    <row r="2056" customFormat="false" ht="15" hidden="false" customHeight="false" outlineLevel="0" collapsed="false">
      <c r="A2056" s="25" t="n">
        <v>20260613</v>
      </c>
      <c r="B2056" s="25" t="s">
        <v>2248</v>
      </c>
      <c r="C2056" s="27" t="b">
        <f aca="false">TRUE()</f>
        <v>1</v>
      </c>
      <c r="D2056" s="26" t="n">
        <v>46186</v>
      </c>
      <c r="E2056" s="25" t="n">
        <v>2026</v>
      </c>
      <c r="F2056" s="25" t="n">
        <v>2</v>
      </c>
      <c r="G2056" s="25" t="n">
        <v>6</v>
      </c>
    </row>
    <row r="2057" customFormat="false" ht="15" hidden="false" customHeight="false" outlineLevel="0" collapsed="false">
      <c r="A2057" s="25" t="n">
        <v>20260614</v>
      </c>
      <c r="B2057" s="25" t="s">
        <v>2248</v>
      </c>
      <c r="C2057" s="27" t="b">
        <f aca="false">TRUE()</f>
        <v>1</v>
      </c>
      <c r="D2057" s="26" t="n">
        <v>46187</v>
      </c>
      <c r="E2057" s="25" t="n">
        <v>2026</v>
      </c>
      <c r="F2057" s="25" t="n">
        <v>2</v>
      </c>
      <c r="G2057" s="25" t="n">
        <v>6</v>
      </c>
    </row>
    <row r="2058" customFormat="false" ht="15" hidden="false" customHeight="false" outlineLevel="0" collapsed="false">
      <c r="A2058" s="25" t="n">
        <v>20260615</v>
      </c>
      <c r="B2058" s="25" t="s">
        <v>2248</v>
      </c>
      <c r="C2058" s="27" t="b">
        <f aca="false">FALSE()</f>
        <v>0</v>
      </c>
      <c r="D2058" s="26" t="n">
        <v>46188</v>
      </c>
      <c r="E2058" s="25" t="n">
        <v>2026</v>
      </c>
      <c r="F2058" s="25" t="n">
        <v>2</v>
      </c>
      <c r="G2058" s="25" t="n">
        <v>6</v>
      </c>
    </row>
    <row r="2059" customFormat="false" ht="15" hidden="false" customHeight="false" outlineLevel="0" collapsed="false">
      <c r="A2059" s="25" t="n">
        <v>20260616</v>
      </c>
      <c r="B2059" s="25" t="s">
        <v>2248</v>
      </c>
      <c r="C2059" s="27" t="b">
        <f aca="false">FALSE()</f>
        <v>0</v>
      </c>
      <c r="D2059" s="26" t="n">
        <v>46189</v>
      </c>
      <c r="E2059" s="25" t="n">
        <v>2026</v>
      </c>
      <c r="F2059" s="25" t="n">
        <v>2</v>
      </c>
      <c r="G2059" s="25" t="n">
        <v>6</v>
      </c>
    </row>
    <row r="2060" customFormat="false" ht="15" hidden="false" customHeight="false" outlineLevel="0" collapsed="false">
      <c r="A2060" s="25" t="n">
        <v>20260617</v>
      </c>
      <c r="B2060" s="25" t="s">
        <v>2248</v>
      </c>
      <c r="C2060" s="27" t="b">
        <f aca="false">FALSE()</f>
        <v>0</v>
      </c>
      <c r="D2060" s="26" t="n">
        <v>46190</v>
      </c>
      <c r="E2060" s="25" t="n">
        <v>2026</v>
      </c>
      <c r="F2060" s="25" t="n">
        <v>2</v>
      </c>
      <c r="G2060" s="25" t="n">
        <v>6</v>
      </c>
    </row>
    <row r="2061" customFormat="false" ht="15" hidden="false" customHeight="false" outlineLevel="0" collapsed="false">
      <c r="A2061" s="25" t="n">
        <v>20260618</v>
      </c>
      <c r="B2061" s="25" t="s">
        <v>2248</v>
      </c>
      <c r="C2061" s="27" t="b">
        <f aca="false">FALSE()</f>
        <v>0</v>
      </c>
      <c r="D2061" s="26" t="n">
        <v>46191</v>
      </c>
      <c r="E2061" s="25" t="n">
        <v>2026</v>
      </c>
      <c r="F2061" s="25" t="n">
        <v>2</v>
      </c>
      <c r="G2061" s="25" t="n">
        <v>6</v>
      </c>
    </row>
    <row r="2062" customFormat="false" ht="15" hidden="false" customHeight="false" outlineLevel="0" collapsed="false">
      <c r="A2062" s="25" t="n">
        <v>20260619</v>
      </c>
      <c r="B2062" s="25" t="s">
        <v>2248</v>
      </c>
      <c r="C2062" s="27" t="b">
        <f aca="false">FALSE()</f>
        <v>0</v>
      </c>
      <c r="D2062" s="26" t="n">
        <v>46192</v>
      </c>
      <c r="E2062" s="25" t="n">
        <v>2026</v>
      </c>
      <c r="F2062" s="25" t="n">
        <v>2</v>
      </c>
      <c r="G2062" s="25" t="n">
        <v>6</v>
      </c>
    </row>
    <row r="2063" customFormat="false" ht="15" hidden="false" customHeight="false" outlineLevel="0" collapsed="false">
      <c r="A2063" s="25" t="n">
        <v>20260620</v>
      </c>
      <c r="B2063" s="25" t="s">
        <v>2248</v>
      </c>
      <c r="C2063" s="27" t="b">
        <f aca="false">TRUE()</f>
        <v>1</v>
      </c>
      <c r="D2063" s="26" t="n">
        <v>46193</v>
      </c>
      <c r="E2063" s="25" t="n">
        <v>2026</v>
      </c>
      <c r="F2063" s="25" t="n">
        <v>2</v>
      </c>
      <c r="G2063" s="25" t="n">
        <v>6</v>
      </c>
    </row>
    <row r="2064" customFormat="false" ht="15" hidden="false" customHeight="false" outlineLevel="0" collapsed="false">
      <c r="A2064" s="25" t="n">
        <v>20260621</v>
      </c>
      <c r="B2064" s="25" t="s">
        <v>2248</v>
      </c>
      <c r="C2064" s="27" t="b">
        <f aca="false">TRUE()</f>
        <v>1</v>
      </c>
      <c r="D2064" s="26" t="n">
        <v>46194</v>
      </c>
      <c r="E2064" s="25" t="n">
        <v>2026</v>
      </c>
      <c r="F2064" s="25" t="n">
        <v>2</v>
      </c>
      <c r="G2064" s="25" t="n">
        <v>6</v>
      </c>
    </row>
    <row r="2065" customFormat="false" ht="15" hidden="false" customHeight="false" outlineLevel="0" collapsed="false">
      <c r="A2065" s="25" t="n">
        <v>20260622</v>
      </c>
      <c r="B2065" s="25" t="s">
        <v>2248</v>
      </c>
      <c r="C2065" s="27" t="b">
        <f aca="false">FALSE()</f>
        <v>0</v>
      </c>
      <c r="D2065" s="26" t="n">
        <v>46195</v>
      </c>
      <c r="E2065" s="25" t="n">
        <v>2026</v>
      </c>
      <c r="F2065" s="25" t="n">
        <v>2</v>
      </c>
      <c r="G2065" s="25" t="n">
        <v>6</v>
      </c>
    </row>
    <row r="2066" customFormat="false" ht="15" hidden="false" customHeight="false" outlineLevel="0" collapsed="false">
      <c r="A2066" s="25" t="n">
        <v>20260623</v>
      </c>
      <c r="B2066" s="25" t="s">
        <v>2248</v>
      </c>
      <c r="C2066" s="27" t="b">
        <f aca="false">FALSE()</f>
        <v>0</v>
      </c>
      <c r="D2066" s="26" t="n">
        <v>46196</v>
      </c>
      <c r="E2066" s="25" t="n">
        <v>2026</v>
      </c>
      <c r="F2066" s="25" t="n">
        <v>2</v>
      </c>
      <c r="G2066" s="25" t="n">
        <v>6</v>
      </c>
    </row>
    <row r="2067" customFormat="false" ht="15" hidden="false" customHeight="false" outlineLevel="0" collapsed="false">
      <c r="A2067" s="25" t="n">
        <v>20260624</v>
      </c>
      <c r="B2067" s="25" t="s">
        <v>2248</v>
      </c>
      <c r="C2067" s="27" t="b">
        <f aca="false">FALSE()</f>
        <v>0</v>
      </c>
      <c r="D2067" s="26" t="n">
        <v>46197</v>
      </c>
      <c r="E2067" s="25" t="n">
        <v>2026</v>
      </c>
      <c r="F2067" s="25" t="n">
        <v>2</v>
      </c>
      <c r="G2067" s="25" t="n">
        <v>6</v>
      </c>
    </row>
    <row r="2068" customFormat="false" ht="15" hidden="false" customHeight="false" outlineLevel="0" collapsed="false">
      <c r="A2068" s="25" t="n">
        <v>20260625</v>
      </c>
      <c r="B2068" s="25" t="s">
        <v>2248</v>
      </c>
      <c r="C2068" s="27" t="b">
        <f aca="false">FALSE()</f>
        <v>0</v>
      </c>
      <c r="D2068" s="26" t="n">
        <v>46198</v>
      </c>
      <c r="E2068" s="25" t="n">
        <v>2026</v>
      </c>
      <c r="F2068" s="25" t="n">
        <v>2</v>
      </c>
      <c r="G2068" s="25" t="n">
        <v>6</v>
      </c>
    </row>
    <row r="2069" customFormat="false" ht="15" hidden="false" customHeight="false" outlineLevel="0" collapsed="false">
      <c r="A2069" s="25" t="n">
        <v>20260626</v>
      </c>
      <c r="B2069" s="25" t="s">
        <v>2248</v>
      </c>
      <c r="C2069" s="27" t="b">
        <f aca="false">FALSE()</f>
        <v>0</v>
      </c>
      <c r="D2069" s="26" t="n">
        <v>46199</v>
      </c>
      <c r="E2069" s="25" t="n">
        <v>2026</v>
      </c>
      <c r="F2069" s="25" t="n">
        <v>2</v>
      </c>
      <c r="G2069" s="25" t="n">
        <v>6</v>
      </c>
    </row>
    <row r="2070" customFormat="false" ht="15" hidden="false" customHeight="false" outlineLevel="0" collapsed="false">
      <c r="A2070" s="25" t="n">
        <v>20260627</v>
      </c>
      <c r="B2070" s="25" t="s">
        <v>2248</v>
      </c>
      <c r="C2070" s="27" t="b">
        <f aca="false">TRUE()</f>
        <v>1</v>
      </c>
      <c r="D2070" s="26" t="n">
        <v>46200</v>
      </c>
      <c r="E2070" s="25" t="n">
        <v>2026</v>
      </c>
      <c r="F2070" s="25" t="n">
        <v>2</v>
      </c>
      <c r="G2070" s="25" t="n">
        <v>6</v>
      </c>
    </row>
    <row r="2071" customFormat="false" ht="15" hidden="false" customHeight="false" outlineLevel="0" collapsed="false">
      <c r="A2071" s="25" t="n">
        <v>20260628</v>
      </c>
      <c r="B2071" s="25" t="s">
        <v>2248</v>
      </c>
      <c r="C2071" s="27" t="b">
        <f aca="false">TRUE()</f>
        <v>1</v>
      </c>
      <c r="D2071" s="26" t="n">
        <v>46201</v>
      </c>
      <c r="E2071" s="25" t="n">
        <v>2026</v>
      </c>
      <c r="F2071" s="25" t="n">
        <v>2</v>
      </c>
      <c r="G2071" s="25" t="n">
        <v>6</v>
      </c>
    </row>
    <row r="2072" customFormat="false" ht="15" hidden="false" customHeight="false" outlineLevel="0" collapsed="false">
      <c r="A2072" s="25" t="n">
        <v>20260629</v>
      </c>
      <c r="B2072" s="25" t="s">
        <v>2248</v>
      </c>
      <c r="C2072" s="27" t="b">
        <f aca="false">FALSE()</f>
        <v>0</v>
      </c>
      <c r="D2072" s="26" t="n">
        <v>46202</v>
      </c>
      <c r="E2072" s="25" t="n">
        <v>2026</v>
      </c>
      <c r="F2072" s="25" t="n">
        <v>2</v>
      </c>
      <c r="G2072" s="25" t="n">
        <v>6</v>
      </c>
    </row>
    <row r="2073" customFormat="false" ht="15" hidden="false" customHeight="false" outlineLevel="0" collapsed="false">
      <c r="A2073" s="25" t="n">
        <v>20260630</v>
      </c>
      <c r="B2073" s="25" t="s">
        <v>2248</v>
      </c>
      <c r="C2073" s="27" t="b">
        <f aca="false">FALSE()</f>
        <v>0</v>
      </c>
      <c r="D2073" s="26" t="n">
        <v>46203</v>
      </c>
      <c r="E2073" s="25" t="n">
        <v>2026</v>
      </c>
      <c r="F2073" s="25" t="n">
        <v>2</v>
      </c>
      <c r="G2073" s="25" t="n">
        <v>6</v>
      </c>
    </row>
    <row r="2074" customFormat="false" ht="15" hidden="false" customHeight="false" outlineLevel="0" collapsed="false">
      <c r="A2074" s="25" t="n">
        <v>20260701</v>
      </c>
      <c r="B2074" s="25" t="s">
        <v>2249</v>
      </c>
      <c r="C2074" s="27" t="b">
        <f aca="false">FALSE()</f>
        <v>0</v>
      </c>
      <c r="D2074" s="26" t="n">
        <v>46204</v>
      </c>
      <c r="E2074" s="25" t="n">
        <v>2026</v>
      </c>
      <c r="F2074" s="25" t="n">
        <v>3</v>
      </c>
      <c r="G2074" s="25" t="n">
        <v>7</v>
      </c>
    </row>
    <row r="2075" customFormat="false" ht="15" hidden="false" customHeight="false" outlineLevel="0" collapsed="false">
      <c r="A2075" s="25" t="n">
        <v>20260702</v>
      </c>
      <c r="B2075" s="25" t="s">
        <v>2249</v>
      </c>
      <c r="C2075" s="27" t="b">
        <f aca="false">FALSE()</f>
        <v>0</v>
      </c>
      <c r="D2075" s="26" t="n">
        <v>46205</v>
      </c>
      <c r="E2075" s="25" t="n">
        <v>2026</v>
      </c>
      <c r="F2075" s="25" t="n">
        <v>3</v>
      </c>
      <c r="G2075" s="25" t="n">
        <v>7</v>
      </c>
    </row>
    <row r="2076" customFormat="false" ht="15" hidden="false" customHeight="false" outlineLevel="0" collapsed="false">
      <c r="A2076" s="25" t="n">
        <v>20260703</v>
      </c>
      <c r="B2076" s="25" t="s">
        <v>2249</v>
      </c>
      <c r="C2076" s="27" t="b">
        <f aca="false">FALSE()</f>
        <v>0</v>
      </c>
      <c r="D2076" s="26" t="n">
        <v>46206</v>
      </c>
      <c r="E2076" s="25" t="n">
        <v>2026</v>
      </c>
      <c r="F2076" s="25" t="n">
        <v>3</v>
      </c>
      <c r="G2076" s="25" t="n">
        <v>7</v>
      </c>
    </row>
    <row r="2077" customFormat="false" ht="15" hidden="false" customHeight="false" outlineLevel="0" collapsed="false">
      <c r="A2077" s="25" t="n">
        <v>20260704</v>
      </c>
      <c r="B2077" s="25" t="s">
        <v>2249</v>
      </c>
      <c r="C2077" s="27" t="b">
        <f aca="false">TRUE()</f>
        <v>1</v>
      </c>
      <c r="D2077" s="26" t="n">
        <v>46207</v>
      </c>
      <c r="E2077" s="25" t="n">
        <v>2026</v>
      </c>
      <c r="F2077" s="25" t="n">
        <v>3</v>
      </c>
      <c r="G2077" s="25" t="n">
        <v>7</v>
      </c>
    </row>
    <row r="2078" customFormat="false" ht="15" hidden="false" customHeight="false" outlineLevel="0" collapsed="false">
      <c r="A2078" s="25" t="n">
        <v>20260705</v>
      </c>
      <c r="B2078" s="25" t="s">
        <v>2249</v>
      </c>
      <c r="C2078" s="27" t="b">
        <f aca="false">TRUE()</f>
        <v>1</v>
      </c>
      <c r="D2078" s="26" t="n">
        <v>46208</v>
      </c>
      <c r="E2078" s="25" t="n">
        <v>2026</v>
      </c>
      <c r="F2078" s="25" t="n">
        <v>3</v>
      </c>
      <c r="G2078" s="25" t="n">
        <v>7</v>
      </c>
    </row>
    <row r="2079" customFormat="false" ht="15" hidden="false" customHeight="false" outlineLevel="0" collapsed="false">
      <c r="A2079" s="25" t="n">
        <v>20260706</v>
      </c>
      <c r="B2079" s="25" t="s">
        <v>2249</v>
      </c>
      <c r="C2079" s="27" t="b">
        <f aca="false">FALSE()</f>
        <v>0</v>
      </c>
      <c r="D2079" s="26" t="n">
        <v>46209</v>
      </c>
      <c r="E2079" s="25" t="n">
        <v>2026</v>
      </c>
      <c r="F2079" s="25" t="n">
        <v>3</v>
      </c>
      <c r="G2079" s="25" t="n">
        <v>7</v>
      </c>
    </row>
    <row r="2080" customFormat="false" ht="15" hidden="false" customHeight="false" outlineLevel="0" collapsed="false">
      <c r="A2080" s="25" t="n">
        <v>20260707</v>
      </c>
      <c r="B2080" s="25" t="s">
        <v>2249</v>
      </c>
      <c r="C2080" s="27" t="b">
        <f aca="false">FALSE()</f>
        <v>0</v>
      </c>
      <c r="D2080" s="26" t="n">
        <v>46210</v>
      </c>
      <c r="E2080" s="25" t="n">
        <v>2026</v>
      </c>
      <c r="F2080" s="25" t="n">
        <v>3</v>
      </c>
      <c r="G2080" s="25" t="n">
        <v>7</v>
      </c>
    </row>
    <row r="2081" customFormat="false" ht="15" hidden="false" customHeight="false" outlineLevel="0" collapsed="false">
      <c r="A2081" s="25" t="n">
        <v>20260708</v>
      </c>
      <c r="B2081" s="25" t="s">
        <v>2249</v>
      </c>
      <c r="C2081" s="27" t="b">
        <f aca="false">FALSE()</f>
        <v>0</v>
      </c>
      <c r="D2081" s="26" t="n">
        <v>46211</v>
      </c>
      <c r="E2081" s="25" t="n">
        <v>2026</v>
      </c>
      <c r="F2081" s="25" t="n">
        <v>3</v>
      </c>
      <c r="G2081" s="25" t="n">
        <v>7</v>
      </c>
    </row>
    <row r="2082" customFormat="false" ht="15" hidden="false" customHeight="false" outlineLevel="0" collapsed="false">
      <c r="A2082" s="25" t="n">
        <v>20260709</v>
      </c>
      <c r="B2082" s="25" t="s">
        <v>2249</v>
      </c>
      <c r="C2082" s="27" t="b">
        <f aca="false">FALSE()</f>
        <v>0</v>
      </c>
      <c r="D2082" s="26" t="n">
        <v>46212</v>
      </c>
      <c r="E2082" s="25" t="n">
        <v>2026</v>
      </c>
      <c r="F2082" s="25" t="n">
        <v>3</v>
      </c>
      <c r="G2082" s="25" t="n">
        <v>7</v>
      </c>
    </row>
    <row r="2083" customFormat="false" ht="15" hidden="false" customHeight="false" outlineLevel="0" collapsed="false">
      <c r="A2083" s="25" t="n">
        <v>20260710</v>
      </c>
      <c r="B2083" s="25" t="s">
        <v>2249</v>
      </c>
      <c r="C2083" s="27" t="b">
        <f aca="false">FALSE()</f>
        <v>0</v>
      </c>
      <c r="D2083" s="26" t="n">
        <v>46213</v>
      </c>
      <c r="E2083" s="25" t="n">
        <v>2026</v>
      </c>
      <c r="F2083" s="25" t="n">
        <v>3</v>
      </c>
      <c r="G2083" s="25" t="n">
        <v>7</v>
      </c>
    </row>
    <row r="2084" customFormat="false" ht="15" hidden="false" customHeight="false" outlineLevel="0" collapsed="false">
      <c r="A2084" s="25" t="n">
        <v>20260711</v>
      </c>
      <c r="B2084" s="25" t="s">
        <v>2249</v>
      </c>
      <c r="C2084" s="27" t="b">
        <f aca="false">TRUE()</f>
        <v>1</v>
      </c>
      <c r="D2084" s="26" t="n">
        <v>46214</v>
      </c>
      <c r="E2084" s="25" t="n">
        <v>2026</v>
      </c>
      <c r="F2084" s="25" t="n">
        <v>3</v>
      </c>
      <c r="G2084" s="25" t="n">
        <v>7</v>
      </c>
    </row>
    <row r="2085" customFormat="false" ht="15" hidden="false" customHeight="false" outlineLevel="0" collapsed="false">
      <c r="A2085" s="25" t="n">
        <v>20260712</v>
      </c>
      <c r="B2085" s="25" t="s">
        <v>2249</v>
      </c>
      <c r="C2085" s="27" t="b">
        <f aca="false">TRUE()</f>
        <v>1</v>
      </c>
      <c r="D2085" s="26" t="n">
        <v>46215</v>
      </c>
      <c r="E2085" s="25" t="n">
        <v>2026</v>
      </c>
      <c r="F2085" s="25" t="n">
        <v>3</v>
      </c>
      <c r="G2085" s="25" t="n">
        <v>7</v>
      </c>
    </row>
    <row r="2086" customFormat="false" ht="15" hidden="false" customHeight="false" outlineLevel="0" collapsed="false">
      <c r="A2086" s="25" t="n">
        <v>20260713</v>
      </c>
      <c r="B2086" s="25" t="s">
        <v>2249</v>
      </c>
      <c r="C2086" s="27" t="b">
        <f aca="false">FALSE()</f>
        <v>0</v>
      </c>
      <c r="D2086" s="26" t="n">
        <v>46216</v>
      </c>
      <c r="E2086" s="25" t="n">
        <v>2026</v>
      </c>
      <c r="F2086" s="25" t="n">
        <v>3</v>
      </c>
      <c r="G2086" s="25" t="n">
        <v>7</v>
      </c>
    </row>
    <row r="2087" customFormat="false" ht="15" hidden="false" customHeight="false" outlineLevel="0" collapsed="false">
      <c r="A2087" s="25" t="n">
        <v>20260714</v>
      </c>
      <c r="B2087" s="25" t="s">
        <v>2249</v>
      </c>
      <c r="C2087" s="27" t="b">
        <f aca="false">FALSE()</f>
        <v>0</v>
      </c>
      <c r="D2087" s="26" t="n">
        <v>46217</v>
      </c>
      <c r="E2087" s="25" t="n">
        <v>2026</v>
      </c>
      <c r="F2087" s="25" t="n">
        <v>3</v>
      </c>
      <c r="G2087" s="25" t="n">
        <v>7</v>
      </c>
    </row>
    <row r="2088" customFormat="false" ht="15" hidden="false" customHeight="false" outlineLevel="0" collapsed="false">
      <c r="A2088" s="25" t="n">
        <v>20260715</v>
      </c>
      <c r="B2088" s="25" t="s">
        <v>2249</v>
      </c>
      <c r="C2088" s="27" t="b">
        <f aca="false">FALSE()</f>
        <v>0</v>
      </c>
      <c r="D2088" s="26" t="n">
        <v>46218</v>
      </c>
      <c r="E2088" s="25" t="n">
        <v>2026</v>
      </c>
      <c r="F2088" s="25" t="n">
        <v>3</v>
      </c>
      <c r="G2088" s="25" t="n">
        <v>7</v>
      </c>
    </row>
    <row r="2089" customFormat="false" ht="15" hidden="false" customHeight="false" outlineLevel="0" collapsed="false">
      <c r="A2089" s="25" t="n">
        <v>20260716</v>
      </c>
      <c r="B2089" s="25" t="s">
        <v>2249</v>
      </c>
      <c r="C2089" s="27" t="b">
        <f aca="false">FALSE()</f>
        <v>0</v>
      </c>
      <c r="D2089" s="26" t="n">
        <v>46219</v>
      </c>
      <c r="E2089" s="25" t="n">
        <v>2026</v>
      </c>
      <c r="F2089" s="25" t="n">
        <v>3</v>
      </c>
      <c r="G2089" s="25" t="n">
        <v>7</v>
      </c>
    </row>
    <row r="2090" customFormat="false" ht="15" hidden="false" customHeight="false" outlineLevel="0" collapsed="false">
      <c r="A2090" s="25" t="n">
        <v>20260717</v>
      </c>
      <c r="B2090" s="25" t="s">
        <v>2249</v>
      </c>
      <c r="C2090" s="27" t="b">
        <f aca="false">FALSE()</f>
        <v>0</v>
      </c>
      <c r="D2090" s="26" t="n">
        <v>46220</v>
      </c>
      <c r="E2090" s="25" t="n">
        <v>2026</v>
      </c>
      <c r="F2090" s="25" t="n">
        <v>3</v>
      </c>
      <c r="G2090" s="25" t="n">
        <v>7</v>
      </c>
    </row>
    <row r="2091" customFormat="false" ht="15" hidden="false" customHeight="false" outlineLevel="0" collapsed="false">
      <c r="A2091" s="25" t="n">
        <v>20260718</v>
      </c>
      <c r="B2091" s="25" t="s">
        <v>2249</v>
      </c>
      <c r="C2091" s="27" t="b">
        <f aca="false">TRUE()</f>
        <v>1</v>
      </c>
      <c r="D2091" s="26" t="n">
        <v>46221</v>
      </c>
      <c r="E2091" s="25" t="n">
        <v>2026</v>
      </c>
      <c r="F2091" s="25" t="n">
        <v>3</v>
      </c>
      <c r="G2091" s="25" t="n">
        <v>7</v>
      </c>
    </row>
    <row r="2092" customFormat="false" ht="15" hidden="false" customHeight="false" outlineLevel="0" collapsed="false">
      <c r="A2092" s="25" t="n">
        <v>20260719</v>
      </c>
      <c r="B2092" s="25" t="s">
        <v>2249</v>
      </c>
      <c r="C2092" s="27" t="b">
        <f aca="false">TRUE()</f>
        <v>1</v>
      </c>
      <c r="D2092" s="26" t="n">
        <v>46222</v>
      </c>
      <c r="E2092" s="25" t="n">
        <v>2026</v>
      </c>
      <c r="F2092" s="25" t="n">
        <v>3</v>
      </c>
      <c r="G2092" s="25" t="n">
        <v>7</v>
      </c>
    </row>
    <row r="2093" customFormat="false" ht="15" hidden="false" customHeight="false" outlineLevel="0" collapsed="false">
      <c r="A2093" s="25" t="n">
        <v>20260720</v>
      </c>
      <c r="B2093" s="25" t="s">
        <v>2249</v>
      </c>
      <c r="C2093" s="27" t="b">
        <f aca="false">FALSE()</f>
        <v>0</v>
      </c>
      <c r="D2093" s="26" t="n">
        <v>46223</v>
      </c>
      <c r="E2093" s="25" t="n">
        <v>2026</v>
      </c>
      <c r="F2093" s="25" t="n">
        <v>3</v>
      </c>
      <c r="G2093" s="25" t="n">
        <v>7</v>
      </c>
    </row>
    <row r="2094" customFormat="false" ht="15" hidden="false" customHeight="false" outlineLevel="0" collapsed="false">
      <c r="A2094" s="25" t="n">
        <v>20260721</v>
      </c>
      <c r="B2094" s="25" t="s">
        <v>2249</v>
      </c>
      <c r="C2094" s="27" t="b">
        <f aca="false">FALSE()</f>
        <v>0</v>
      </c>
      <c r="D2094" s="26" t="n">
        <v>46224</v>
      </c>
      <c r="E2094" s="25" t="n">
        <v>2026</v>
      </c>
      <c r="F2094" s="25" t="n">
        <v>3</v>
      </c>
      <c r="G2094" s="25" t="n">
        <v>7</v>
      </c>
    </row>
    <row r="2095" customFormat="false" ht="15" hidden="false" customHeight="false" outlineLevel="0" collapsed="false">
      <c r="A2095" s="25" t="n">
        <v>20260722</v>
      </c>
      <c r="B2095" s="25" t="s">
        <v>2249</v>
      </c>
      <c r="C2095" s="27" t="b">
        <f aca="false">FALSE()</f>
        <v>0</v>
      </c>
      <c r="D2095" s="26" t="n">
        <v>46225</v>
      </c>
      <c r="E2095" s="25" t="n">
        <v>2026</v>
      </c>
      <c r="F2095" s="25" t="n">
        <v>3</v>
      </c>
      <c r="G2095" s="25" t="n">
        <v>7</v>
      </c>
    </row>
    <row r="2096" customFormat="false" ht="15" hidden="false" customHeight="false" outlineLevel="0" collapsed="false">
      <c r="A2096" s="25" t="n">
        <v>20260723</v>
      </c>
      <c r="B2096" s="25" t="s">
        <v>2249</v>
      </c>
      <c r="C2096" s="27" t="b">
        <f aca="false">FALSE()</f>
        <v>0</v>
      </c>
      <c r="D2096" s="26" t="n">
        <v>46226</v>
      </c>
      <c r="E2096" s="25" t="n">
        <v>2026</v>
      </c>
      <c r="F2096" s="25" t="n">
        <v>3</v>
      </c>
      <c r="G2096" s="25" t="n">
        <v>7</v>
      </c>
    </row>
    <row r="2097" customFormat="false" ht="15" hidden="false" customHeight="false" outlineLevel="0" collapsed="false">
      <c r="A2097" s="25" t="n">
        <v>20260724</v>
      </c>
      <c r="B2097" s="25" t="s">
        <v>2249</v>
      </c>
      <c r="C2097" s="27" t="b">
        <f aca="false">FALSE()</f>
        <v>0</v>
      </c>
      <c r="D2097" s="26" t="n">
        <v>46227</v>
      </c>
      <c r="E2097" s="25" t="n">
        <v>2026</v>
      </c>
      <c r="F2097" s="25" t="n">
        <v>3</v>
      </c>
      <c r="G2097" s="25" t="n">
        <v>7</v>
      </c>
    </row>
    <row r="2098" customFormat="false" ht="15" hidden="false" customHeight="false" outlineLevel="0" collapsed="false">
      <c r="A2098" s="25" t="n">
        <v>20260725</v>
      </c>
      <c r="B2098" s="25" t="s">
        <v>2249</v>
      </c>
      <c r="C2098" s="27" t="b">
        <f aca="false">TRUE()</f>
        <v>1</v>
      </c>
      <c r="D2098" s="26" t="n">
        <v>46228</v>
      </c>
      <c r="E2098" s="25" t="n">
        <v>2026</v>
      </c>
      <c r="F2098" s="25" t="n">
        <v>3</v>
      </c>
      <c r="G2098" s="25" t="n">
        <v>7</v>
      </c>
    </row>
    <row r="2099" customFormat="false" ht="15" hidden="false" customHeight="false" outlineLevel="0" collapsed="false">
      <c r="A2099" s="25" t="n">
        <v>20260726</v>
      </c>
      <c r="B2099" s="25" t="s">
        <v>2249</v>
      </c>
      <c r="C2099" s="27" t="b">
        <f aca="false">TRUE()</f>
        <v>1</v>
      </c>
      <c r="D2099" s="26" t="n">
        <v>46229</v>
      </c>
      <c r="E2099" s="25" t="n">
        <v>2026</v>
      </c>
      <c r="F2099" s="25" t="n">
        <v>3</v>
      </c>
      <c r="G2099" s="25" t="n">
        <v>7</v>
      </c>
    </row>
    <row r="2100" customFormat="false" ht="15" hidden="false" customHeight="false" outlineLevel="0" collapsed="false">
      <c r="A2100" s="25" t="n">
        <v>20260727</v>
      </c>
      <c r="B2100" s="25" t="s">
        <v>2249</v>
      </c>
      <c r="C2100" s="27" t="b">
        <f aca="false">FALSE()</f>
        <v>0</v>
      </c>
      <c r="D2100" s="26" t="n">
        <v>46230</v>
      </c>
      <c r="E2100" s="25" t="n">
        <v>2026</v>
      </c>
      <c r="F2100" s="25" t="n">
        <v>3</v>
      </c>
      <c r="G2100" s="25" t="n">
        <v>7</v>
      </c>
    </row>
    <row r="2101" customFormat="false" ht="15" hidden="false" customHeight="false" outlineLevel="0" collapsed="false">
      <c r="A2101" s="25" t="n">
        <v>20260728</v>
      </c>
      <c r="B2101" s="25" t="s">
        <v>2249</v>
      </c>
      <c r="C2101" s="27" t="b">
        <f aca="false">FALSE()</f>
        <v>0</v>
      </c>
      <c r="D2101" s="26" t="n">
        <v>46231</v>
      </c>
      <c r="E2101" s="25" t="n">
        <v>2026</v>
      </c>
      <c r="F2101" s="25" t="n">
        <v>3</v>
      </c>
      <c r="G2101" s="25" t="n">
        <v>7</v>
      </c>
    </row>
    <row r="2102" customFormat="false" ht="15" hidden="false" customHeight="false" outlineLevel="0" collapsed="false">
      <c r="A2102" s="25" t="n">
        <v>20260729</v>
      </c>
      <c r="B2102" s="25" t="s">
        <v>2249</v>
      </c>
      <c r="C2102" s="27" t="b">
        <f aca="false">FALSE()</f>
        <v>0</v>
      </c>
      <c r="D2102" s="26" t="n">
        <v>46232</v>
      </c>
      <c r="E2102" s="25" t="n">
        <v>2026</v>
      </c>
      <c r="F2102" s="25" t="n">
        <v>3</v>
      </c>
      <c r="G2102" s="25" t="n">
        <v>7</v>
      </c>
    </row>
    <row r="2103" customFormat="false" ht="15" hidden="false" customHeight="false" outlineLevel="0" collapsed="false">
      <c r="A2103" s="25" t="n">
        <v>20260730</v>
      </c>
      <c r="B2103" s="25" t="s">
        <v>2249</v>
      </c>
      <c r="C2103" s="27" t="b">
        <f aca="false">FALSE()</f>
        <v>0</v>
      </c>
      <c r="D2103" s="26" t="n">
        <v>46233</v>
      </c>
      <c r="E2103" s="25" t="n">
        <v>2026</v>
      </c>
      <c r="F2103" s="25" t="n">
        <v>3</v>
      </c>
      <c r="G2103" s="25" t="n">
        <v>7</v>
      </c>
    </row>
    <row r="2104" customFormat="false" ht="15" hidden="false" customHeight="false" outlineLevel="0" collapsed="false">
      <c r="A2104" s="25" t="n">
        <v>20260731</v>
      </c>
      <c r="B2104" s="25" t="s">
        <v>2249</v>
      </c>
      <c r="C2104" s="27" t="b">
        <f aca="false">FALSE()</f>
        <v>0</v>
      </c>
      <c r="D2104" s="26" t="n">
        <v>46234</v>
      </c>
      <c r="E2104" s="25" t="n">
        <v>2026</v>
      </c>
      <c r="F2104" s="25" t="n">
        <v>3</v>
      </c>
      <c r="G2104" s="25" t="n">
        <v>7</v>
      </c>
    </row>
    <row r="2105" customFormat="false" ht="15" hidden="false" customHeight="false" outlineLevel="0" collapsed="false">
      <c r="A2105" s="25" t="n">
        <v>20260801</v>
      </c>
      <c r="B2105" s="25" t="s">
        <v>2250</v>
      </c>
      <c r="C2105" s="27" t="b">
        <f aca="false">TRUE()</f>
        <v>1</v>
      </c>
      <c r="D2105" s="26" t="n">
        <v>46235</v>
      </c>
      <c r="E2105" s="25" t="n">
        <v>2026</v>
      </c>
      <c r="F2105" s="25" t="n">
        <v>3</v>
      </c>
      <c r="G2105" s="25" t="n">
        <v>8</v>
      </c>
    </row>
    <row r="2106" customFormat="false" ht="15" hidden="false" customHeight="false" outlineLevel="0" collapsed="false">
      <c r="A2106" s="25" t="n">
        <v>20260802</v>
      </c>
      <c r="B2106" s="25" t="s">
        <v>2250</v>
      </c>
      <c r="C2106" s="27" t="b">
        <f aca="false">TRUE()</f>
        <v>1</v>
      </c>
      <c r="D2106" s="26" t="n">
        <v>46236</v>
      </c>
      <c r="E2106" s="25" t="n">
        <v>2026</v>
      </c>
      <c r="F2106" s="25" t="n">
        <v>3</v>
      </c>
      <c r="G2106" s="25" t="n">
        <v>8</v>
      </c>
    </row>
    <row r="2107" customFormat="false" ht="15" hidden="false" customHeight="false" outlineLevel="0" collapsed="false">
      <c r="A2107" s="25" t="n">
        <v>20260803</v>
      </c>
      <c r="B2107" s="25" t="s">
        <v>2250</v>
      </c>
      <c r="C2107" s="27" t="b">
        <f aca="false">FALSE()</f>
        <v>0</v>
      </c>
      <c r="D2107" s="26" t="n">
        <v>46237</v>
      </c>
      <c r="E2107" s="25" t="n">
        <v>2026</v>
      </c>
      <c r="F2107" s="25" t="n">
        <v>3</v>
      </c>
      <c r="G2107" s="25" t="n">
        <v>8</v>
      </c>
    </row>
    <row r="2108" customFormat="false" ht="15" hidden="false" customHeight="false" outlineLevel="0" collapsed="false">
      <c r="A2108" s="25" t="n">
        <v>20260804</v>
      </c>
      <c r="B2108" s="25" t="s">
        <v>2250</v>
      </c>
      <c r="C2108" s="27" t="b">
        <f aca="false">FALSE()</f>
        <v>0</v>
      </c>
      <c r="D2108" s="26" t="n">
        <v>46238</v>
      </c>
      <c r="E2108" s="25" t="n">
        <v>2026</v>
      </c>
      <c r="F2108" s="25" t="n">
        <v>3</v>
      </c>
      <c r="G2108" s="25" t="n">
        <v>8</v>
      </c>
    </row>
    <row r="2109" customFormat="false" ht="15" hidden="false" customHeight="false" outlineLevel="0" collapsed="false">
      <c r="A2109" s="25" t="n">
        <v>20260805</v>
      </c>
      <c r="B2109" s="25" t="s">
        <v>2250</v>
      </c>
      <c r="C2109" s="27" t="b">
        <f aca="false">FALSE()</f>
        <v>0</v>
      </c>
      <c r="D2109" s="26" t="n">
        <v>46239</v>
      </c>
      <c r="E2109" s="25" t="n">
        <v>2026</v>
      </c>
      <c r="F2109" s="25" t="n">
        <v>3</v>
      </c>
      <c r="G2109" s="25" t="n">
        <v>8</v>
      </c>
    </row>
    <row r="2110" customFormat="false" ht="15" hidden="false" customHeight="false" outlineLevel="0" collapsed="false">
      <c r="A2110" s="25" t="n">
        <v>20260806</v>
      </c>
      <c r="B2110" s="25" t="s">
        <v>2250</v>
      </c>
      <c r="C2110" s="27" t="b">
        <f aca="false">FALSE()</f>
        <v>0</v>
      </c>
      <c r="D2110" s="26" t="n">
        <v>46240</v>
      </c>
      <c r="E2110" s="25" t="n">
        <v>2026</v>
      </c>
      <c r="F2110" s="25" t="n">
        <v>3</v>
      </c>
      <c r="G2110" s="25" t="n">
        <v>8</v>
      </c>
    </row>
    <row r="2111" customFormat="false" ht="15" hidden="false" customHeight="false" outlineLevel="0" collapsed="false">
      <c r="A2111" s="25" t="n">
        <v>20260807</v>
      </c>
      <c r="B2111" s="25" t="s">
        <v>2250</v>
      </c>
      <c r="C2111" s="27" t="b">
        <f aca="false">FALSE()</f>
        <v>0</v>
      </c>
      <c r="D2111" s="26" t="n">
        <v>46241</v>
      </c>
      <c r="E2111" s="25" t="n">
        <v>2026</v>
      </c>
      <c r="F2111" s="25" t="n">
        <v>3</v>
      </c>
      <c r="G2111" s="25" t="n">
        <v>8</v>
      </c>
    </row>
    <row r="2112" customFormat="false" ht="15" hidden="false" customHeight="false" outlineLevel="0" collapsed="false">
      <c r="A2112" s="25" t="n">
        <v>20260808</v>
      </c>
      <c r="B2112" s="25" t="s">
        <v>2250</v>
      </c>
      <c r="C2112" s="27" t="b">
        <f aca="false">TRUE()</f>
        <v>1</v>
      </c>
      <c r="D2112" s="26" t="n">
        <v>46242</v>
      </c>
      <c r="E2112" s="25" t="n">
        <v>2026</v>
      </c>
      <c r="F2112" s="25" t="n">
        <v>3</v>
      </c>
      <c r="G2112" s="25" t="n">
        <v>8</v>
      </c>
    </row>
    <row r="2113" customFormat="false" ht="15" hidden="false" customHeight="false" outlineLevel="0" collapsed="false">
      <c r="A2113" s="25" t="n">
        <v>20260809</v>
      </c>
      <c r="B2113" s="25" t="s">
        <v>2250</v>
      </c>
      <c r="C2113" s="27" t="b">
        <f aca="false">TRUE()</f>
        <v>1</v>
      </c>
      <c r="D2113" s="26" t="n">
        <v>46243</v>
      </c>
      <c r="E2113" s="25" t="n">
        <v>2026</v>
      </c>
      <c r="F2113" s="25" t="n">
        <v>3</v>
      </c>
      <c r="G2113" s="25" t="n">
        <v>8</v>
      </c>
    </row>
    <row r="2114" customFormat="false" ht="15" hidden="false" customHeight="false" outlineLevel="0" collapsed="false">
      <c r="A2114" s="25" t="n">
        <v>20260810</v>
      </c>
      <c r="B2114" s="25" t="s">
        <v>2250</v>
      </c>
      <c r="C2114" s="27" t="b">
        <f aca="false">FALSE()</f>
        <v>0</v>
      </c>
      <c r="D2114" s="26" t="n">
        <v>46244</v>
      </c>
      <c r="E2114" s="25" t="n">
        <v>2026</v>
      </c>
      <c r="F2114" s="25" t="n">
        <v>3</v>
      </c>
      <c r="G2114" s="25" t="n">
        <v>8</v>
      </c>
    </row>
    <row r="2115" customFormat="false" ht="15" hidden="false" customHeight="false" outlineLevel="0" collapsed="false">
      <c r="A2115" s="25" t="n">
        <v>20260811</v>
      </c>
      <c r="B2115" s="25" t="s">
        <v>2250</v>
      </c>
      <c r="C2115" s="27" t="b">
        <f aca="false">FALSE()</f>
        <v>0</v>
      </c>
      <c r="D2115" s="26" t="n">
        <v>46245</v>
      </c>
      <c r="E2115" s="25" t="n">
        <v>2026</v>
      </c>
      <c r="F2115" s="25" t="n">
        <v>3</v>
      </c>
      <c r="G2115" s="25" t="n">
        <v>8</v>
      </c>
    </row>
    <row r="2116" customFormat="false" ht="15" hidden="false" customHeight="false" outlineLevel="0" collapsed="false">
      <c r="A2116" s="25" t="n">
        <v>20260812</v>
      </c>
      <c r="B2116" s="25" t="s">
        <v>2250</v>
      </c>
      <c r="C2116" s="27" t="b">
        <f aca="false">FALSE()</f>
        <v>0</v>
      </c>
      <c r="D2116" s="26" t="n">
        <v>46246</v>
      </c>
      <c r="E2116" s="25" t="n">
        <v>2026</v>
      </c>
      <c r="F2116" s="25" t="n">
        <v>3</v>
      </c>
      <c r="G2116" s="25" t="n">
        <v>8</v>
      </c>
    </row>
    <row r="2117" customFormat="false" ht="15" hidden="false" customHeight="false" outlineLevel="0" collapsed="false">
      <c r="A2117" s="25" t="n">
        <v>20260813</v>
      </c>
      <c r="B2117" s="25" t="s">
        <v>2250</v>
      </c>
      <c r="C2117" s="27" t="b">
        <f aca="false">FALSE()</f>
        <v>0</v>
      </c>
      <c r="D2117" s="26" t="n">
        <v>46247</v>
      </c>
      <c r="E2117" s="25" t="n">
        <v>2026</v>
      </c>
      <c r="F2117" s="25" t="n">
        <v>3</v>
      </c>
      <c r="G2117" s="25" t="n">
        <v>8</v>
      </c>
    </row>
    <row r="2118" customFormat="false" ht="15" hidden="false" customHeight="false" outlineLevel="0" collapsed="false">
      <c r="A2118" s="25" t="n">
        <v>20260814</v>
      </c>
      <c r="B2118" s="25" t="s">
        <v>2250</v>
      </c>
      <c r="C2118" s="27" t="b">
        <f aca="false">FALSE()</f>
        <v>0</v>
      </c>
      <c r="D2118" s="26" t="n">
        <v>46248</v>
      </c>
      <c r="E2118" s="25" t="n">
        <v>2026</v>
      </c>
      <c r="F2118" s="25" t="n">
        <v>3</v>
      </c>
      <c r="G2118" s="25" t="n">
        <v>8</v>
      </c>
    </row>
    <row r="2119" customFormat="false" ht="15" hidden="false" customHeight="false" outlineLevel="0" collapsed="false">
      <c r="A2119" s="25" t="n">
        <v>20260815</v>
      </c>
      <c r="B2119" s="25" t="s">
        <v>2250</v>
      </c>
      <c r="C2119" s="27" t="b">
        <f aca="false">TRUE()</f>
        <v>1</v>
      </c>
      <c r="D2119" s="26" t="n">
        <v>46249</v>
      </c>
      <c r="E2119" s="25" t="n">
        <v>2026</v>
      </c>
      <c r="F2119" s="25" t="n">
        <v>3</v>
      </c>
      <c r="G2119" s="25" t="n">
        <v>8</v>
      </c>
    </row>
    <row r="2120" customFormat="false" ht="15" hidden="false" customHeight="false" outlineLevel="0" collapsed="false">
      <c r="A2120" s="25" t="n">
        <v>20260816</v>
      </c>
      <c r="B2120" s="25" t="s">
        <v>2250</v>
      </c>
      <c r="C2120" s="27" t="b">
        <f aca="false">TRUE()</f>
        <v>1</v>
      </c>
      <c r="D2120" s="26" t="n">
        <v>46250</v>
      </c>
      <c r="E2120" s="25" t="n">
        <v>2026</v>
      </c>
      <c r="F2120" s="25" t="n">
        <v>3</v>
      </c>
      <c r="G2120" s="25" t="n">
        <v>8</v>
      </c>
    </row>
    <row r="2121" customFormat="false" ht="15" hidden="false" customHeight="false" outlineLevel="0" collapsed="false">
      <c r="A2121" s="25" t="n">
        <v>20260817</v>
      </c>
      <c r="B2121" s="25" t="s">
        <v>2250</v>
      </c>
      <c r="C2121" s="27" t="b">
        <f aca="false">FALSE()</f>
        <v>0</v>
      </c>
      <c r="D2121" s="26" t="n">
        <v>46251</v>
      </c>
      <c r="E2121" s="25" t="n">
        <v>2026</v>
      </c>
      <c r="F2121" s="25" t="n">
        <v>3</v>
      </c>
      <c r="G2121" s="25" t="n">
        <v>8</v>
      </c>
    </row>
    <row r="2122" customFormat="false" ht="15" hidden="false" customHeight="false" outlineLevel="0" collapsed="false">
      <c r="A2122" s="25" t="n">
        <v>20260818</v>
      </c>
      <c r="B2122" s="25" t="s">
        <v>2250</v>
      </c>
      <c r="C2122" s="27" t="b">
        <f aca="false">FALSE()</f>
        <v>0</v>
      </c>
      <c r="D2122" s="26" t="n">
        <v>46252</v>
      </c>
      <c r="E2122" s="25" t="n">
        <v>2026</v>
      </c>
      <c r="F2122" s="25" t="n">
        <v>3</v>
      </c>
      <c r="G2122" s="25" t="n">
        <v>8</v>
      </c>
    </row>
    <row r="2123" customFormat="false" ht="15" hidden="false" customHeight="false" outlineLevel="0" collapsed="false">
      <c r="A2123" s="25" t="n">
        <v>20260819</v>
      </c>
      <c r="B2123" s="25" t="s">
        <v>2250</v>
      </c>
      <c r="C2123" s="27" t="b">
        <f aca="false">FALSE()</f>
        <v>0</v>
      </c>
      <c r="D2123" s="26" t="n">
        <v>46253</v>
      </c>
      <c r="E2123" s="25" t="n">
        <v>2026</v>
      </c>
      <c r="F2123" s="25" t="n">
        <v>3</v>
      </c>
      <c r="G2123" s="25" t="n">
        <v>8</v>
      </c>
    </row>
    <row r="2124" customFormat="false" ht="15" hidden="false" customHeight="false" outlineLevel="0" collapsed="false">
      <c r="A2124" s="25" t="n">
        <v>20260820</v>
      </c>
      <c r="B2124" s="25" t="s">
        <v>2250</v>
      </c>
      <c r="C2124" s="27" t="b">
        <f aca="false">FALSE()</f>
        <v>0</v>
      </c>
      <c r="D2124" s="26" t="n">
        <v>46254</v>
      </c>
      <c r="E2124" s="25" t="n">
        <v>2026</v>
      </c>
      <c r="F2124" s="25" t="n">
        <v>3</v>
      </c>
      <c r="G2124" s="25" t="n">
        <v>8</v>
      </c>
    </row>
    <row r="2125" customFormat="false" ht="15" hidden="false" customHeight="false" outlineLevel="0" collapsed="false">
      <c r="A2125" s="25" t="n">
        <v>20260821</v>
      </c>
      <c r="B2125" s="25" t="s">
        <v>2250</v>
      </c>
      <c r="C2125" s="27" t="b">
        <f aca="false">FALSE()</f>
        <v>0</v>
      </c>
      <c r="D2125" s="26" t="n">
        <v>46255</v>
      </c>
      <c r="E2125" s="25" t="n">
        <v>2026</v>
      </c>
      <c r="F2125" s="25" t="n">
        <v>3</v>
      </c>
      <c r="G2125" s="25" t="n">
        <v>8</v>
      </c>
    </row>
    <row r="2126" customFormat="false" ht="15" hidden="false" customHeight="false" outlineLevel="0" collapsed="false">
      <c r="A2126" s="25" t="n">
        <v>20260822</v>
      </c>
      <c r="B2126" s="25" t="s">
        <v>2250</v>
      </c>
      <c r="C2126" s="27" t="b">
        <f aca="false">TRUE()</f>
        <v>1</v>
      </c>
      <c r="D2126" s="26" t="n">
        <v>46256</v>
      </c>
      <c r="E2126" s="25" t="n">
        <v>2026</v>
      </c>
      <c r="F2126" s="25" t="n">
        <v>3</v>
      </c>
      <c r="G2126" s="25" t="n">
        <v>8</v>
      </c>
    </row>
    <row r="2127" customFormat="false" ht="15" hidden="false" customHeight="false" outlineLevel="0" collapsed="false">
      <c r="A2127" s="25" t="n">
        <v>20260823</v>
      </c>
      <c r="B2127" s="25" t="s">
        <v>2250</v>
      </c>
      <c r="C2127" s="27" t="b">
        <f aca="false">TRUE()</f>
        <v>1</v>
      </c>
      <c r="D2127" s="26" t="n">
        <v>46257</v>
      </c>
      <c r="E2127" s="25" t="n">
        <v>2026</v>
      </c>
      <c r="F2127" s="25" t="n">
        <v>3</v>
      </c>
      <c r="G2127" s="25" t="n">
        <v>8</v>
      </c>
    </row>
    <row r="2128" customFormat="false" ht="15" hidden="false" customHeight="false" outlineLevel="0" collapsed="false">
      <c r="A2128" s="25" t="n">
        <v>20260824</v>
      </c>
      <c r="B2128" s="25" t="s">
        <v>2250</v>
      </c>
      <c r="C2128" s="27" t="b">
        <f aca="false">FALSE()</f>
        <v>0</v>
      </c>
      <c r="D2128" s="26" t="n">
        <v>46258</v>
      </c>
      <c r="E2128" s="25" t="n">
        <v>2026</v>
      </c>
      <c r="F2128" s="25" t="n">
        <v>3</v>
      </c>
      <c r="G2128" s="25" t="n">
        <v>8</v>
      </c>
    </row>
    <row r="2129" customFormat="false" ht="15" hidden="false" customHeight="false" outlineLevel="0" collapsed="false">
      <c r="A2129" s="25" t="n">
        <v>20260825</v>
      </c>
      <c r="B2129" s="25" t="s">
        <v>2250</v>
      </c>
      <c r="C2129" s="27" t="b">
        <f aca="false">FALSE()</f>
        <v>0</v>
      </c>
      <c r="D2129" s="26" t="n">
        <v>46259</v>
      </c>
      <c r="E2129" s="25" t="n">
        <v>2026</v>
      </c>
      <c r="F2129" s="25" t="n">
        <v>3</v>
      </c>
      <c r="G2129" s="25" t="n">
        <v>8</v>
      </c>
    </row>
    <row r="2130" customFormat="false" ht="15" hidden="false" customHeight="false" outlineLevel="0" collapsed="false">
      <c r="A2130" s="25" t="n">
        <v>20260826</v>
      </c>
      <c r="B2130" s="25" t="s">
        <v>2250</v>
      </c>
      <c r="C2130" s="27" t="b">
        <f aca="false">FALSE()</f>
        <v>0</v>
      </c>
      <c r="D2130" s="26" t="n">
        <v>46260</v>
      </c>
      <c r="E2130" s="25" t="n">
        <v>2026</v>
      </c>
      <c r="F2130" s="25" t="n">
        <v>3</v>
      </c>
      <c r="G2130" s="25" t="n">
        <v>8</v>
      </c>
    </row>
    <row r="2131" customFormat="false" ht="15" hidden="false" customHeight="false" outlineLevel="0" collapsed="false">
      <c r="A2131" s="25" t="n">
        <v>20260827</v>
      </c>
      <c r="B2131" s="25" t="s">
        <v>2250</v>
      </c>
      <c r="C2131" s="27" t="b">
        <f aca="false">FALSE()</f>
        <v>0</v>
      </c>
      <c r="D2131" s="26" t="n">
        <v>46261</v>
      </c>
      <c r="E2131" s="25" t="n">
        <v>2026</v>
      </c>
      <c r="F2131" s="25" t="n">
        <v>3</v>
      </c>
      <c r="G2131" s="25" t="n">
        <v>8</v>
      </c>
    </row>
    <row r="2132" customFormat="false" ht="15" hidden="false" customHeight="false" outlineLevel="0" collapsed="false">
      <c r="A2132" s="25" t="n">
        <v>20260828</v>
      </c>
      <c r="B2132" s="25" t="s">
        <v>2250</v>
      </c>
      <c r="C2132" s="27" t="b">
        <f aca="false">FALSE()</f>
        <v>0</v>
      </c>
      <c r="D2132" s="26" t="n">
        <v>46262</v>
      </c>
      <c r="E2132" s="25" t="n">
        <v>2026</v>
      </c>
      <c r="F2132" s="25" t="n">
        <v>3</v>
      </c>
      <c r="G2132" s="25" t="n">
        <v>8</v>
      </c>
    </row>
    <row r="2133" customFormat="false" ht="15" hidden="false" customHeight="false" outlineLevel="0" collapsed="false">
      <c r="A2133" s="25" t="n">
        <v>20260829</v>
      </c>
      <c r="B2133" s="25" t="s">
        <v>2250</v>
      </c>
      <c r="C2133" s="27" t="b">
        <f aca="false">TRUE()</f>
        <v>1</v>
      </c>
      <c r="D2133" s="26" t="n">
        <v>46263</v>
      </c>
      <c r="E2133" s="25" t="n">
        <v>2026</v>
      </c>
      <c r="F2133" s="25" t="n">
        <v>3</v>
      </c>
      <c r="G2133" s="25" t="n">
        <v>8</v>
      </c>
    </row>
    <row r="2134" customFormat="false" ht="15" hidden="false" customHeight="false" outlineLevel="0" collapsed="false">
      <c r="A2134" s="25" t="n">
        <v>20260830</v>
      </c>
      <c r="B2134" s="25" t="s">
        <v>2250</v>
      </c>
      <c r="C2134" s="27" t="b">
        <f aca="false">TRUE()</f>
        <v>1</v>
      </c>
      <c r="D2134" s="26" t="n">
        <v>46264</v>
      </c>
      <c r="E2134" s="25" t="n">
        <v>2026</v>
      </c>
      <c r="F2134" s="25" t="n">
        <v>3</v>
      </c>
      <c r="G2134" s="25" t="n">
        <v>8</v>
      </c>
    </row>
    <row r="2135" customFormat="false" ht="15" hidden="false" customHeight="false" outlineLevel="0" collapsed="false">
      <c r="A2135" s="25" t="n">
        <v>20260831</v>
      </c>
      <c r="B2135" s="25" t="s">
        <v>2250</v>
      </c>
      <c r="C2135" s="27" t="b">
        <f aca="false">FALSE()</f>
        <v>0</v>
      </c>
      <c r="D2135" s="26" t="n">
        <v>46265</v>
      </c>
      <c r="E2135" s="25" t="n">
        <v>2026</v>
      </c>
      <c r="F2135" s="25" t="n">
        <v>3</v>
      </c>
      <c r="G2135" s="25" t="n">
        <v>8</v>
      </c>
    </row>
    <row r="2136" customFormat="false" ht="15" hidden="false" customHeight="false" outlineLevel="0" collapsed="false">
      <c r="A2136" s="25" t="n">
        <v>20260901</v>
      </c>
      <c r="B2136" s="25" t="s">
        <v>2251</v>
      </c>
      <c r="C2136" s="27" t="b">
        <f aca="false">FALSE()</f>
        <v>0</v>
      </c>
      <c r="D2136" s="26" t="n">
        <v>46266</v>
      </c>
      <c r="E2136" s="25" t="n">
        <v>2026</v>
      </c>
      <c r="F2136" s="25" t="n">
        <v>3</v>
      </c>
      <c r="G2136" s="25" t="n">
        <v>9</v>
      </c>
    </row>
    <row r="2137" customFormat="false" ht="15" hidden="false" customHeight="false" outlineLevel="0" collapsed="false">
      <c r="A2137" s="25" t="n">
        <v>20260902</v>
      </c>
      <c r="B2137" s="25" t="s">
        <v>2251</v>
      </c>
      <c r="C2137" s="27" t="b">
        <f aca="false">FALSE()</f>
        <v>0</v>
      </c>
      <c r="D2137" s="26" t="n">
        <v>46267</v>
      </c>
      <c r="E2137" s="25" t="n">
        <v>2026</v>
      </c>
      <c r="F2137" s="25" t="n">
        <v>3</v>
      </c>
      <c r="G2137" s="25" t="n">
        <v>9</v>
      </c>
    </row>
    <row r="2138" customFormat="false" ht="15" hidden="false" customHeight="false" outlineLevel="0" collapsed="false">
      <c r="A2138" s="25" t="n">
        <v>20260903</v>
      </c>
      <c r="B2138" s="25" t="s">
        <v>2251</v>
      </c>
      <c r="C2138" s="27" t="b">
        <f aca="false">FALSE()</f>
        <v>0</v>
      </c>
      <c r="D2138" s="26" t="n">
        <v>46268</v>
      </c>
      <c r="E2138" s="25" t="n">
        <v>2026</v>
      </c>
      <c r="F2138" s="25" t="n">
        <v>3</v>
      </c>
      <c r="G2138" s="25" t="n">
        <v>9</v>
      </c>
    </row>
    <row r="2139" customFormat="false" ht="15" hidden="false" customHeight="false" outlineLevel="0" collapsed="false">
      <c r="A2139" s="25" t="n">
        <v>20260904</v>
      </c>
      <c r="B2139" s="25" t="s">
        <v>2251</v>
      </c>
      <c r="C2139" s="27" t="b">
        <f aca="false">FALSE()</f>
        <v>0</v>
      </c>
      <c r="D2139" s="26" t="n">
        <v>46269</v>
      </c>
      <c r="E2139" s="25" t="n">
        <v>2026</v>
      </c>
      <c r="F2139" s="25" t="n">
        <v>3</v>
      </c>
      <c r="G2139" s="25" t="n">
        <v>9</v>
      </c>
    </row>
    <row r="2140" customFormat="false" ht="15" hidden="false" customHeight="false" outlineLevel="0" collapsed="false">
      <c r="A2140" s="25" t="n">
        <v>20260905</v>
      </c>
      <c r="B2140" s="25" t="s">
        <v>2251</v>
      </c>
      <c r="C2140" s="27" t="b">
        <f aca="false">TRUE()</f>
        <v>1</v>
      </c>
      <c r="D2140" s="26" t="n">
        <v>46270</v>
      </c>
      <c r="E2140" s="25" t="n">
        <v>2026</v>
      </c>
      <c r="F2140" s="25" t="n">
        <v>3</v>
      </c>
      <c r="G2140" s="25" t="n">
        <v>9</v>
      </c>
    </row>
    <row r="2141" customFormat="false" ht="15" hidden="false" customHeight="false" outlineLevel="0" collapsed="false">
      <c r="A2141" s="25" t="n">
        <v>20260906</v>
      </c>
      <c r="B2141" s="25" t="s">
        <v>2251</v>
      </c>
      <c r="C2141" s="27" t="b">
        <f aca="false">TRUE()</f>
        <v>1</v>
      </c>
      <c r="D2141" s="26" t="n">
        <v>46271</v>
      </c>
      <c r="E2141" s="25" t="n">
        <v>2026</v>
      </c>
      <c r="F2141" s="25" t="n">
        <v>3</v>
      </c>
      <c r="G2141" s="25" t="n">
        <v>9</v>
      </c>
    </row>
    <row r="2142" customFormat="false" ht="15" hidden="false" customHeight="false" outlineLevel="0" collapsed="false">
      <c r="A2142" s="25" t="n">
        <v>20260907</v>
      </c>
      <c r="B2142" s="25" t="s">
        <v>2251</v>
      </c>
      <c r="C2142" s="27" t="b">
        <f aca="false">FALSE()</f>
        <v>0</v>
      </c>
      <c r="D2142" s="26" t="n">
        <v>46272</v>
      </c>
      <c r="E2142" s="25" t="n">
        <v>2026</v>
      </c>
      <c r="F2142" s="25" t="n">
        <v>3</v>
      </c>
      <c r="G2142" s="25" t="n">
        <v>9</v>
      </c>
    </row>
    <row r="2143" customFormat="false" ht="15" hidden="false" customHeight="false" outlineLevel="0" collapsed="false">
      <c r="A2143" s="25" t="n">
        <v>20260908</v>
      </c>
      <c r="B2143" s="25" t="s">
        <v>2251</v>
      </c>
      <c r="C2143" s="27" t="b">
        <f aca="false">FALSE()</f>
        <v>0</v>
      </c>
      <c r="D2143" s="26" t="n">
        <v>46273</v>
      </c>
      <c r="E2143" s="25" t="n">
        <v>2026</v>
      </c>
      <c r="F2143" s="25" t="n">
        <v>3</v>
      </c>
      <c r="G2143" s="25" t="n">
        <v>9</v>
      </c>
    </row>
    <row r="2144" customFormat="false" ht="15" hidden="false" customHeight="false" outlineLevel="0" collapsed="false">
      <c r="A2144" s="25" t="n">
        <v>20260909</v>
      </c>
      <c r="B2144" s="25" t="s">
        <v>2251</v>
      </c>
      <c r="C2144" s="27" t="b">
        <f aca="false">FALSE()</f>
        <v>0</v>
      </c>
      <c r="D2144" s="26" t="n">
        <v>46274</v>
      </c>
      <c r="E2144" s="25" t="n">
        <v>2026</v>
      </c>
      <c r="F2144" s="25" t="n">
        <v>3</v>
      </c>
      <c r="G2144" s="25" t="n">
        <v>9</v>
      </c>
    </row>
    <row r="2145" customFormat="false" ht="15" hidden="false" customHeight="false" outlineLevel="0" collapsed="false">
      <c r="A2145" s="25" t="n">
        <v>20260910</v>
      </c>
      <c r="B2145" s="25" t="s">
        <v>2251</v>
      </c>
      <c r="C2145" s="27" t="b">
        <f aca="false">FALSE()</f>
        <v>0</v>
      </c>
      <c r="D2145" s="26" t="n">
        <v>46275</v>
      </c>
      <c r="E2145" s="25" t="n">
        <v>2026</v>
      </c>
      <c r="F2145" s="25" t="n">
        <v>3</v>
      </c>
      <c r="G2145" s="25" t="n">
        <v>9</v>
      </c>
    </row>
    <row r="2146" customFormat="false" ht="15" hidden="false" customHeight="false" outlineLevel="0" collapsed="false">
      <c r="A2146" s="25" t="n">
        <v>20260911</v>
      </c>
      <c r="B2146" s="25" t="s">
        <v>2251</v>
      </c>
      <c r="C2146" s="27" t="b">
        <f aca="false">FALSE()</f>
        <v>0</v>
      </c>
      <c r="D2146" s="26" t="n">
        <v>46276</v>
      </c>
      <c r="E2146" s="25" t="n">
        <v>2026</v>
      </c>
      <c r="F2146" s="25" t="n">
        <v>3</v>
      </c>
      <c r="G2146" s="25" t="n">
        <v>9</v>
      </c>
    </row>
    <row r="2147" customFormat="false" ht="15" hidden="false" customHeight="false" outlineLevel="0" collapsed="false">
      <c r="A2147" s="25" t="n">
        <v>20260912</v>
      </c>
      <c r="B2147" s="25" t="s">
        <v>2251</v>
      </c>
      <c r="C2147" s="27" t="b">
        <f aca="false">TRUE()</f>
        <v>1</v>
      </c>
      <c r="D2147" s="26" t="n">
        <v>46277</v>
      </c>
      <c r="E2147" s="25" t="n">
        <v>2026</v>
      </c>
      <c r="F2147" s="25" t="n">
        <v>3</v>
      </c>
      <c r="G2147" s="25" t="n">
        <v>9</v>
      </c>
    </row>
    <row r="2148" customFormat="false" ht="15" hidden="false" customHeight="false" outlineLevel="0" collapsed="false">
      <c r="A2148" s="25" t="n">
        <v>20260913</v>
      </c>
      <c r="B2148" s="25" t="s">
        <v>2251</v>
      </c>
      <c r="C2148" s="27" t="b">
        <f aca="false">TRUE()</f>
        <v>1</v>
      </c>
      <c r="D2148" s="26" t="n">
        <v>46278</v>
      </c>
      <c r="E2148" s="25" t="n">
        <v>2026</v>
      </c>
      <c r="F2148" s="25" t="n">
        <v>3</v>
      </c>
      <c r="G2148" s="25" t="n">
        <v>9</v>
      </c>
    </row>
    <row r="2149" customFormat="false" ht="15" hidden="false" customHeight="false" outlineLevel="0" collapsed="false">
      <c r="A2149" s="25" t="n">
        <v>20260914</v>
      </c>
      <c r="B2149" s="25" t="s">
        <v>2251</v>
      </c>
      <c r="C2149" s="27" t="b">
        <f aca="false">FALSE()</f>
        <v>0</v>
      </c>
      <c r="D2149" s="26" t="n">
        <v>46279</v>
      </c>
      <c r="E2149" s="25" t="n">
        <v>2026</v>
      </c>
      <c r="F2149" s="25" t="n">
        <v>3</v>
      </c>
      <c r="G2149" s="25" t="n">
        <v>9</v>
      </c>
    </row>
    <row r="2150" customFormat="false" ht="15" hidden="false" customHeight="false" outlineLevel="0" collapsed="false">
      <c r="A2150" s="25" t="n">
        <v>20260915</v>
      </c>
      <c r="B2150" s="25" t="s">
        <v>2251</v>
      </c>
      <c r="C2150" s="27" t="b">
        <f aca="false">FALSE()</f>
        <v>0</v>
      </c>
      <c r="D2150" s="26" t="n">
        <v>46280</v>
      </c>
      <c r="E2150" s="25" t="n">
        <v>2026</v>
      </c>
      <c r="F2150" s="25" t="n">
        <v>3</v>
      </c>
      <c r="G2150" s="25" t="n">
        <v>9</v>
      </c>
    </row>
    <row r="2151" customFormat="false" ht="15" hidden="false" customHeight="false" outlineLevel="0" collapsed="false">
      <c r="A2151" s="25" t="n">
        <v>20260916</v>
      </c>
      <c r="B2151" s="25" t="s">
        <v>2251</v>
      </c>
      <c r="C2151" s="27" t="b">
        <f aca="false">FALSE()</f>
        <v>0</v>
      </c>
      <c r="D2151" s="26" t="n">
        <v>46281</v>
      </c>
      <c r="E2151" s="25" t="n">
        <v>2026</v>
      </c>
      <c r="F2151" s="25" t="n">
        <v>3</v>
      </c>
      <c r="G2151" s="25" t="n">
        <v>9</v>
      </c>
    </row>
    <row r="2152" customFormat="false" ht="15" hidden="false" customHeight="false" outlineLevel="0" collapsed="false">
      <c r="A2152" s="25" t="n">
        <v>20260917</v>
      </c>
      <c r="B2152" s="25" t="s">
        <v>2251</v>
      </c>
      <c r="C2152" s="27" t="b">
        <f aca="false">FALSE()</f>
        <v>0</v>
      </c>
      <c r="D2152" s="26" t="n">
        <v>46282</v>
      </c>
      <c r="E2152" s="25" t="n">
        <v>2026</v>
      </c>
      <c r="F2152" s="25" t="n">
        <v>3</v>
      </c>
      <c r="G2152" s="25" t="n">
        <v>9</v>
      </c>
    </row>
    <row r="2153" customFormat="false" ht="15" hidden="false" customHeight="false" outlineLevel="0" collapsed="false">
      <c r="A2153" s="25" t="n">
        <v>20260918</v>
      </c>
      <c r="B2153" s="25" t="s">
        <v>2251</v>
      </c>
      <c r="C2153" s="27" t="b">
        <f aca="false">FALSE()</f>
        <v>0</v>
      </c>
      <c r="D2153" s="26" t="n">
        <v>46283</v>
      </c>
      <c r="E2153" s="25" t="n">
        <v>2026</v>
      </c>
      <c r="F2153" s="25" t="n">
        <v>3</v>
      </c>
      <c r="G2153" s="25" t="n">
        <v>9</v>
      </c>
    </row>
    <row r="2154" customFormat="false" ht="15" hidden="false" customHeight="false" outlineLevel="0" collapsed="false">
      <c r="A2154" s="25" t="n">
        <v>20260919</v>
      </c>
      <c r="B2154" s="25" t="s">
        <v>2251</v>
      </c>
      <c r="C2154" s="27" t="b">
        <f aca="false">TRUE()</f>
        <v>1</v>
      </c>
      <c r="D2154" s="26" t="n">
        <v>46284</v>
      </c>
      <c r="E2154" s="25" t="n">
        <v>2026</v>
      </c>
      <c r="F2154" s="25" t="n">
        <v>3</v>
      </c>
      <c r="G2154" s="25" t="n">
        <v>9</v>
      </c>
    </row>
    <row r="2155" customFormat="false" ht="15" hidden="false" customHeight="false" outlineLevel="0" collapsed="false">
      <c r="A2155" s="25" t="n">
        <v>20260920</v>
      </c>
      <c r="B2155" s="25" t="s">
        <v>2251</v>
      </c>
      <c r="C2155" s="27" t="b">
        <f aca="false">TRUE()</f>
        <v>1</v>
      </c>
      <c r="D2155" s="26" t="n">
        <v>46285</v>
      </c>
      <c r="E2155" s="25" t="n">
        <v>2026</v>
      </c>
      <c r="F2155" s="25" t="n">
        <v>3</v>
      </c>
      <c r="G2155" s="25" t="n">
        <v>9</v>
      </c>
    </row>
    <row r="2156" customFormat="false" ht="15" hidden="false" customHeight="false" outlineLevel="0" collapsed="false">
      <c r="A2156" s="25" t="n">
        <v>20260921</v>
      </c>
      <c r="B2156" s="25" t="s">
        <v>2251</v>
      </c>
      <c r="C2156" s="27" t="b">
        <f aca="false">FALSE()</f>
        <v>0</v>
      </c>
      <c r="D2156" s="26" t="n">
        <v>46286</v>
      </c>
      <c r="E2156" s="25" t="n">
        <v>2026</v>
      </c>
      <c r="F2156" s="25" t="n">
        <v>3</v>
      </c>
      <c r="G2156" s="25" t="n">
        <v>9</v>
      </c>
    </row>
    <row r="2157" customFormat="false" ht="15" hidden="false" customHeight="false" outlineLevel="0" collapsed="false">
      <c r="A2157" s="25" t="n">
        <v>20260922</v>
      </c>
      <c r="B2157" s="25" t="s">
        <v>2251</v>
      </c>
      <c r="C2157" s="27" t="b">
        <f aca="false">FALSE()</f>
        <v>0</v>
      </c>
      <c r="D2157" s="26" t="n">
        <v>46287</v>
      </c>
      <c r="E2157" s="25" t="n">
        <v>2026</v>
      </c>
      <c r="F2157" s="25" t="n">
        <v>3</v>
      </c>
      <c r="G2157" s="25" t="n">
        <v>9</v>
      </c>
    </row>
    <row r="2158" customFormat="false" ht="15" hidden="false" customHeight="false" outlineLevel="0" collapsed="false">
      <c r="A2158" s="25" t="n">
        <v>20260923</v>
      </c>
      <c r="B2158" s="25" t="s">
        <v>2251</v>
      </c>
      <c r="C2158" s="27" t="b">
        <f aca="false">FALSE()</f>
        <v>0</v>
      </c>
      <c r="D2158" s="26" t="n">
        <v>46288</v>
      </c>
      <c r="E2158" s="25" t="n">
        <v>2026</v>
      </c>
      <c r="F2158" s="25" t="n">
        <v>3</v>
      </c>
      <c r="G2158" s="25" t="n">
        <v>9</v>
      </c>
    </row>
    <row r="2159" customFormat="false" ht="15" hidden="false" customHeight="false" outlineLevel="0" collapsed="false">
      <c r="A2159" s="25" t="n">
        <v>20260924</v>
      </c>
      <c r="B2159" s="25" t="s">
        <v>2251</v>
      </c>
      <c r="C2159" s="27" t="b">
        <f aca="false">FALSE()</f>
        <v>0</v>
      </c>
      <c r="D2159" s="26" t="n">
        <v>46289</v>
      </c>
      <c r="E2159" s="25" t="n">
        <v>2026</v>
      </c>
      <c r="F2159" s="25" t="n">
        <v>3</v>
      </c>
      <c r="G2159" s="25" t="n">
        <v>9</v>
      </c>
    </row>
    <row r="2160" customFormat="false" ht="15" hidden="false" customHeight="false" outlineLevel="0" collapsed="false">
      <c r="A2160" s="25" t="n">
        <v>20260925</v>
      </c>
      <c r="B2160" s="25" t="s">
        <v>2251</v>
      </c>
      <c r="C2160" s="27" t="b">
        <f aca="false">FALSE()</f>
        <v>0</v>
      </c>
      <c r="D2160" s="26" t="n">
        <v>46290</v>
      </c>
      <c r="E2160" s="25" t="n">
        <v>2026</v>
      </c>
      <c r="F2160" s="25" t="n">
        <v>3</v>
      </c>
      <c r="G2160" s="25" t="n">
        <v>9</v>
      </c>
    </row>
    <row r="2161" customFormat="false" ht="15" hidden="false" customHeight="false" outlineLevel="0" collapsed="false">
      <c r="A2161" s="25" t="n">
        <v>20260926</v>
      </c>
      <c r="B2161" s="25" t="s">
        <v>2251</v>
      </c>
      <c r="C2161" s="27" t="b">
        <f aca="false">TRUE()</f>
        <v>1</v>
      </c>
      <c r="D2161" s="26" t="n">
        <v>46291</v>
      </c>
      <c r="E2161" s="25" t="n">
        <v>2026</v>
      </c>
      <c r="F2161" s="25" t="n">
        <v>3</v>
      </c>
      <c r="G2161" s="25" t="n">
        <v>9</v>
      </c>
    </row>
    <row r="2162" customFormat="false" ht="15" hidden="false" customHeight="false" outlineLevel="0" collapsed="false">
      <c r="A2162" s="25" t="n">
        <v>20260927</v>
      </c>
      <c r="B2162" s="25" t="s">
        <v>2251</v>
      </c>
      <c r="C2162" s="27" t="b">
        <f aca="false">TRUE()</f>
        <v>1</v>
      </c>
      <c r="D2162" s="26" t="n">
        <v>46292</v>
      </c>
      <c r="E2162" s="25" t="n">
        <v>2026</v>
      </c>
      <c r="F2162" s="25" t="n">
        <v>3</v>
      </c>
      <c r="G2162" s="25" t="n">
        <v>9</v>
      </c>
    </row>
    <row r="2163" customFormat="false" ht="15" hidden="false" customHeight="false" outlineLevel="0" collapsed="false">
      <c r="A2163" s="25" t="n">
        <v>20260928</v>
      </c>
      <c r="B2163" s="25" t="s">
        <v>2251</v>
      </c>
      <c r="C2163" s="27" t="b">
        <f aca="false">FALSE()</f>
        <v>0</v>
      </c>
      <c r="D2163" s="26" t="n">
        <v>46293</v>
      </c>
      <c r="E2163" s="25" t="n">
        <v>2026</v>
      </c>
      <c r="F2163" s="25" t="n">
        <v>3</v>
      </c>
      <c r="G2163" s="25" t="n">
        <v>9</v>
      </c>
    </row>
    <row r="2164" customFormat="false" ht="15" hidden="false" customHeight="false" outlineLevel="0" collapsed="false">
      <c r="A2164" s="25" t="n">
        <v>20260929</v>
      </c>
      <c r="B2164" s="25" t="s">
        <v>2251</v>
      </c>
      <c r="C2164" s="27" t="b">
        <f aca="false">FALSE()</f>
        <v>0</v>
      </c>
      <c r="D2164" s="26" t="n">
        <v>46294</v>
      </c>
      <c r="E2164" s="25" t="n">
        <v>2026</v>
      </c>
      <c r="F2164" s="25" t="n">
        <v>3</v>
      </c>
      <c r="G2164" s="25" t="n">
        <v>9</v>
      </c>
    </row>
    <row r="2165" customFormat="false" ht="15" hidden="false" customHeight="false" outlineLevel="0" collapsed="false">
      <c r="A2165" s="25" t="n">
        <v>20260930</v>
      </c>
      <c r="B2165" s="25" t="s">
        <v>2251</v>
      </c>
      <c r="C2165" s="27" t="b">
        <f aca="false">FALSE()</f>
        <v>0</v>
      </c>
      <c r="D2165" s="26" t="n">
        <v>46295</v>
      </c>
      <c r="E2165" s="25" t="n">
        <v>2026</v>
      </c>
      <c r="F2165" s="25" t="n">
        <v>3</v>
      </c>
      <c r="G2165" s="25" t="n">
        <v>9</v>
      </c>
    </row>
    <row r="2166" customFormat="false" ht="15" hidden="false" customHeight="false" outlineLevel="0" collapsed="false">
      <c r="A2166" s="25" t="n">
        <v>20261001</v>
      </c>
      <c r="B2166" s="25" t="s">
        <v>2240</v>
      </c>
      <c r="C2166" s="27" t="b">
        <f aca="false">FALSE()</f>
        <v>0</v>
      </c>
      <c r="D2166" s="26" t="n">
        <v>46296</v>
      </c>
      <c r="E2166" s="25" t="n">
        <v>2026</v>
      </c>
      <c r="F2166" s="25" t="n">
        <v>4</v>
      </c>
      <c r="G2166" s="25" t="n">
        <v>10</v>
      </c>
    </row>
    <row r="2167" customFormat="false" ht="15" hidden="false" customHeight="false" outlineLevel="0" collapsed="false">
      <c r="A2167" s="25" t="n">
        <v>20261002</v>
      </c>
      <c r="B2167" s="25" t="s">
        <v>2240</v>
      </c>
      <c r="C2167" s="27" t="b">
        <f aca="false">FALSE()</f>
        <v>0</v>
      </c>
      <c r="D2167" s="26" t="n">
        <v>46297</v>
      </c>
      <c r="E2167" s="25" t="n">
        <v>2026</v>
      </c>
      <c r="F2167" s="25" t="n">
        <v>4</v>
      </c>
      <c r="G2167" s="25" t="n">
        <v>10</v>
      </c>
    </row>
    <row r="2168" customFormat="false" ht="15" hidden="false" customHeight="false" outlineLevel="0" collapsed="false">
      <c r="A2168" s="25" t="n">
        <v>20261003</v>
      </c>
      <c r="B2168" s="25" t="s">
        <v>2240</v>
      </c>
      <c r="C2168" s="27" t="b">
        <f aca="false">TRUE()</f>
        <v>1</v>
      </c>
      <c r="D2168" s="26" t="n">
        <v>46298</v>
      </c>
      <c r="E2168" s="25" t="n">
        <v>2026</v>
      </c>
      <c r="F2168" s="25" t="n">
        <v>4</v>
      </c>
      <c r="G2168" s="25" t="n">
        <v>10</v>
      </c>
    </row>
    <row r="2169" customFormat="false" ht="15" hidden="false" customHeight="false" outlineLevel="0" collapsed="false">
      <c r="A2169" s="25" t="n">
        <v>20261004</v>
      </c>
      <c r="B2169" s="25" t="s">
        <v>2240</v>
      </c>
      <c r="C2169" s="27" t="b">
        <f aca="false">TRUE()</f>
        <v>1</v>
      </c>
      <c r="D2169" s="26" t="n">
        <v>46299</v>
      </c>
      <c r="E2169" s="25" t="n">
        <v>2026</v>
      </c>
      <c r="F2169" s="25" t="n">
        <v>4</v>
      </c>
      <c r="G2169" s="25" t="n">
        <v>10</v>
      </c>
    </row>
    <row r="2170" customFormat="false" ht="15" hidden="false" customHeight="false" outlineLevel="0" collapsed="false">
      <c r="A2170" s="25" t="n">
        <v>20261005</v>
      </c>
      <c r="B2170" s="25" t="s">
        <v>2240</v>
      </c>
      <c r="C2170" s="27" t="b">
        <f aca="false">FALSE()</f>
        <v>0</v>
      </c>
      <c r="D2170" s="26" t="n">
        <v>46300</v>
      </c>
      <c r="E2170" s="25" t="n">
        <v>2026</v>
      </c>
      <c r="F2170" s="25" t="n">
        <v>4</v>
      </c>
      <c r="G2170" s="25" t="n">
        <v>10</v>
      </c>
    </row>
    <row r="2171" customFormat="false" ht="15" hidden="false" customHeight="false" outlineLevel="0" collapsed="false">
      <c r="A2171" s="25" t="n">
        <v>20261006</v>
      </c>
      <c r="B2171" s="25" t="s">
        <v>2240</v>
      </c>
      <c r="C2171" s="27" t="b">
        <f aca="false">FALSE()</f>
        <v>0</v>
      </c>
      <c r="D2171" s="26" t="n">
        <v>46301</v>
      </c>
      <c r="E2171" s="25" t="n">
        <v>2026</v>
      </c>
      <c r="F2171" s="25" t="n">
        <v>4</v>
      </c>
      <c r="G2171" s="25" t="n">
        <v>10</v>
      </c>
    </row>
    <row r="2172" customFormat="false" ht="15" hidden="false" customHeight="false" outlineLevel="0" collapsed="false">
      <c r="A2172" s="25" t="n">
        <v>20261007</v>
      </c>
      <c r="B2172" s="25" t="s">
        <v>2240</v>
      </c>
      <c r="C2172" s="27" t="b">
        <f aca="false">FALSE()</f>
        <v>0</v>
      </c>
      <c r="D2172" s="26" t="n">
        <v>46302</v>
      </c>
      <c r="E2172" s="25" t="n">
        <v>2026</v>
      </c>
      <c r="F2172" s="25" t="n">
        <v>4</v>
      </c>
      <c r="G2172" s="25" t="n">
        <v>10</v>
      </c>
    </row>
    <row r="2173" customFormat="false" ht="15" hidden="false" customHeight="false" outlineLevel="0" collapsed="false">
      <c r="A2173" s="25" t="n">
        <v>20261008</v>
      </c>
      <c r="B2173" s="25" t="s">
        <v>2240</v>
      </c>
      <c r="C2173" s="27" t="b">
        <f aca="false">FALSE()</f>
        <v>0</v>
      </c>
      <c r="D2173" s="26" t="n">
        <v>46303</v>
      </c>
      <c r="E2173" s="25" t="n">
        <v>2026</v>
      </c>
      <c r="F2173" s="25" t="n">
        <v>4</v>
      </c>
      <c r="G2173" s="25" t="n">
        <v>10</v>
      </c>
    </row>
    <row r="2174" customFormat="false" ht="15" hidden="false" customHeight="false" outlineLevel="0" collapsed="false">
      <c r="A2174" s="25" t="n">
        <v>20261009</v>
      </c>
      <c r="B2174" s="25" t="s">
        <v>2240</v>
      </c>
      <c r="C2174" s="27" t="b">
        <f aca="false">FALSE()</f>
        <v>0</v>
      </c>
      <c r="D2174" s="26" t="n">
        <v>46304</v>
      </c>
      <c r="E2174" s="25" t="n">
        <v>2026</v>
      </c>
      <c r="F2174" s="25" t="n">
        <v>4</v>
      </c>
      <c r="G2174" s="25" t="n">
        <v>10</v>
      </c>
    </row>
    <row r="2175" customFormat="false" ht="15" hidden="false" customHeight="false" outlineLevel="0" collapsed="false">
      <c r="A2175" s="25" t="n">
        <v>20261010</v>
      </c>
      <c r="B2175" s="25" t="s">
        <v>2240</v>
      </c>
      <c r="C2175" s="27" t="b">
        <f aca="false">TRUE()</f>
        <v>1</v>
      </c>
      <c r="D2175" s="26" t="n">
        <v>46305</v>
      </c>
      <c r="E2175" s="25" t="n">
        <v>2026</v>
      </c>
      <c r="F2175" s="25" t="n">
        <v>4</v>
      </c>
      <c r="G2175" s="25" t="n">
        <v>10</v>
      </c>
    </row>
    <row r="2176" customFormat="false" ht="15" hidden="false" customHeight="false" outlineLevel="0" collapsed="false">
      <c r="A2176" s="25" t="n">
        <v>20261011</v>
      </c>
      <c r="B2176" s="25" t="s">
        <v>2240</v>
      </c>
      <c r="C2176" s="27" t="b">
        <f aca="false">TRUE()</f>
        <v>1</v>
      </c>
      <c r="D2176" s="26" t="n">
        <v>46306</v>
      </c>
      <c r="E2176" s="25" t="n">
        <v>2026</v>
      </c>
      <c r="F2176" s="25" t="n">
        <v>4</v>
      </c>
      <c r="G2176" s="25" t="n">
        <v>10</v>
      </c>
    </row>
    <row r="2177" customFormat="false" ht="15" hidden="false" customHeight="false" outlineLevel="0" collapsed="false">
      <c r="A2177" s="25" t="n">
        <v>20261012</v>
      </c>
      <c r="B2177" s="25" t="s">
        <v>2240</v>
      </c>
      <c r="C2177" s="27" t="b">
        <f aca="false">FALSE()</f>
        <v>0</v>
      </c>
      <c r="D2177" s="26" t="n">
        <v>46307</v>
      </c>
      <c r="E2177" s="25" t="n">
        <v>2026</v>
      </c>
      <c r="F2177" s="25" t="n">
        <v>4</v>
      </c>
      <c r="G2177" s="25" t="n">
        <v>10</v>
      </c>
    </row>
    <row r="2178" customFormat="false" ht="15" hidden="false" customHeight="false" outlineLevel="0" collapsed="false">
      <c r="A2178" s="25" t="n">
        <v>20261013</v>
      </c>
      <c r="B2178" s="25" t="s">
        <v>2240</v>
      </c>
      <c r="C2178" s="27" t="b">
        <f aca="false">FALSE()</f>
        <v>0</v>
      </c>
      <c r="D2178" s="26" t="n">
        <v>46308</v>
      </c>
      <c r="E2178" s="25" t="n">
        <v>2026</v>
      </c>
      <c r="F2178" s="25" t="n">
        <v>4</v>
      </c>
      <c r="G2178" s="25" t="n">
        <v>10</v>
      </c>
    </row>
    <row r="2179" customFormat="false" ht="15" hidden="false" customHeight="false" outlineLevel="0" collapsed="false">
      <c r="A2179" s="25" t="n">
        <v>20261014</v>
      </c>
      <c r="B2179" s="25" t="s">
        <v>2240</v>
      </c>
      <c r="C2179" s="27" t="b">
        <f aca="false">FALSE()</f>
        <v>0</v>
      </c>
      <c r="D2179" s="26" t="n">
        <v>46309</v>
      </c>
      <c r="E2179" s="25" t="n">
        <v>2026</v>
      </c>
      <c r="F2179" s="25" t="n">
        <v>4</v>
      </c>
      <c r="G2179" s="25" t="n">
        <v>10</v>
      </c>
    </row>
    <row r="2180" customFormat="false" ht="15" hidden="false" customHeight="false" outlineLevel="0" collapsed="false">
      <c r="A2180" s="25" t="n">
        <v>20261015</v>
      </c>
      <c r="B2180" s="25" t="s">
        <v>2240</v>
      </c>
      <c r="C2180" s="27" t="b">
        <f aca="false">FALSE()</f>
        <v>0</v>
      </c>
      <c r="D2180" s="26" t="n">
        <v>46310</v>
      </c>
      <c r="E2180" s="25" t="n">
        <v>2026</v>
      </c>
      <c r="F2180" s="25" t="n">
        <v>4</v>
      </c>
      <c r="G2180" s="25" t="n">
        <v>10</v>
      </c>
    </row>
    <row r="2181" customFormat="false" ht="15" hidden="false" customHeight="false" outlineLevel="0" collapsed="false">
      <c r="A2181" s="25" t="n">
        <v>20261016</v>
      </c>
      <c r="B2181" s="25" t="s">
        <v>2240</v>
      </c>
      <c r="C2181" s="27" t="b">
        <f aca="false">FALSE()</f>
        <v>0</v>
      </c>
      <c r="D2181" s="26" t="n">
        <v>46311</v>
      </c>
      <c r="E2181" s="25" t="n">
        <v>2026</v>
      </c>
      <c r="F2181" s="25" t="n">
        <v>4</v>
      </c>
      <c r="G2181" s="25" t="n">
        <v>10</v>
      </c>
    </row>
    <row r="2182" customFormat="false" ht="15" hidden="false" customHeight="false" outlineLevel="0" collapsed="false">
      <c r="A2182" s="25" t="n">
        <v>20261017</v>
      </c>
      <c r="B2182" s="25" t="s">
        <v>2240</v>
      </c>
      <c r="C2182" s="27" t="b">
        <f aca="false">TRUE()</f>
        <v>1</v>
      </c>
      <c r="D2182" s="26" t="n">
        <v>46312</v>
      </c>
      <c r="E2182" s="25" t="n">
        <v>2026</v>
      </c>
      <c r="F2182" s="25" t="n">
        <v>4</v>
      </c>
      <c r="G2182" s="25" t="n">
        <v>10</v>
      </c>
    </row>
    <row r="2183" customFormat="false" ht="15" hidden="false" customHeight="false" outlineLevel="0" collapsed="false">
      <c r="A2183" s="25" t="n">
        <v>20261018</v>
      </c>
      <c r="B2183" s="25" t="s">
        <v>2240</v>
      </c>
      <c r="C2183" s="27" t="b">
        <f aca="false">TRUE()</f>
        <v>1</v>
      </c>
      <c r="D2183" s="26" t="n">
        <v>46313</v>
      </c>
      <c r="E2183" s="25" t="n">
        <v>2026</v>
      </c>
      <c r="F2183" s="25" t="n">
        <v>4</v>
      </c>
      <c r="G2183" s="25" t="n">
        <v>10</v>
      </c>
    </row>
    <row r="2184" customFormat="false" ht="15" hidden="false" customHeight="false" outlineLevel="0" collapsed="false">
      <c r="A2184" s="25" t="n">
        <v>20261019</v>
      </c>
      <c r="B2184" s="25" t="s">
        <v>2240</v>
      </c>
      <c r="C2184" s="27" t="b">
        <f aca="false">FALSE()</f>
        <v>0</v>
      </c>
      <c r="D2184" s="26" t="n">
        <v>46314</v>
      </c>
      <c r="E2184" s="25" t="n">
        <v>2026</v>
      </c>
      <c r="F2184" s="25" t="n">
        <v>4</v>
      </c>
      <c r="G2184" s="25" t="n">
        <v>10</v>
      </c>
    </row>
    <row r="2185" customFormat="false" ht="15" hidden="false" customHeight="false" outlineLevel="0" collapsed="false">
      <c r="A2185" s="25" t="n">
        <v>20261020</v>
      </c>
      <c r="B2185" s="25" t="s">
        <v>2240</v>
      </c>
      <c r="C2185" s="27" t="b">
        <f aca="false">FALSE()</f>
        <v>0</v>
      </c>
      <c r="D2185" s="26" t="n">
        <v>46315</v>
      </c>
      <c r="E2185" s="25" t="n">
        <v>2026</v>
      </c>
      <c r="F2185" s="25" t="n">
        <v>4</v>
      </c>
      <c r="G2185" s="25" t="n">
        <v>10</v>
      </c>
    </row>
    <row r="2186" customFormat="false" ht="15" hidden="false" customHeight="false" outlineLevel="0" collapsed="false">
      <c r="A2186" s="25" t="n">
        <v>20261021</v>
      </c>
      <c r="B2186" s="25" t="s">
        <v>2240</v>
      </c>
      <c r="C2186" s="27" t="b">
        <f aca="false">FALSE()</f>
        <v>0</v>
      </c>
      <c r="D2186" s="26" t="n">
        <v>46316</v>
      </c>
      <c r="E2186" s="25" t="n">
        <v>2026</v>
      </c>
      <c r="F2186" s="25" t="n">
        <v>4</v>
      </c>
      <c r="G2186" s="25" t="n">
        <v>10</v>
      </c>
    </row>
    <row r="2187" customFormat="false" ht="15" hidden="false" customHeight="false" outlineLevel="0" collapsed="false">
      <c r="A2187" s="25" t="n">
        <v>20261022</v>
      </c>
      <c r="B2187" s="25" t="s">
        <v>2240</v>
      </c>
      <c r="C2187" s="27" t="b">
        <f aca="false">FALSE()</f>
        <v>0</v>
      </c>
      <c r="D2187" s="26" t="n">
        <v>46317</v>
      </c>
      <c r="E2187" s="25" t="n">
        <v>2026</v>
      </c>
      <c r="F2187" s="25" t="n">
        <v>4</v>
      </c>
      <c r="G2187" s="25" t="n">
        <v>10</v>
      </c>
    </row>
    <row r="2188" customFormat="false" ht="15" hidden="false" customHeight="false" outlineLevel="0" collapsed="false">
      <c r="A2188" s="25" t="n">
        <v>20261023</v>
      </c>
      <c r="B2188" s="25" t="s">
        <v>2240</v>
      </c>
      <c r="C2188" s="27" t="b">
        <f aca="false">FALSE()</f>
        <v>0</v>
      </c>
      <c r="D2188" s="26" t="n">
        <v>46318</v>
      </c>
      <c r="E2188" s="25" t="n">
        <v>2026</v>
      </c>
      <c r="F2188" s="25" t="n">
        <v>4</v>
      </c>
      <c r="G2188" s="25" t="n">
        <v>10</v>
      </c>
    </row>
    <row r="2189" customFormat="false" ht="15" hidden="false" customHeight="false" outlineLevel="0" collapsed="false">
      <c r="A2189" s="25" t="n">
        <v>20261024</v>
      </c>
      <c r="B2189" s="25" t="s">
        <v>2240</v>
      </c>
      <c r="C2189" s="27" t="b">
        <f aca="false">TRUE()</f>
        <v>1</v>
      </c>
      <c r="D2189" s="26" t="n">
        <v>46319</v>
      </c>
      <c r="E2189" s="25" t="n">
        <v>2026</v>
      </c>
      <c r="F2189" s="25" t="n">
        <v>4</v>
      </c>
      <c r="G2189" s="25" t="n">
        <v>10</v>
      </c>
    </row>
    <row r="2190" customFormat="false" ht="15" hidden="false" customHeight="false" outlineLevel="0" collapsed="false">
      <c r="A2190" s="25" t="n">
        <v>20261025</v>
      </c>
      <c r="B2190" s="25" t="s">
        <v>2240</v>
      </c>
      <c r="C2190" s="27" t="b">
        <f aca="false">TRUE()</f>
        <v>1</v>
      </c>
      <c r="D2190" s="26" t="n">
        <v>46320</v>
      </c>
      <c r="E2190" s="25" t="n">
        <v>2026</v>
      </c>
      <c r="F2190" s="25" t="n">
        <v>4</v>
      </c>
      <c r="G2190" s="25" t="n">
        <v>10</v>
      </c>
    </row>
    <row r="2191" customFormat="false" ht="15" hidden="false" customHeight="false" outlineLevel="0" collapsed="false">
      <c r="A2191" s="25" t="n">
        <v>20261026</v>
      </c>
      <c r="B2191" s="25" t="s">
        <v>2240</v>
      </c>
      <c r="C2191" s="27" t="b">
        <f aca="false">FALSE()</f>
        <v>0</v>
      </c>
      <c r="D2191" s="26" t="n">
        <v>46321</v>
      </c>
      <c r="E2191" s="25" t="n">
        <v>2026</v>
      </c>
      <c r="F2191" s="25" t="n">
        <v>4</v>
      </c>
      <c r="G2191" s="25" t="n">
        <v>10</v>
      </c>
    </row>
    <row r="2192" customFormat="false" ht="15" hidden="false" customHeight="false" outlineLevel="0" collapsed="false">
      <c r="A2192" s="25" t="n">
        <v>20261027</v>
      </c>
      <c r="B2192" s="25" t="s">
        <v>2240</v>
      </c>
      <c r="C2192" s="27" t="b">
        <f aca="false">FALSE()</f>
        <v>0</v>
      </c>
      <c r="D2192" s="26" t="n">
        <v>46322</v>
      </c>
      <c r="E2192" s="25" t="n">
        <v>2026</v>
      </c>
      <c r="F2192" s="25" t="n">
        <v>4</v>
      </c>
      <c r="G2192" s="25" t="n">
        <v>10</v>
      </c>
    </row>
    <row r="2193" customFormat="false" ht="15" hidden="false" customHeight="false" outlineLevel="0" collapsed="false">
      <c r="A2193" s="25" t="n">
        <v>20261028</v>
      </c>
      <c r="B2193" s="25" t="s">
        <v>2240</v>
      </c>
      <c r="C2193" s="27" t="b">
        <f aca="false">FALSE()</f>
        <v>0</v>
      </c>
      <c r="D2193" s="26" t="n">
        <v>46323</v>
      </c>
      <c r="E2193" s="25" t="n">
        <v>2026</v>
      </c>
      <c r="F2193" s="25" t="n">
        <v>4</v>
      </c>
      <c r="G2193" s="25" t="n">
        <v>10</v>
      </c>
    </row>
    <row r="2194" customFormat="false" ht="15" hidden="false" customHeight="false" outlineLevel="0" collapsed="false">
      <c r="A2194" s="25" t="n">
        <v>20261029</v>
      </c>
      <c r="B2194" s="25" t="s">
        <v>2240</v>
      </c>
      <c r="C2194" s="27" t="b">
        <f aca="false">FALSE()</f>
        <v>0</v>
      </c>
      <c r="D2194" s="26" t="n">
        <v>46324</v>
      </c>
      <c r="E2194" s="25" t="n">
        <v>2026</v>
      </c>
      <c r="F2194" s="25" t="n">
        <v>4</v>
      </c>
      <c r="G2194" s="25" t="n">
        <v>10</v>
      </c>
    </row>
    <row r="2195" customFormat="false" ht="15" hidden="false" customHeight="false" outlineLevel="0" collapsed="false">
      <c r="A2195" s="25" t="n">
        <v>20261030</v>
      </c>
      <c r="B2195" s="25" t="s">
        <v>2240</v>
      </c>
      <c r="C2195" s="27" t="b">
        <f aca="false">FALSE()</f>
        <v>0</v>
      </c>
      <c r="D2195" s="26" t="n">
        <v>46325</v>
      </c>
      <c r="E2195" s="25" t="n">
        <v>2026</v>
      </c>
      <c r="F2195" s="25" t="n">
        <v>4</v>
      </c>
      <c r="G2195" s="25" t="n">
        <v>10</v>
      </c>
    </row>
    <row r="2196" customFormat="false" ht="15" hidden="false" customHeight="false" outlineLevel="0" collapsed="false">
      <c r="A2196" s="25" t="n">
        <v>20261031</v>
      </c>
      <c r="B2196" s="25" t="s">
        <v>2240</v>
      </c>
      <c r="C2196" s="27" t="b">
        <f aca="false">TRUE()</f>
        <v>1</v>
      </c>
      <c r="D2196" s="26" t="n">
        <v>46326</v>
      </c>
      <c r="E2196" s="25" t="n">
        <v>2026</v>
      </c>
      <c r="F2196" s="25" t="n">
        <v>4</v>
      </c>
      <c r="G2196" s="25" t="n">
        <v>10</v>
      </c>
    </row>
    <row r="2197" customFormat="false" ht="15" hidden="false" customHeight="false" outlineLevel="0" collapsed="false">
      <c r="A2197" s="25" t="n">
        <v>20261101</v>
      </c>
      <c r="B2197" s="25" t="s">
        <v>2241</v>
      </c>
      <c r="C2197" s="27" t="b">
        <f aca="false">TRUE()</f>
        <v>1</v>
      </c>
      <c r="D2197" s="26" t="n">
        <v>46327</v>
      </c>
      <c r="E2197" s="25" t="n">
        <v>2026</v>
      </c>
      <c r="F2197" s="25" t="n">
        <v>4</v>
      </c>
      <c r="G2197" s="25" t="n">
        <v>11</v>
      </c>
    </row>
    <row r="2198" customFormat="false" ht="15" hidden="false" customHeight="false" outlineLevel="0" collapsed="false">
      <c r="A2198" s="25" t="n">
        <v>20261102</v>
      </c>
      <c r="B2198" s="25" t="s">
        <v>2241</v>
      </c>
      <c r="C2198" s="27" t="b">
        <f aca="false">FALSE()</f>
        <v>0</v>
      </c>
      <c r="D2198" s="26" t="n">
        <v>46328</v>
      </c>
      <c r="E2198" s="25" t="n">
        <v>2026</v>
      </c>
      <c r="F2198" s="25" t="n">
        <v>4</v>
      </c>
      <c r="G2198" s="25" t="n">
        <v>11</v>
      </c>
    </row>
    <row r="2199" customFormat="false" ht="15" hidden="false" customHeight="false" outlineLevel="0" collapsed="false">
      <c r="A2199" s="25" t="n">
        <v>20261103</v>
      </c>
      <c r="B2199" s="25" t="s">
        <v>2241</v>
      </c>
      <c r="C2199" s="27" t="b">
        <f aca="false">FALSE()</f>
        <v>0</v>
      </c>
      <c r="D2199" s="26" t="n">
        <v>46329</v>
      </c>
      <c r="E2199" s="25" t="n">
        <v>2026</v>
      </c>
      <c r="F2199" s="25" t="n">
        <v>4</v>
      </c>
      <c r="G2199" s="25" t="n">
        <v>11</v>
      </c>
    </row>
    <row r="2200" customFormat="false" ht="15" hidden="false" customHeight="false" outlineLevel="0" collapsed="false">
      <c r="A2200" s="25" t="n">
        <v>20261104</v>
      </c>
      <c r="B2200" s="25" t="s">
        <v>2241</v>
      </c>
      <c r="C2200" s="27" t="b">
        <f aca="false">FALSE()</f>
        <v>0</v>
      </c>
      <c r="D2200" s="26" t="n">
        <v>46330</v>
      </c>
      <c r="E2200" s="25" t="n">
        <v>2026</v>
      </c>
      <c r="F2200" s="25" t="n">
        <v>4</v>
      </c>
      <c r="G2200" s="25" t="n">
        <v>11</v>
      </c>
    </row>
    <row r="2201" customFormat="false" ht="15" hidden="false" customHeight="false" outlineLevel="0" collapsed="false">
      <c r="A2201" s="25" t="n">
        <v>20261105</v>
      </c>
      <c r="B2201" s="25" t="s">
        <v>2241</v>
      </c>
      <c r="C2201" s="27" t="b">
        <f aca="false">FALSE()</f>
        <v>0</v>
      </c>
      <c r="D2201" s="26" t="n">
        <v>46331</v>
      </c>
      <c r="E2201" s="25" t="n">
        <v>2026</v>
      </c>
      <c r="F2201" s="25" t="n">
        <v>4</v>
      </c>
      <c r="G2201" s="25" t="n">
        <v>11</v>
      </c>
    </row>
    <row r="2202" customFormat="false" ht="15" hidden="false" customHeight="false" outlineLevel="0" collapsed="false">
      <c r="A2202" s="25" t="n">
        <v>20261106</v>
      </c>
      <c r="B2202" s="25" t="s">
        <v>2241</v>
      </c>
      <c r="C2202" s="27" t="b">
        <f aca="false">FALSE()</f>
        <v>0</v>
      </c>
      <c r="D2202" s="26" t="n">
        <v>46332</v>
      </c>
      <c r="E2202" s="25" t="n">
        <v>2026</v>
      </c>
      <c r="F2202" s="25" t="n">
        <v>4</v>
      </c>
      <c r="G2202" s="25" t="n">
        <v>11</v>
      </c>
    </row>
    <row r="2203" customFormat="false" ht="15" hidden="false" customHeight="false" outlineLevel="0" collapsed="false">
      <c r="A2203" s="25" t="n">
        <v>20261107</v>
      </c>
      <c r="B2203" s="25" t="s">
        <v>2241</v>
      </c>
      <c r="C2203" s="27" t="b">
        <f aca="false">TRUE()</f>
        <v>1</v>
      </c>
      <c r="D2203" s="26" t="n">
        <v>46333</v>
      </c>
      <c r="E2203" s="25" t="n">
        <v>2026</v>
      </c>
      <c r="F2203" s="25" t="n">
        <v>4</v>
      </c>
      <c r="G2203" s="25" t="n">
        <v>11</v>
      </c>
    </row>
    <row r="2204" customFormat="false" ht="15" hidden="false" customHeight="false" outlineLevel="0" collapsed="false">
      <c r="A2204" s="25" t="n">
        <v>20261108</v>
      </c>
      <c r="B2204" s="25" t="s">
        <v>2241</v>
      </c>
      <c r="C2204" s="27" t="b">
        <f aca="false">TRUE()</f>
        <v>1</v>
      </c>
      <c r="D2204" s="26" t="n">
        <v>46334</v>
      </c>
      <c r="E2204" s="25" t="n">
        <v>2026</v>
      </c>
      <c r="F2204" s="25" t="n">
        <v>4</v>
      </c>
      <c r="G2204" s="25" t="n">
        <v>11</v>
      </c>
    </row>
    <row r="2205" customFormat="false" ht="15" hidden="false" customHeight="false" outlineLevel="0" collapsed="false">
      <c r="A2205" s="25" t="n">
        <v>20261109</v>
      </c>
      <c r="B2205" s="25" t="s">
        <v>2241</v>
      </c>
      <c r="C2205" s="27" t="b">
        <f aca="false">FALSE()</f>
        <v>0</v>
      </c>
      <c r="D2205" s="26" t="n">
        <v>46335</v>
      </c>
      <c r="E2205" s="25" t="n">
        <v>2026</v>
      </c>
      <c r="F2205" s="25" t="n">
        <v>4</v>
      </c>
      <c r="G2205" s="25" t="n">
        <v>11</v>
      </c>
    </row>
    <row r="2206" customFormat="false" ht="15" hidden="false" customHeight="false" outlineLevel="0" collapsed="false">
      <c r="A2206" s="25" t="n">
        <v>20261110</v>
      </c>
      <c r="B2206" s="25" t="s">
        <v>2241</v>
      </c>
      <c r="C2206" s="27" t="b">
        <f aca="false">FALSE()</f>
        <v>0</v>
      </c>
      <c r="D2206" s="26" t="n">
        <v>46336</v>
      </c>
      <c r="E2206" s="25" t="n">
        <v>2026</v>
      </c>
      <c r="F2206" s="25" t="n">
        <v>4</v>
      </c>
      <c r="G2206" s="25" t="n">
        <v>11</v>
      </c>
    </row>
    <row r="2207" customFormat="false" ht="15" hidden="false" customHeight="false" outlineLevel="0" collapsed="false">
      <c r="A2207" s="25" t="n">
        <v>20261111</v>
      </c>
      <c r="B2207" s="25" t="s">
        <v>2241</v>
      </c>
      <c r="C2207" s="27" t="b">
        <f aca="false">FALSE()</f>
        <v>0</v>
      </c>
      <c r="D2207" s="26" t="n">
        <v>46337</v>
      </c>
      <c r="E2207" s="25" t="n">
        <v>2026</v>
      </c>
      <c r="F2207" s="25" t="n">
        <v>4</v>
      </c>
      <c r="G2207" s="25" t="n">
        <v>11</v>
      </c>
    </row>
    <row r="2208" customFormat="false" ht="15" hidden="false" customHeight="false" outlineLevel="0" collapsed="false">
      <c r="A2208" s="25" t="n">
        <v>20261112</v>
      </c>
      <c r="B2208" s="25" t="s">
        <v>2241</v>
      </c>
      <c r="C2208" s="27" t="b">
        <f aca="false">FALSE()</f>
        <v>0</v>
      </c>
      <c r="D2208" s="26" t="n">
        <v>46338</v>
      </c>
      <c r="E2208" s="25" t="n">
        <v>2026</v>
      </c>
      <c r="F2208" s="25" t="n">
        <v>4</v>
      </c>
      <c r="G2208" s="25" t="n">
        <v>11</v>
      </c>
    </row>
    <row r="2209" customFormat="false" ht="15" hidden="false" customHeight="false" outlineLevel="0" collapsed="false">
      <c r="A2209" s="25" t="n">
        <v>20261113</v>
      </c>
      <c r="B2209" s="25" t="s">
        <v>2241</v>
      </c>
      <c r="C2209" s="27" t="b">
        <f aca="false">FALSE()</f>
        <v>0</v>
      </c>
      <c r="D2209" s="26" t="n">
        <v>46339</v>
      </c>
      <c r="E2209" s="25" t="n">
        <v>2026</v>
      </c>
      <c r="F2209" s="25" t="n">
        <v>4</v>
      </c>
      <c r="G2209" s="25" t="n">
        <v>11</v>
      </c>
    </row>
    <row r="2210" customFormat="false" ht="15" hidden="false" customHeight="false" outlineLevel="0" collapsed="false">
      <c r="A2210" s="25" t="n">
        <v>20261114</v>
      </c>
      <c r="B2210" s="25" t="s">
        <v>2241</v>
      </c>
      <c r="C2210" s="27" t="b">
        <f aca="false">TRUE()</f>
        <v>1</v>
      </c>
      <c r="D2210" s="26" t="n">
        <v>46340</v>
      </c>
      <c r="E2210" s="25" t="n">
        <v>2026</v>
      </c>
      <c r="F2210" s="25" t="n">
        <v>4</v>
      </c>
      <c r="G2210" s="25" t="n">
        <v>11</v>
      </c>
    </row>
    <row r="2211" customFormat="false" ht="15" hidden="false" customHeight="false" outlineLevel="0" collapsed="false">
      <c r="A2211" s="25" t="n">
        <v>20261115</v>
      </c>
      <c r="B2211" s="25" t="s">
        <v>2241</v>
      </c>
      <c r="C2211" s="27" t="b">
        <f aca="false">TRUE()</f>
        <v>1</v>
      </c>
      <c r="D2211" s="26" t="n">
        <v>46341</v>
      </c>
      <c r="E2211" s="25" t="n">
        <v>2026</v>
      </c>
      <c r="F2211" s="25" t="n">
        <v>4</v>
      </c>
      <c r="G2211" s="25" t="n">
        <v>11</v>
      </c>
    </row>
    <row r="2212" customFormat="false" ht="15" hidden="false" customHeight="false" outlineLevel="0" collapsed="false">
      <c r="A2212" s="25" t="n">
        <v>20261116</v>
      </c>
      <c r="B2212" s="25" t="s">
        <v>2241</v>
      </c>
      <c r="C2212" s="27" t="b">
        <f aca="false">FALSE()</f>
        <v>0</v>
      </c>
      <c r="D2212" s="26" t="n">
        <v>46342</v>
      </c>
      <c r="E2212" s="25" t="n">
        <v>2026</v>
      </c>
      <c r="F2212" s="25" t="n">
        <v>4</v>
      </c>
      <c r="G2212" s="25" t="n">
        <v>11</v>
      </c>
    </row>
    <row r="2213" customFormat="false" ht="15" hidden="false" customHeight="false" outlineLevel="0" collapsed="false">
      <c r="A2213" s="25" t="n">
        <v>20261117</v>
      </c>
      <c r="B2213" s="25" t="s">
        <v>2241</v>
      </c>
      <c r="C2213" s="27" t="b">
        <f aca="false">FALSE()</f>
        <v>0</v>
      </c>
      <c r="D2213" s="26" t="n">
        <v>46343</v>
      </c>
      <c r="E2213" s="25" t="n">
        <v>2026</v>
      </c>
      <c r="F2213" s="25" t="n">
        <v>4</v>
      </c>
      <c r="G2213" s="25" t="n">
        <v>11</v>
      </c>
    </row>
    <row r="2214" customFormat="false" ht="15" hidden="false" customHeight="false" outlineLevel="0" collapsed="false">
      <c r="A2214" s="25" t="n">
        <v>20261118</v>
      </c>
      <c r="B2214" s="25" t="s">
        <v>2241</v>
      </c>
      <c r="C2214" s="27" t="b">
        <f aca="false">FALSE()</f>
        <v>0</v>
      </c>
      <c r="D2214" s="26" t="n">
        <v>46344</v>
      </c>
      <c r="E2214" s="25" t="n">
        <v>2026</v>
      </c>
      <c r="F2214" s="25" t="n">
        <v>4</v>
      </c>
      <c r="G2214" s="25" t="n">
        <v>11</v>
      </c>
    </row>
    <row r="2215" customFormat="false" ht="15" hidden="false" customHeight="false" outlineLevel="0" collapsed="false">
      <c r="A2215" s="25" t="n">
        <v>20261119</v>
      </c>
      <c r="B2215" s="25" t="s">
        <v>2241</v>
      </c>
      <c r="C2215" s="27" t="b">
        <f aca="false">FALSE()</f>
        <v>0</v>
      </c>
      <c r="D2215" s="26" t="n">
        <v>46345</v>
      </c>
      <c r="E2215" s="25" t="n">
        <v>2026</v>
      </c>
      <c r="F2215" s="25" t="n">
        <v>4</v>
      </c>
      <c r="G2215" s="25" t="n">
        <v>11</v>
      </c>
    </row>
    <row r="2216" customFormat="false" ht="15" hidden="false" customHeight="false" outlineLevel="0" collapsed="false">
      <c r="A2216" s="25" t="n">
        <v>20261120</v>
      </c>
      <c r="B2216" s="25" t="s">
        <v>2241</v>
      </c>
      <c r="C2216" s="27" t="b">
        <f aca="false">FALSE()</f>
        <v>0</v>
      </c>
      <c r="D2216" s="26" t="n">
        <v>46346</v>
      </c>
      <c r="E2216" s="25" t="n">
        <v>2026</v>
      </c>
      <c r="F2216" s="25" t="n">
        <v>4</v>
      </c>
      <c r="G2216" s="25" t="n">
        <v>11</v>
      </c>
    </row>
    <row r="2217" customFormat="false" ht="15" hidden="false" customHeight="false" outlineLevel="0" collapsed="false">
      <c r="A2217" s="25" t="n">
        <v>20261121</v>
      </c>
      <c r="B2217" s="25" t="s">
        <v>2241</v>
      </c>
      <c r="C2217" s="27" t="b">
        <f aca="false">TRUE()</f>
        <v>1</v>
      </c>
      <c r="D2217" s="26" t="n">
        <v>46347</v>
      </c>
      <c r="E2217" s="25" t="n">
        <v>2026</v>
      </c>
      <c r="F2217" s="25" t="n">
        <v>4</v>
      </c>
      <c r="G2217" s="25" t="n">
        <v>11</v>
      </c>
    </row>
    <row r="2218" customFormat="false" ht="15" hidden="false" customHeight="false" outlineLevel="0" collapsed="false">
      <c r="A2218" s="25" t="n">
        <v>20261122</v>
      </c>
      <c r="B2218" s="25" t="s">
        <v>2241</v>
      </c>
      <c r="C2218" s="27" t="b">
        <f aca="false">TRUE()</f>
        <v>1</v>
      </c>
      <c r="D2218" s="26" t="n">
        <v>46348</v>
      </c>
      <c r="E2218" s="25" t="n">
        <v>2026</v>
      </c>
      <c r="F2218" s="25" t="n">
        <v>4</v>
      </c>
      <c r="G2218" s="25" t="n">
        <v>11</v>
      </c>
    </row>
    <row r="2219" customFormat="false" ht="15" hidden="false" customHeight="false" outlineLevel="0" collapsed="false">
      <c r="A2219" s="25" t="n">
        <v>20261123</v>
      </c>
      <c r="B2219" s="25" t="s">
        <v>2241</v>
      </c>
      <c r="C2219" s="27" t="b">
        <f aca="false">FALSE()</f>
        <v>0</v>
      </c>
      <c r="D2219" s="26" t="n">
        <v>46349</v>
      </c>
      <c r="E2219" s="25" t="n">
        <v>2026</v>
      </c>
      <c r="F2219" s="25" t="n">
        <v>4</v>
      </c>
      <c r="G2219" s="25" t="n">
        <v>11</v>
      </c>
    </row>
    <row r="2220" customFormat="false" ht="15" hidden="false" customHeight="false" outlineLevel="0" collapsed="false">
      <c r="A2220" s="25" t="n">
        <v>20261124</v>
      </c>
      <c r="B2220" s="25" t="s">
        <v>2241</v>
      </c>
      <c r="C2220" s="27" t="b">
        <f aca="false">FALSE()</f>
        <v>0</v>
      </c>
      <c r="D2220" s="26" t="n">
        <v>46350</v>
      </c>
      <c r="E2220" s="25" t="n">
        <v>2026</v>
      </c>
      <c r="F2220" s="25" t="n">
        <v>4</v>
      </c>
      <c r="G2220" s="25" t="n">
        <v>11</v>
      </c>
    </row>
    <row r="2221" customFormat="false" ht="15" hidden="false" customHeight="false" outlineLevel="0" collapsed="false">
      <c r="A2221" s="25" t="n">
        <v>20261125</v>
      </c>
      <c r="B2221" s="25" t="s">
        <v>2241</v>
      </c>
      <c r="C2221" s="27" t="b">
        <f aca="false">FALSE()</f>
        <v>0</v>
      </c>
      <c r="D2221" s="26" t="n">
        <v>46351</v>
      </c>
      <c r="E2221" s="25" t="n">
        <v>2026</v>
      </c>
      <c r="F2221" s="25" t="n">
        <v>4</v>
      </c>
      <c r="G2221" s="25" t="n">
        <v>11</v>
      </c>
    </row>
    <row r="2222" customFormat="false" ht="15" hidden="false" customHeight="false" outlineLevel="0" collapsed="false">
      <c r="A2222" s="25" t="n">
        <v>20261126</v>
      </c>
      <c r="B2222" s="25" t="s">
        <v>2241</v>
      </c>
      <c r="C2222" s="27" t="b">
        <f aca="false">FALSE()</f>
        <v>0</v>
      </c>
      <c r="D2222" s="26" t="n">
        <v>46352</v>
      </c>
      <c r="E2222" s="25" t="n">
        <v>2026</v>
      </c>
      <c r="F2222" s="25" t="n">
        <v>4</v>
      </c>
      <c r="G2222" s="25" t="n">
        <v>11</v>
      </c>
    </row>
    <row r="2223" customFormat="false" ht="15" hidden="false" customHeight="false" outlineLevel="0" collapsed="false">
      <c r="A2223" s="25" t="n">
        <v>20261127</v>
      </c>
      <c r="B2223" s="25" t="s">
        <v>2241</v>
      </c>
      <c r="C2223" s="27" t="b">
        <f aca="false">FALSE()</f>
        <v>0</v>
      </c>
      <c r="D2223" s="26" t="n">
        <v>46353</v>
      </c>
      <c r="E2223" s="25" t="n">
        <v>2026</v>
      </c>
      <c r="F2223" s="25" t="n">
        <v>4</v>
      </c>
      <c r="G2223" s="25" t="n">
        <v>11</v>
      </c>
    </row>
    <row r="2224" customFormat="false" ht="15" hidden="false" customHeight="false" outlineLevel="0" collapsed="false">
      <c r="A2224" s="25" t="n">
        <v>20261128</v>
      </c>
      <c r="B2224" s="25" t="s">
        <v>2241</v>
      </c>
      <c r="C2224" s="27" t="b">
        <f aca="false">TRUE()</f>
        <v>1</v>
      </c>
      <c r="D2224" s="26" t="n">
        <v>46354</v>
      </c>
      <c r="E2224" s="25" t="n">
        <v>2026</v>
      </c>
      <c r="F2224" s="25" t="n">
        <v>4</v>
      </c>
      <c r="G2224" s="25" t="n">
        <v>11</v>
      </c>
    </row>
    <row r="2225" customFormat="false" ht="15" hidden="false" customHeight="false" outlineLevel="0" collapsed="false">
      <c r="A2225" s="25" t="n">
        <v>20261129</v>
      </c>
      <c r="B2225" s="25" t="s">
        <v>2241</v>
      </c>
      <c r="C2225" s="27" t="b">
        <f aca="false">TRUE()</f>
        <v>1</v>
      </c>
      <c r="D2225" s="26" t="n">
        <v>46355</v>
      </c>
      <c r="E2225" s="25" t="n">
        <v>2026</v>
      </c>
      <c r="F2225" s="25" t="n">
        <v>4</v>
      </c>
      <c r="G2225" s="25" t="n">
        <v>11</v>
      </c>
    </row>
    <row r="2226" customFormat="false" ht="15" hidden="false" customHeight="false" outlineLevel="0" collapsed="false">
      <c r="A2226" s="25" t="n">
        <v>20261130</v>
      </c>
      <c r="B2226" s="25" t="s">
        <v>2241</v>
      </c>
      <c r="C2226" s="27" t="b">
        <f aca="false">FALSE()</f>
        <v>0</v>
      </c>
      <c r="D2226" s="26" t="n">
        <v>46356</v>
      </c>
      <c r="E2226" s="25" t="n">
        <v>2026</v>
      </c>
      <c r="F2226" s="25" t="n">
        <v>4</v>
      </c>
      <c r="G2226" s="25" t="n">
        <v>11</v>
      </c>
    </row>
    <row r="2227" customFormat="false" ht="15" hidden="false" customHeight="false" outlineLevel="0" collapsed="false">
      <c r="A2227" s="25" t="n">
        <v>20261201</v>
      </c>
      <c r="B2227" s="25" t="s">
        <v>2242</v>
      </c>
      <c r="C2227" s="27" t="b">
        <f aca="false">FALSE()</f>
        <v>0</v>
      </c>
      <c r="D2227" s="26" t="n">
        <v>46357</v>
      </c>
      <c r="E2227" s="25" t="n">
        <v>2026</v>
      </c>
      <c r="F2227" s="25" t="n">
        <v>4</v>
      </c>
      <c r="G2227" s="25" t="n">
        <v>12</v>
      </c>
    </row>
    <row r="2228" customFormat="false" ht="15" hidden="false" customHeight="false" outlineLevel="0" collapsed="false">
      <c r="A2228" s="25" t="n">
        <v>20261202</v>
      </c>
      <c r="B2228" s="25" t="s">
        <v>2242</v>
      </c>
      <c r="C2228" s="27" t="b">
        <f aca="false">FALSE()</f>
        <v>0</v>
      </c>
      <c r="D2228" s="26" t="n">
        <v>46358</v>
      </c>
      <c r="E2228" s="25" t="n">
        <v>2026</v>
      </c>
      <c r="F2228" s="25" t="n">
        <v>4</v>
      </c>
      <c r="G2228" s="25" t="n">
        <v>12</v>
      </c>
    </row>
    <row r="2229" customFormat="false" ht="15" hidden="false" customHeight="false" outlineLevel="0" collapsed="false">
      <c r="A2229" s="25" t="n">
        <v>20261203</v>
      </c>
      <c r="B2229" s="25" t="s">
        <v>2242</v>
      </c>
      <c r="C2229" s="27" t="b">
        <f aca="false">FALSE()</f>
        <v>0</v>
      </c>
      <c r="D2229" s="26" t="n">
        <v>46359</v>
      </c>
      <c r="E2229" s="25" t="n">
        <v>2026</v>
      </c>
      <c r="F2229" s="25" t="n">
        <v>4</v>
      </c>
      <c r="G2229" s="25" t="n">
        <v>12</v>
      </c>
    </row>
    <row r="2230" customFormat="false" ht="15" hidden="false" customHeight="false" outlineLevel="0" collapsed="false">
      <c r="A2230" s="25" t="n">
        <v>20261204</v>
      </c>
      <c r="B2230" s="25" t="s">
        <v>2242</v>
      </c>
      <c r="C2230" s="27" t="b">
        <f aca="false">FALSE()</f>
        <v>0</v>
      </c>
      <c r="D2230" s="26" t="n">
        <v>46360</v>
      </c>
      <c r="E2230" s="25" t="n">
        <v>2026</v>
      </c>
      <c r="F2230" s="25" t="n">
        <v>4</v>
      </c>
      <c r="G2230" s="25" t="n">
        <v>12</v>
      </c>
    </row>
    <row r="2231" customFormat="false" ht="15" hidden="false" customHeight="false" outlineLevel="0" collapsed="false">
      <c r="A2231" s="25" t="n">
        <v>20261205</v>
      </c>
      <c r="B2231" s="25" t="s">
        <v>2242</v>
      </c>
      <c r="C2231" s="27" t="b">
        <f aca="false">TRUE()</f>
        <v>1</v>
      </c>
      <c r="D2231" s="26" t="n">
        <v>46361</v>
      </c>
      <c r="E2231" s="25" t="n">
        <v>2026</v>
      </c>
      <c r="F2231" s="25" t="n">
        <v>4</v>
      </c>
      <c r="G2231" s="25" t="n">
        <v>12</v>
      </c>
    </row>
    <row r="2232" customFormat="false" ht="15" hidden="false" customHeight="false" outlineLevel="0" collapsed="false">
      <c r="A2232" s="25" t="n">
        <v>20261206</v>
      </c>
      <c r="B2232" s="25" t="s">
        <v>2242</v>
      </c>
      <c r="C2232" s="27" t="b">
        <f aca="false">TRUE()</f>
        <v>1</v>
      </c>
      <c r="D2232" s="26" t="n">
        <v>46362</v>
      </c>
      <c r="E2232" s="25" t="n">
        <v>2026</v>
      </c>
      <c r="F2232" s="25" t="n">
        <v>4</v>
      </c>
      <c r="G2232" s="25" t="n">
        <v>12</v>
      </c>
    </row>
    <row r="2233" customFormat="false" ht="15" hidden="false" customHeight="false" outlineLevel="0" collapsed="false">
      <c r="A2233" s="25" t="n">
        <v>20261207</v>
      </c>
      <c r="B2233" s="25" t="s">
        <v>2242</v>
      </c>
      <c r="C2233" s="27" t="b">
        <f aca="false">FALSE()</f>
        <v>0</v>
      </c>
      <c r="D2233" s="26" t="n">
        <v>46363</v>
      </c>
      <c r="E2233" s="25" t="n">
        <v>2026</v>
      </c>
      <c r="F2233" s="25" t="n">
        <v>4</v>
      </c>
      <c r="G2233" s="25" t="n">
        <v>12</v>
      </c>
    </row>
    <row r="2234" customFormat="false" ht="15" hidden="false" customHeight="false" outlineLevel="0" collapsed="false">
      <c r="A2234" s="25" t="n">
        <v>20261208</v>
      </c>
      <c r="B2234" s="25" t="s">
        <v>2242</v>
      </c>
      <c r="C2234" s="27" t="b">
        <f aca="false">FALSE()</f>
        <v>0</v>
      </c>
      <c r="D2234" s="26" t="n">
        <v>46364</v>
      </c>
      <c r="E2234" s="25" t="n">
        <v>2026</v>
      </c>
      <c r="F2234" s="25" t="n">
        <v>4</v>
      </c>
      <c r="G2234" s="25" t="n">
        <v>12</v>
      </c>
    </row>
    <row r="2235" customFormat="false" ht="15" hidden="false" customHeight="false" outlineLevel="0" collapsed="false">
      <c r="A2235" s="25" t="n">
        <v>20261209</v>
      </c>
      <c r="B2235" s="25" t="s">
        <v>2242</v>
      </c>
      <c r="C2235" s="27" t="b">
        <f aca="false">FALSE()</f>
        <v>0</v>
      </c>
      <c r="D2235" s="26" t="n">
        <v>46365</v>
      </c>
      <c r="E2235" s="25" t="n">
        <v>2026</v>
      </c>
      <c r="F2235" s="25" t="n">
        <v>4</v>
      </c>
      <c r="G2235" s="25" t="n">
        <v>12</v>
      </c>
    </row>
    <row r="2236" customFormat="false" ht="15" hidden="false" customHeight="false" outlineLevel="0" collapsed="false">
      <c r="A2236" s="25" t="n">
        <v>20261210</v>
      </c>
      <c r="B2236" s="25" t="s">
        <v>2242</v>
      </c>
      <c r="C2236" s="27" t="b">
        <f aca="false">FALSE()</f>
        <v>0</v>
      </c>
      <c r="D2236" s="26" t="n">
        <v>46366</v>
      </c>
      <c r="E2236" s="25" t="n">
        <v>2026</v>
      </c>
      <c r="F2236" s="25" t="n">
        <v>4</v>
      </c>
      <c r="G2236" s="25" t="n">
        <v>12</v>
      </c>
    </row>
    <row r="2237" customFormat="false" ht="15" hidden="false" customHeight="false" outlineLevel="0" collapsed="false">
      <c r="A2237" s="25" t="n">
        <v>20261211</v>
      </c>
      <c r="B2237" s="25" t="s">
        <v>2242</v>
      </c>
      <c r="C2237" s="27" t="b">
        <f aca="false">FALSE()</f>
        <v>0</v>
      </c>
      <c r="D2237" s="26" t="n">
        <v>46367</v>
      </c>
      <c r="E2237" s="25" t="n">
        <v>2026</v>
      </c>
      <c r="F2237" s="25" t="n">
        <v>4</v>
      </c>
      <c r="G2237" s="25" t="n">
        <v>12</v>
      </c>
    </row>
    <row r="2238" customFormat="false" ht="15" hidden="false" customHeight="false" outlineLevel="0" collapsed="false">
      <c r="A2238" s="25" t="n">
        <v>20261212</v>
      </c>
      <c r="B2238" s="25" t="s">
        <v>2242</v>
      </c>
      <c r="C2238" s="27" t="b">
        <f aca="false">TRUE()</f>
        <v>1</v>
      </c>
      <c r="D2238" s="26" t="n">
        <v>46368</v>
      </c>
      <c r="E2238" s="25" t="n">
        <v>2026</v>
      </c>
      <c r="F2238" s="25" t="n">
        <v>4</v>
      </c>
      <c r="G2238" s="25" t="n">
        <v>12</v>
      </c>
    </row>
    <row r="2239" customFormat="false" ht="15" hidden="false" customHeight="false" outlineLevel="0" collapsed="false">
      <c r="A2239" s="25" t="n">
        <v>20261213</v>
      </c>
      <c r="B2239" s="25" t="s">
        <v>2242</v>
      </c>
      <c r="C2239" s="27" t="b">
        <f aca="false">TRUE()</f>
        <v>1</v>
      </c>
      <c r="D2239" s="26" t="n">
        <v>46369</v>
      </c>
      <c r="E2239" s="25" t="n">
        <v>2026</v>
      </c>
      <c r="F2239" s="25" t="n">
        <v>4</v>
      </c>
      <c r="G2239" s="25" t="n">
        <v>12</v>
      </c>
    </row>
    <row r="2240" customFormat="false" ht="15" hidden="false" customHeight="false" outlineLevel="0" collapsed="false">
      <c r="A2240" s="25" t="n">
        <v>20261214</v>
      </c>
      <c r="B2240" s="25" t="s">
        <v>2242</v>
      </c>
      <c r="C2240" s="27" t="b">
        <f aca="false">FALSE()</f>
        <v>0</v>
      </c>
      <c r="D2240" s="26" t="n">
        <v>46370</v>
      </c>
      <c r="E2240" s="25" t="n">
        <v>2026</v>
      </c>
      <c r="F2240" s="25" t="n">
        <v>4</v>
      </c>
      <c r="G2240" s="25" t="n">
        <v>12</v>
      </c>
    </row>
    <row r="2241" customFormat="false" ht="15" hidden="false" customHeight="false" outlineLevel="0" collapsed="false">
      <c r="A2241" s="25" t="n">
        <v>20261215</v>
      </c>
      <c r="B2241" s="25" t="s">
        <v>2242</v>
      </c>
      <c r="C2241" s="27" t="b">
        <f aca="false">FALSE()</f>
        <v>0</v>
      </c>
      <c r="D2241" s="26" t="n">
        <v>46371</v>
      </c>
      <c r="E2241" s="25" t="n">
        <v>2026</v>
      </c>
      <c r="F2241" s="25" t="n">
        <v>4</v>
      </c>
      <c r="G2241" s="25" t="n">
        <v>12</v>
      </c>
    </row>
    <row r="2242" customFormat="false" ht="15" hidden="false" customHeight="false" outlineLevel="0" collapsed="false">
      <c r="A2242" s="25" t="n">
        <v>20261216</v>
      </c>
      <c r="B2242" s="25" t="s">
        <v>2242</v>
      </c>
      <c r="C2242" s="27" t="b">
        <f aca="false">FALSE()</f>
        <v>0</v>
      </c>
      <c r="D2242" s="26" t="n">
        <v>46372</v>
      </c>
      <c r="E2242" s="25" t="n">
        <v>2026</v>
      </c>
      <c r="F2242" s="25" t="n">
        <v>4</v>
      </c>
      <c r="G2242" s="25" t="n">
        <v>12</v>
      </c>
    </row>
    <row r="2243" customFormat="false" ht="15" hidden="false" customHeight="false" outlineLevel="0" collapsed="false">
      <c r="A2243" s="25" t="n">
        <v>20261217</v>
      </c>
      <c r="B2243" s="25" t="s">
        <v>2242</v>
      </c>
      <c r="C2243" s="27" t="b">
        <f aca="false">FALSE()</f>
        <v>0</v>
      </c>
      <c r="D2243" s="26" t="n">
        <v>46373</v>
      </c>
      <c r="E2243" s="25" t="n">
        <v>2026</v>
      </c>
      <c r="F2243" s="25" t="n">
        <v>4</v>
      </c>
      <c r="G2243" s="25" t="n">
        <v>12</v>
      </c>
    </row>
    <row r="2244" customFormat="false" ht="15" hidden="false" customHeight="false" outlineLevel="0" collapsed="false">
      <c r="A2244" s="25" t="n">
        <v>20261218</v>
      </c>
      <c r="B2244" s="25" t="s">
        <v>2242</v>
      </c>
      <c r="C2244" s="27" t="b">
        <f aca="false">FALSE()</f>
        <v>0</v>
      </c>
      <c r="D2244" s="26" t="n">
        <v>46374</v>
      </c>
      <c r="E2244" s="25" t="n">
        <v>2026</v>
      </c>
      <c r="F2244" s="25" t="n">
        <v>4</v>
      </c>
      <c r="G2244" s="25" t="n">
        <v>12</v>
      </c>
    </row>
    <row r="2245" customFormat="false" ht="15" hidden="false" customHeight="false" outlineLevel="0" collapsed="false">
      <c r="A2245" s="25" t="n">
        <v>20261219</v>
      </c>
      <c r="B2245" s="25" t="s">
        <v>2242</v>
      </c>
      <c r="C2245" s="27" t="b">
        <f aca="false">TRUE()</f>
        <v>1</v>
      </c>
      <c r="D2245" s="26" t="n">
        <v>46375</v>
      </c>
      <c r="E2245" s="25" t="n">
        <v>2026</v>
      </c>
      <c r="F2245" s="25" t="n">
        <v>4</v>
      </c>
      <c r="G2245" s="25" t="n">
        <v>12</v>
      </c>
    </row>
    <row r="2246" customFormat="false" ht="15" hidden="false" customHeight="false" outlineLevel="0" collapsed="false">
      <c r="A2246" s="25" t="n">
        <v>20261220</v>
      </c>
      <c r="B2246" s="25" t="s">
        <v>2242</v>
      </c>
      <c r="C2246" s="27" t="b">
        <f aca="false">TRUE()</f>
        <v>1</v>
      </c>
      <c r="D2246" s="26" t="n">
        <v>46376</v>
      </c>
      <c r="E2246" s="25" t="n">
        <v>2026</v>
      </c>
      <c r="F2246" s="25" t="n">
        <v>4</v>
      </c>
      <c r="G2246" s="25" t="n">
        <v>12</v>
      </c>
    </row>
    <row r="2247" customFormat="false" ht="15" hidden="false" customHeight="false" outlineLevel="0" collapsed="false">
      <c r="A2247" s="25" t="n">
        <v>20261221</v>
      </c>
      <c r="B2247" s="25" t="s">
        <v>2242</v>
      </c>
      <c r="C2247" s="27" t="b">
        <f aca="false">FALSE()</f>
        <v>0</v>
      </c>
      <c r="D2247" s="26" t="n">
        <v>46377</v>
      </c>
      <c r="E2247" s="25" t="n">
        <v>2026</v>
      </c>
      <c r="F2247" s="25" t="n">
        <v>4</v>
      </c>
      <c r="G2247" s="25" t="n">
        <v>12</v>
      </c>
    </row>
    <row r="2248" customFormat="false" ht="15" hidden="false" customHeight="false" outlineLevel="0" collapsed="false">
      <c r="A2248" s="25" t="n">
        <v>20261222</v>
      </c>
      <c r="B2248" s="25" t="s">
        <v>2242</v>
      </c>
      <c r="C2248" s="27" t="b">
        <f aca="false">FALSE()</f>
        <v>0</v>
      </c>
      <c r="D2248" s="26" t="n">
        <v>46378</v>
      </c>
      <c r="E2248" s="25" t="n">
        <v>2026</v>
      </c>
      <c r="F2248" s="25" t="n">
        <v>4</v>
      </c>
      <c r="G2248" s="25" t="n">
        <v>12</v>
      </c>
    </row>
    <row r="2249" customFormat="false" ht="15" hidden="false" customHeight="false" outlineLevel="0" collapsed="false">
      <c r="A2249" s="25" t="n">
        <v>20261223</v>
      </c>
      <c r="B2249" s="25" t="s">
        <v>2242</v>
      </c>
      <c r="C2249" s="27" t="b">
        <f aca="false">FALSE()</f>
        <v>0</v>
      </c>
      <c r="D2249" s="26" t="n">
        <v>46379</v>
      </c>
      <c r="E2249" s="25" t="n">
        <v>2026</v>
      </c>
      <c r="F2249" s="25" t="n">
        <v>4</v>
      </c>
      <c r="G2249" s="25" t="n">
        <v>12</v>
      </c>
    </row>
    <row r="2250" customFormat="false" ht="15" hidden="false" customHeight="false" outlineLevel="0" collapsed="false">
      <c r="A2250" s="25" t="n">
        <v>20261224</v>
      </c>
      <c r="B2250" s="25" t="s">
        <v>2242</v>
      </c>
      <c r="C2250" s="27" t="b">
        <f aca="false">FALSE()</f>
        <v>0</v>
      </c>
      <c r="D2250" s="26" t="n">
        <v>46380</v>
      </c>
      <c r="E2250" s="25" t="n">
        <v>2026</v>
      </c>
      <c r="F2250" s="25" t="n">
        <v>4</v>
      </c>
      <c r="G2250" s="25" t="n">
        <v>12</v>
      </c>
    </row>
    <row r="2251" customFormat="false" ht="15" hidden="false" customHeight="false" outlineLevel="0" collapsed="false">
      <c r="A2251" s="25" t="n">
        <v>20261225</v>
      </c>
      <c r="B2251" s="25" t="s">
        <v>2242</v>
      </c>
      <c r="C2251" s="27" t="b">
        <f aca="false">FALSE()</f>
        <v>0</v>
      </c>
      <c r="D2251" s="26" t="n">
        <v>46381</v>
      </c>
      <c r="E2251" s="25" t="n">
        <v>2026</v>
      </c>
      <c r="F2251" s="25" t="n">
        <v>4</v>
      </c>
      <c r="G2251" s="25" t="n">
        <v>12</v>
      </c>
    </row>
    <row r="2252" customFormat="false" ht="15" hidden="false" customHeight="false" outlineLevel="0" collapsed="false">
      <c r="A2252" s="25" t="n">
        <v>20261226</v>
      </c>
      <c r="B2252" s="25" t="s">
        <v>2242</v>
      </c>
      <c r="C2252" s="27" t="b">
        <f aca="false">TRUE()</f>
        <v>1</v>
      </c>
      <c r="D2252" s="26" t="n">
        <v>46382</v>
      </c>
      <c r="E2252" s="25" t="n">
        <v>2026</v>
      </c>
      <c r="F2252" s="25" t="n">
        <v>4</v>
      </c>
      <c r="G2252" s="25" t="n">
        <v>12</v>
      </c>
    </row>
    <row r="2253" customFormat="false" ht="15" hidden="false" customHeight="false" outlineLevel="0" collapsed="false">
      <c r="A2253" s="25" t="n">
        <v>20261227</v>
      </c>
      <c r="B2253" s="25" t="s">
        <v>2242</v>
      </c>
      <c r="C2253" s="27" t="b">
        <f aca="false">TRUE()</f>
        <v>1</v>
      </c>
      <c r="D2253" s="26" t="n">
        <v>46383</v>
      </c>
      <c r="E2253" s="25" t="n">
        <v>2026</v>
      </c>
      <c r="F2253" s="25" t="n">
        <v>4</v>
      </c>
      <c r="G2253" s="25" t="n">
        <v>12</v>
      </c>
    </row>
    <row r="2254" customFormat="false" ht="15" hidden="false" customHeight="false" outlineLevel="0" collapsed="false">
      <c r="A2254" s="25" t="n">
        <v>20261228</v>
      </c>
      <c r="B2254" s="25" t="s">
        <v>2242</v>
      </c>
      <c r="C2254" s="27" t="b">
        <f aca="false">FALSE()</f>
        <v>0</v>
      </c>
      <c r="D2254" s="26" t="n">
        <v>46384</v>
      </c>
      <c r="E2254" s="25" t="n">
        <v>2026</v>
      </c>
      <c r="F2254" s="25" t="n">
        <v>4</v>
      </c>
      <c r="G2254" s="25" t="n">
        <v>12</v>
      </c>
    </row>
    <row r="2255" customFormat="false" ht="15" hidden="false" customHeight="false" outlineLevel="0" collapsed="false">
      <c r="A2255" s="25" t="n">
        <v>20261229</v>
      </c>
      <c r="B2255" s="25" t="s">
        <v>2242</v>
      </c>
      <c r="C2255" s="27" t="b">
        <f aca="false">FALSE()</f>
        <v>0</v>
      </c>
      <c r="D2255" s="26" t="n">
        <v>46385</v>
      </c>
      <c r="E2255" s="25" t="n">
        <v>2026</v>
      </c>
      <c r="F2255" s="25" t="n">
        <v>4</v>
      </c>
      <c r="G2255" s="25" t="n">
        <v>12</v>
      </c>
    </row>
    <row r="2256" customFormat="false" ht="15" hidden="false" customHeight="false" outlineLevel="0" collapsed="false">
      <c r="A2256" s="25" t="n">
        <v>20261230</v>
      </c>
      <c r="B2256" s="25" t="s">
        <v>2242</v>
      </c>
      <c r="C2256" s="27" t="b">
        <f aca="false">FALSE()</f>
        <v>0</v>
      </c>
      <c r="D2256" s="26" t="n">
        <v>46386</v>
      </c>
      <c r="E2256" s="25" t="n">
        <v>2026</v>
      </c>
      <c r="F2256" s="25" t="n">
        <v>4</v>
      </c>
      <c r="G2256" s="25" t="n">
        <v>12</v>
      </c>
    </row>
    <row r="2257" customFormat="false" ht="15" hidden="false" customHeight="false" outlineLevel="0" collapsed="false">
      <c r="A2257" s="25" t="n">
        <v>20261231</v>
      </c>
      <c r="B2257" s="25" t="s">
        <v>2242</v>
      </c>
      <c r="C2257" s="27" t="b">
        <f aca="false">FALSE()</f>
        <v>0</v>
      </c>
      <c r="D2257" s="26" t="n">
        <v>46387</v>
      </c>
      <c r="E2257" s="25" t="n">
        <v>2026</v>
      </c>
      <c r="F2257" s="25" t="n">
        <v>4</v>
      </c>
      <c r="G2257" s="25" t="n">
        <v>12</v>
      </c>
    </row>
    <row r="2258" customFormat="false" ht="15" hidden="false" customHeight="false" outlineLevel="0" collapsed="false">
      <c r="A2258" s="25" t="n">
        <v>20270101</v>
      </c>
      <c r="B2258" s="25" t="s">
        <v>2243</v>
      </c>
      <c r="C2258" s="27" t="b">
        <f aca="false">FALSE()</f>
        <v>0</v>
      </c>
      <c r="D2258" s="26" t="n">
        <v>46388</v>
      </c>
      <c r="E2258" s="25" t="n">
        <v>2027</v>
      </c>
      <c r="F2258" s="25" t="n">
        <v>1</v>
      </c>
      <c r="G2258" s="25" t="n">
        <v>1</v>
      </c>
    </row>
    <row r="2259" customFormat="false" ht="15" hidden="false" customHeight="false" outlineLevel="0" collapsed="false">
      <c r="A2259" s="25" t="n">
        <v>20270102</v>
      </c>
      <c r="B2259" s="25" t="s">
        <v>2243</v>
      </c>
      <c r="C2259" s="27" t="b">
        <f aca="false">TRUE()</f>
        <v>1</v>
      </c>
      <c r="D2259" s="26" t="n">
        <v>46389</v>
      </c>
      <c r="E2259" s="25" t="n">
        <v>2027</v>
      </c>
      <c r="F2259" s="25" t="n">
        <v>1</v>
      </c>
      <c r="G2259" s="25" t="n">
        <v>1</v>
      </c>
    </row>
    <row r="2260" customFormat="false" ht="15" hidden="false" customHeight="false" outlineLevel="0" collapsed="false">
      <c r="A2260" s="25" t="n">
        <v>20270103</v>
      </c>
      <c r="B2260" s="25" t="s">
        <v>2243</v>
      </c>
      <c r="C2260" s="27" t="b">
        <f aca="false">TRUE()</f>
        <v>1</v>
      </c>
      <c r="D2260" s="26" t="n">
        <v>46390</v>
      </c>
      <c r="E2260" s="25" t="n">
        <v>2027</v>
      </c>
      <c r="F2260" s="25" t="n">
        <v>1</v>
      </c>
      <c r="G2260" s="25" t="n">
        <v>1</v>
      </c>
    </row>
    <row r="2261" customFormat="false" ht="15" hidden="false" customHeight="false" outlineLevel="0" collapsed="false">
      <c r="A2261" s="25" t="n">
        <v>20270104</v>
      </c>
      <c r="B2261" s="25" t="s">
        <v>2243</v>
      </c>
      <c r="C2261" s="27" t="b">
        <f aca="false">FALSE()</f>
        <v>0</v>
      </c>
      <c r="D2261" s="26" t="n">
        <v>46391</v>
      </c>
      <c r="E2261" s="25" t="n">
        <v>2027</v>
      </c>
      <c r="F2261" s="25" t="n">
        <v>1</v>
      </c>
      <c r="G2261" s="25" t="n">
        <v>1</v>
      </c>
    </row>
    <row r="2262" customFormat="false" ht="15" hidden="false" customHeight="false" outlineLevel="0" collapsed="false">
      <c r="A2262" s="25" t="n">
        <v>20270105</v>
      </c>
      <c r="B2262" s="25" t="s">
        <v>2243</v>
      </c>
      <c r="C2262" s="27" t="b">
        <f aca="false">FALSE()</f>
        <v>0</v>
      </c>
      <c r="D2262" s="26" t="n">
        <v>46392</v>
      </c>
      <c r="E2262" s="25" t="n">
        <v>2027</v>
      </c>
      <c r="F2262" s="25" t="n">
        <v>1</v>
      </c>
      <c r="G2262" s="25" t="n">
        <v>1</v>
      </c>
    </row>
    <row r="2263" customFormat="false" ht="15" hidden="false" customHeight="false" outlineLevel="0" collapsed="false">
      <c r="A2263" s="25" t="n">
        <v>20270106</v>
      </c>
      <c r="B2263" s="25" t="s">
        <v>2243</v>
      </c>
      <c r="C2263" s="27" t="b">
        <f aca="false">FALSE()</f>
        <v>0</v>
      </c>
      <c r="D2263" s="26" t="n">
        <v>46393</v>
      </c>
      <c r="E2263" s="25" t="n">
        <v>2027</v>
      </c>
      <c r="F2263" s="25" t="n">
        <v>1</v>
      </c>
      <c r="G2263" s="25" t="n">
        <v>1</v>
      </c>
    </row>
    <row r="2264" customFormat="false" ht="15" hidden="false" customHeight="false" outlineLevel="0" collapsed="false">
      <c r="A2264" s="25" t="n">
        <v>20270107</v>
      </c>
      <c r="B2264" s="25" t="s">
        <v>2243</v>
      </c>
      <c r="C2264" s="27" t="b">
        <f aca="false">FALSE()</f>
        <v>0</v>
      </c>
      <c r="D2264" s="26" t="n">
        <v>46394</v>
      </c>
      <c r="E2264" s="25" t="n">
        <v>2027</v>
      </c>
      <c r="F2264" s="25" t="n">
        <v>1</v>
      </c>
      <c r="G2264" s="25" t="n">
        <v>1</v>
      </c>
    </row>
    <row r="2265" customFormat="false" ht="15" hidden="false" customHeight="false" outlineLevel="0" collapsed="false">
      <c r="A2265" s="25" t="n">
        <v>20270108</v>
      </c>
      <c r="B2265" s="25" t="s">
        <v>2243</v>
      </c>
      <c r="C2265" s="27" t="b">
        <f aca="false">FALSE()</f>
        <v>0</v>
      </c>
      <c r="D2265" s="26" t="n">
        <v>46395</v>
      </c>
      <c r="E2265" s="25" t="n">
        <v>2027</v>
      </c>
      <c r="F2265" s="25" t="n">
        <v>1</v>
      </c>
      <c r="G2265" s="25" t="n">
        <v>1</v>
      </c>
    </row>
    <row r="2266" customFormat="false" ht="15" hidden="false" customHeight="false" outlineLevel="0" collapsed="false">
      <c r="A2266" s="25" t="n">
        <v>20270109</v>
      </c>
      <c r="B2266" s="25" t="s">
        <v>2243</v>
      </c>
      <c r="C2266" s="27" t="b">
        <f aca="false">TRUE()</f>
        <v>1</v>
      </c>
      <c r="D2266" s="26" t="n">
        <v>46396</v>
      </c>
      <c r="E2266" s="25" t="n">
        <v>2027</v>
      </c>
      <c r="F2266" s="25" t="n">
        <v>1</v>
      </c>
      <c r="G2266" s="25" t="n">
        <v>1</v>
      </c>
    </row>
    <row r="2267" customFormat="false" ht="15" hidden="false" customHeight="false" outlineLevel="0" collapsed="false">
      <c r="A2267" s="25" t="n">
        <v>20270110</v>
      </c>
      <c r="B2267" s="25" t="s">
        <v>2243</v>
      </c>
      <c r="C2267" s="27" t="b">
        <f aca="false">TRUE()</f>
        <v>1</v>
      </c>
      <c r="D2267" s="26" t="n">
        <v>46397</v>
      </c>
      <c r="E2267" s="25" t="n">
        <v>2027</v>
      </c>
      <c r="F2267" s="25" t="n">
        <v>1</v>
      </c>
      <c r="G2267" s="25" t="n">
        <v>1</v>
      </c>
    </row>
    <row r="2268" customFormat="false" ht="15" hidden="false" customHeight="false" outlineLevel="0" collapsed="false">
      <c r="A2268" s="25" t="n">
        <v>20270111</v>
      </c>
      <c r="B2268" s="25" t="s">
        <v>2243</v>
      </c>
      <c r="C2268" s="27" t="b">
        <f aca="false">FALSE()</f>
        <v>0</v>
      </c>
      <c r="D2268" s="26" t="n">
        <v>46398</v>
      </c>
      <c r="E2268" s="25" t="n">
        <v>2027</v>
      </c>
      <c r="F2268" s="25" t="n">
        <v>1</v>
      </c>
      <c r="G2268" s="25" t="n">
        <v>1</v>
      </c>
    </row>
    <row r="2269" customFormat="false" ht="15" hidden="false" customHeight="false" outlineLevel="0" collapsed="false">
      <c r="A2269" s="25" t="n">
        <v>20270112</v>
      </c>
      <c r="B2269" s="25" t="s">
        <v>2243</v>
      </c>
      <c r="C2269" s="27" t="b">
        <f aca="false">FALSE()</f>
        <v>0</v>
      </c>
      <c r="D2269" s="26" t="n">
        <v>46399</v>
      </c>
      <c r="E2269" s="25" t="n">
        <v>2027</v>
      </c>
      <c r="F2269" s="25" t="n">
        <v>1</v>
      </c>
      <c r="G2269" s="25" t="n">
        <v>1</v>
      </c>
    </row>
    <row r="2270" customFormat="false" ht="15" hidden="false" customHeight="false" outlineLevel="0" collapsed="false">
      <c r="A2270" s="25" t="n">
        <v>20270113</v>
      </c>
      <c r="B2270" s="25" t="s">
        <v>2243</v>
      </c>
      <c r="C2270" s="27" t="b">
        <f aca="false">FALSE()</f>
        <v>0</v>
      </c>
      <c r="D2270" s="26" t="n">
        <v>46400</v>
      </c>
      <c r="E2270" s="25" t="n">
        <v>2027</v>
      </c>
      <c r="F2270" s="25" t="n">
        <v>1</v>
      </c>
      <c r="G2270" s="25" t="n">
        <v>1</v>
      </c>
    </row>
    <row r="2271" customFormat="false" ht="15" hidden="false" customHeight="false" outlineLevel="0" collapsed="false">
      <c r="A2271" s="25" t="n">
        <v>20270114</v>
      </c>
      <c r="B2271" s="25" t="s">
        <v>2243</v>
      </c>
      <c r="C2271" s="27" t="b">
        <f aca="false">FALSE()</f>
        <v>0</v>
      </c>
      <c r="D2271" s="26" t="n">
        <v>46401</v>
      </c>
      <c r="E2271" s="25" t="n">
        <v>2027</v>
      </c>
      <c r="F2271" s="25" t="n">
        <v>1</v>
      </c>
      <c r="G2271" s="25" t="n">
        <v>1</v>
      </c>
    </row>
    <row r="2272" customFormat="false" ht="15" hidden="false" customHeight="false" outlineLevel="0" collapsed="false">
      <c r="A2272" s="25" t="n">
        <v>20270115</v>
      </c>
      <c r="B2272" s="25" t="s">
        <v>2243</v>
      </c>
      <c r="C2272" s="27" t="b">
        <f aca="false">FALSE()</f>
        <v>0</v>
      </c>
      <c r="D2272" s="26" t="n">
        <v>46402</v>
      </c>
      <c r="E2272" s="25" t="n">
        <v>2027</v>
      </c>
      <c r="F2272" s="25" t="n">
        <v>1</v>
      </c>
      <c r="G2272" s="2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5"/>
  </cols>
  <sheetData>
    <row r="1" customFormat="false" ht="30" hidden="false" customHeight="true" outlineLevel="0" collapsed="false">
      <c r="A1" s="10" t="s">
        <v>2252</v>
      </c>
      <c r="B1" s="10" t="s">
        <v>758</v>
      </c>
      <c r="C1" s="10" t="s">
        <v>759</v>
      </c>
      <c r="D1" s="10" t="s">
        <v>2253</v>
      </c>
      <c r="E1" s="10" t="s">
        <v>1695</v>
      </c>
      <c r="F1" s="10" t="s">
        <v>2182</v>
      </c>
      <c r="G1" s="10" t="s">
        <v>762</v>
      </c>
      <c r="H1" s="10" t="s">
        <v>2254</v>
      </c>
      <c r="I1" s="10" t="s">
        <v>2255</v>
      </c>
      <c r="J1" s="10" t="s">
        <v>763</v>
      </c>
      <c r="K1" s="10" t="s">
        <v>764</v>
      </c>
      <c r="L1" s="10" t="s">
        <v>765</v>
      </c>
      <c r="M1" s="10" t="s">
        <v>766</v>
      </c>
      <c r="N1" s="10" t="s">
        <v>767</v>
      </c>
      <c r="O1" s="10" t="s">
        <v>768</v>
      </c>
      <c r="P1" s="10" t="s">
        <v>769</v>
      </c>
      <c r="Q1" s="10" t="s">
        <v>2256</v>
      </c>
      <c r="R1" s="10" t="s">
        <v>2257</v>
      </c>
      <c r="S1" s="10" t="s">
        <v>2258</v>
      </c>
    </row>
    <row r="2" customFormat="false" ht="15" hidden="false" customHeight="false" outlineLevel="0" collapsed="false">
      <c r="A2" s="25" t="n">
        <v>1</v>
      </c>
      <c r="B2" s="25" t="s">
        <v>773</v>
      </c>
      <c r="C2" s="25" t="s">
        <v>338</v>
      </c>
      <c r="D2" s="25" t="n">
        <v>20240129</v>
      </c>
      <c r="E2" s="25" t="n">
        <v>101</v>
      </c>
      <c r="F2" s="25" t="n">
        <v>9</v>
      </c>
      <c r="G2" s="25" t="s">
        <v>113</v>
      </c>
      <c r="H2" s="25" t="s">
        <v>25</v>
      </c>
      <c r="I2" s="25" t="s">
        <v>71</v>
      </c>
      <c r="J2" s="25" t="s">
        <v>242</v>
      </c>
      <c r="K2" s="25" t="n">
        <v>3</v>
      </c>
      <c r="L2" s="25" t="n">
        <v>26274.11</v>
      </c>
      <c r="M2" s="25" t="n">
        <v>5</v>
      </c>
      <c r="N2" s="25" t="n">
        <v>78822.33</v>
      </c>
      <c r="O2" s="25" t="n">
        <v>3941.12</v>
      </c>
      <c r="P2" s="25" t="n">
        <v>74881.21</v>
      </c>
      <c r="Q2" s="27" t="b">
        <f aca="false">FALSE()</f>
        <v>0</v>
      </c>
      <c r="R2" s="27" t="b">
        <f aca="false">FALSE()</f>
        <v>0</v>
      </c>
      <c r="S2" s="27" t="b">
        <f aca="false">FALSE()</f>
        <v>0</v>
      </c>
    </row>
    <row r="3" customFormat="false" ht="15" hidden="false" customHeight="false" outlineLevel="0" collapsed="false">
      <c r="A3" s="25" t="n">
        <v>2</v>
      </c>
      <c r="B3" s="25" t="s">
        <v>776</v>
      </c>
      <c r="C3" s="25" t="s">
        <v>338</v>
      </c>
      <c r="D3" s="25" t="n">
        <v>20240129</v>
      </c>
      <c r="E3" s="25" t="n">
        <v>101</v>
      </c>
      <c r="F3" s="25" t="n">
        <v>65</v>
      </c>
      <c r="G3" s="25" t="s">
        <v>113</v>
      </c>
      <c r="H3" s="25" t="s">
        <v>25</v>
      </c>
      <c r="I3" s="25" t="s">
        <v>71</v>
      </c>
      <c r="J3" s="25" t="s">
        <v>242</v>
      </c>
      <c r="K3" s="25" t="n">
        <v>4</v>
      </c>
      <c r="L3" s="25" t="n">
        <v>15706.03</v>
      </c>
      <c r="M3" s="25" t="n">
        <v>20</v>
      </c>
      <c r="N3" s="25" t="n">
        <v>62824.12</v>
      </c>
      <c r="O3" s="25" t="n">
        <v>12564.82</v>
      </c>
      <c r="P3" s="25" t="n">
        <v>50259.3</v>
      </c>
      <c r="Q3" s="27" t="b">
        <f aca="false">TRUE()</f>
        <v>1</v>
      </c>
      <c r="R3" s="27" t="b">
        <f aca="false">FALSE()</f>
        <v>0</v>
      </c>
      <c r="S3" s="27" t="b">
        <f aca="false">FALSE()</f>
        <v>0</v>
      </c>
    </row>
    <row r="4" customFormat="false" ht="15" hidden="false" customHeight="false" outlineLevel="0" collapsed="false">
      <c r="A4" s="25" t="n">
        <v>3</v>
      </c>
      <c r="B4" s="25" t="s">
        <v>777</v>
      </c>
      <c r="C4" s="25" t="s">
        <v>338</v>
      </c>
      <c r="D4" s="25" t="n">
        <v>20240129</v>
      </c>
      <c r="E4" s="25" t="n">
        <v>101</v>
      </c>
      <c r="F4" s="25" t="n">
        <v>15</v>
      </c>
      <c r="G4" s="25" t="s">
        <v>113</v>
      </c>
      <c r="H4" s="25" t="s">
        <v>25</v>
      </c>
      <c r="I4" s="25" t="s">
        <v>71</v>
      </c>
      <c r="J4" s="25" t="s">
        <v>242</v>
      </c>
      <c r="K4" s="25" t="n">
        <v>1</v>
      </c>
      <c r="L4" s="25" t="n">
        <v>4516.1</v>
      </c>
      <c r="M4" s="25" t="n">
        <v>5</v>
      </c>
      <c r="N4" s="25" t="n">
        <v>4516.1</v>
      </c>
      <c r="O4" s="25" t="n">
        <v>225.8</v>
      </c>
      <c r="P4" s="25" t="n">
        <v>4290.3</v>
      </c>
      <c r="Q4" s="27" t="b">
        <f aca="false">FALSE()</f>
        <v>0</v>
      </c>
      <c r="R4" s="27" t="b">
        <f aca="false">FALSE()</f>
        <v>0</v>
      </c>
      <c r="S4" s="27" t="b">
        <f aca="false">FALSE()</f>
        <v>0</v>
      </c>
    </row>
    <row r="5" customFormat="false" ht="15" hidden="false" customHeight="false" outlineLevel="0" collapsed="false">
      <c r="A5" s="25" t="n">
        <v>4</v>
      </c>
      <c r="B5" s="25" t="s">
        <v>779</v>
      </c>
      <c r="C5" s="25" t="s">
        <v>338</v>
      </c>
      <c r="D5" s="25" t="n">
        <v>20240129</v>
      </c>
      <c r="E5" s="25" t="n">
        <v>101</v>
      </c>
      <c r="F5" s="25" t="n">
        <v>23</v>
      </c>
      <c r="G5" s="25" t="s">
        <v>113</v>
      </c>
      <c r="H5" s="25" t="s">
        <v>25</v>
      </c>
      <c r="I5" s="25" t="s">
        <v>71</v>
      </c>
      <c r="J5" s="25" t="s">
        <v>242</v>
      </c>
      <c r="K5" s="25" t="n">
        <v>5</v>
      </c>
      <c r="L5" s="25" t="n">
        <v>3019.36</v>
      </c>
      <c r="M5" s="25" t="n">
        <v>10</v>
      </c>
      <c r="N5" s="25" t="n">
        <v>15096.8</v>
      </c>
      <c r="O5" s="25" t="n">
        <v>1509.68</v>
      </c>
      <c r="P5" s="25" t="n">
        <v>13587.12</v>
      </c>
      <c r="Q5" s="27" t="b">
        <f aca="false">FALSE()</f>
        <v>0</v>
      </c>
      <c r="R5" s="27" t="b">
        <f aca="false">FALSE()</f>
        <v>0</v>
      </c>
      <c r="S5" s="27" t="b">
        <f aca="false">FALSE()</f>
        <v>0</v>
      </c>
    </row>
    <row r="6" customFormat="false" ht="15" hidden="false" customHeight="false" outlineLevel="0" collapsed="false">
      <c r="A6" s="25" t="n">
        <v>5</v>
      </c>
      <c r="B6" s="25" t="s">
        <v>780</v>
      </c>
      <c r="C6" s="25" t="s">
        <v>578</v>
      </c>
      <c r="D6" s="25" t="n">
        <v>20250530</v>
      </c>
      <c r="E6" s="25" t="n">
        <v>142</v>
      </c>
      <c r="F6" s="25" t="n">
        <v>70</v>
      </c>
      <c r="G6" s="25" t="s">
        <v>114</v>
      </c>
      <c r="H6" s="25" t="s">
        <v>25</v>
      </c>
      <c r="I6" s="25" t="s">
        <v>1770</v>
      </c>
      <c r="J6" s="25" t="s">
        <v>242</v>
      </c>
      <c r="K6" s="25" t="n">
        <v>4</v>
      </c>
      <c r="L6" s="25" t="n">
        <v>3962.52</v>
      </c>
      <c r="M6" s="25" t="n">
        <v>10</v>
      </c>
      <c r="N6" s="25" t="n">
        <v>15850.08</v>
      </c>
      <c r="O6" s="25" t="n">
        <v>1585.01</v>
      </c>
      <c r="P6" s="25" t="n">
        <v>14265.07</v>
      </c>
      <c r="Q6" s="27" t="b">
        <f aca="false">FALSE()</f>
        <v>0</v>
      </c>
      <c r="R6" s="27" t="b">
        <f aca="false">FALSE()</f>
        <v>0</v>
      </c>
      <c r="S6" s="27" t="b">
        <f aca="false">FALSE()</f>
        <v>0</v>
      </c>
    </row>
    <row r="7" customFormat="false" ht="15" hidden="false" customHeight="false" outlineLevel="0" collapsed="false">
      <c r="A7" s="25" t="n">
        <v>6</v>
      </c>
      <c r="B7" s="25" t="s">
        <v>782</v>
      </c>
      <c r="C7" s="25" t="s">
        <v>578</v>
      </c>
      <c r="D7" s="25" t="n">
        <v>20250530</v>
      </c>
      <c r="E7" s="25" t="n">
        <v>142</v>
      </c>
      <c r="F7" s="25" t="n">
        <v>49</v>
      </c>
      <c r="G7" s="25" t="s">
        <v>114</v>
      </c>
      <c r="H7" s="25" t="s">
        <v>25</v>
      </c>
      <c r="I7" s="25" t="s">
        <v>1770</v>
      </c>
      <c r="J7" s="25" t="s">
        <v>242</v>
      </c>
      <c r="K7" s="25" t="n">
        <v>5</v>
      </c>
      <c r="L7" s="25" t="n">
        <v>12393.99</v>
      </c>
      <c r="M7" s="25" t="n">
        <v>10</v>
      </c>
      <c r="N7" s="25" t="n">
        <v>61969.95</v>
      </c>
      <c r="O7" s="25" t="n">
        <v>6197</v>
      </c>
      <c r="P7" s="25" t="n">
        <v>55772.95</v>
      </c>
      <c r="Q7" s="27" t="b">
        <f aca="false">FALSE()</f>
        <v>0</v>
      </c>
      <c r="R7" s="27" t="b">
        <f aca="false">FALSE()</f>
        <v>0</v>
      </c>
      <c r="S7" s="27" t="b">
        <f aca="false">FALSE()</f>
        <v>0</v>
      </c>
    </row>
    <row r="8" customFormat="false" ht="15" hidden="false" customHeight="false" outlineLevel="0" collapsed="false">
      <c r="A8" s="25" t="n">
        <v>7</v>
      </c>
      <c r="B8" s="25" t="s">
        <v>783</v>
      </c>
      <c r="C8" s="25" t="s">
        <v>389</v>
      </c>
      <c r="D8" s="25" t="n">
        <v>20240704</v>
      </c>
      <c r="E8" s="25" t="n">
        <v>139</v>
      </c>
      <c r="F8" s="25" t="n">
        <v>27</v>
      </c>
      <c r="G8" s="25" t="s">
        <v>114</v>
      </c>
      <c r="H8" s="25" t="s">
        <v>25</v>
      </c>
      <c r="I8" s="25" t="s">
        <v>79</v>
      </c>
      <c r="J8" s="25" t="s">
        <v>250</v>
      </c>
      <c r="K8" s="25" t="n">
        <v>2</v>
      </c>
      <c r="L8" s="25" t="n">
        <v>20550.39</v>
      </c>
      <c r="M8" s="25" t="n">
        <v>0</v>
      </c>
      <c r="N8" s="25" t="n">
        <v>41100.78</v>
      </c>
      <c r="O8" s="25" t="n">
        <v>0</v>
      </c>
      <c r="P8" s="25" t="n">
        <v>41100.78</v>
      </c>
      <c r="Q8" s="27" t="b">
        <f aca="false">FALSE()</f>
        <v>0</v>
      </c>
      <c r="R8" s="27" t="b">
        <f aca="false">FALSE()</f>
        <v>0</v>
      </c>
      <c r="S8" s="27" t="b">
        <f aca="false">FALSE()</f>
        <v>0</v>
      </c>
    </row>
    <row r="9" customFormat="false" ht="15" hidden="false" customHeight="false" outlineLevel="0" collapsed="false">
      <c r="A9" s="25" t="n">
        <v>8</v>
      </c>
      <c r="B9" s="25" t="s">
        <v>785</v>
      </c>
      <c r="C9" s="25" t="s">
        <v>389</v>
      </c>
      <c r="D9" s="25" t="n">
        <v>20240704</v>
      </c>
      <c r="E9" s="25" t="n">
        <v>139</v>
      </c>
      <c r="F9" s="25" t="n">
        <v>18</v>
      </c>
      <c r="G9" s="25" t="s">
        <v>114</v>
      </c>
      <c r="H9" s="25" t="s">
        <v>25</v>
      </c>
      <c r="I9" s="25" t="s">
        <v>79</v>
      </c>
      <c r="J9" s="25" t="s">
        <v>250</v>
      </c>
      <c r="K9" s="25" t="n">
        <v>5</v>
      </c>
      <c r="L9" s="25" t="n">
        <v>17477.91</v>
      </c>
      <c r="M9" s="25" t="n">
        <v>10</v>
      </c>
      <c r="N9" s="25" t="n">
        <v>87389.55</v>
      </c>
      <c r="O9" s="25" t="n">
        <v>8738.96</v>
      </c>
      <c r="P9" s="25" t="n">
        <v>78650.59</v>
      </c>
      <c r="Q9" s="27" t="b">
        <f aca="false">FALSE()</f>
        <v>0</v>
      </c>
      <c r="R9" s="27" t="b">
        <f aca="false">FALSE()</f>
        <v>0</v>
      </c>
      <c r="S9" s="27" t="b">
        <f aca="false">FALSE()</f>
        <v>0</v>
      </c>
    </row>
    <row r="10" customFormat="false" ht="15" hidden="false" customHeight="false" outlineLevel="0" collapsed="false">
      <c r="A10" s="25" t="n">
        <v>9</v>
      </c>
      <c r="B10" s="25" t="s">
        <v>787</v>
      </c>
      <c r="C10" s="25" t="s">
        <v>389</v>
      </c>
      <c r="D10" s="25" t="n">
        <v>20240704</v>
      </c>
      <c r="E10" s="25" t="n">
        <v>139</v>
      </c>
      <c r="F10" s="25" t="n">
        <v>62</v>
      </c>
      <c r="G10" s="25" t="s">
        <v>114</v>
      </c>
      <c r="H10" s="25" t="s">
        <v>25</v>
      </c>
      <c r="I10" s="25" t="s">
        <v>79</v>
      </c>
      <c r="J10" s="25" t="s">
        <v>250</v>
      </c>
      <c r="K10" s="25" t="n">
        <v>4</v>
      </c>
      <c r="L10" s="25" t="n">
        <v>8493.72</v>
      </c>
      <c r="M10" s="25" t="n">
        <v>5</v>
      </c>
      <c r="N10" s="25" t="n">
        <v>33974.88</v>
      </c>
      <c r="O10" s="25" t="n">
        <v>1698.74</v>
      </c>
      <c r="P10" s="25" t="n">
        <v>32276.14</v>
      </c>
      <c r="Q10" s="27" t="b">
        <f aca="false">FALSE()</f>
        <v>0</v>
      </c>
      <c r="R10" s="27" t="b">
        <f aca="false">FALSE()</f>
        <v>0</v>
      </c>
      <c r="S10" s="27" t="b">
        <f aca="false">FALSE()</f>
        <v>0</v>
      </c>
    </row>
    <row r="11" customFormat="false" ht="15" hidden="false" customHeight="false" outlineLevel="0" collapsed="false">
      <c r="A11" s="25" t="n">
        <v>10</v>
      </c>
      <c r="B11" s="25" t="s">
        <v>788</v>
      </c>
      <c r="C11" s="25" t="s">
        <v>389</v>
      </c>
      <c r="D11" s="25" t="n">
        <v>20240704</v>
      </c>
      <c r="E11" s="25" t="n">
        <v>139</v>
      </c>
      <c r="F11" s="25" t="n">
        <v>63</v>
      </c>
      <c r="G11" s="25" t="s">
        <v>114</v>
      </c>
      <c r="H11" s="25" t="s">
        <v>25</v>
      </c>
      <c r="I11" s="25" t="s">
        <v>79</v>
      </c>
      <c r="J11" s="25" t="s">
        <v>250</v>
      </c>
      <c r="K11" s="25" t="n">
        <v>2</v>
      </c>
      <c r="L11" s="25" t="n">
        <v>9269.43</v>
      </c>
      <c r="M11" s="25" t="n">
        <v>5</v>
      </c>
      <c r="N11" s="25" t="n">
        <v>18538.86</v>
      </c>
      <c r="O11" s="25" t="n">
        <v>926.94</v>
      </c>
      <c r="P11" s="25" t="n">
        <v>17611.92</v>
      </c>
      <c r="Q11" s="27" t="b">
        <f aca="false">FALSE()</f>
        <v>0</v>
      </c>
      <c r="R11" s="27" t="b">
        <f aca="false">FALSE()</f>
        <v>0</v>
      </c>
      <c r="S11" s="27" t="b">
        <f aca="false">FALSE()</f>
        <v>0</v>
      </c>
    </row>
    <row r="12" customFormat="false" ht="15" hidden="false" customHeight="false" outlineLevel="0" collapsed="false">
      <c r="A12" s="25" t="n">
        <v>11</v>
      </c>
      <c r="B12" s="25" t="s">
        <v>789</v>
      </c>
      <c r="C12" s="25" t="s">
        <v>396</v>
      </c>
      <c r="D12" s="25" t="n">
        <v>20250722</v>
      </c>
      <c r="E12" s="25" t="n">
        <v>60</v>
      </c>
      <c r="F12" s="25" t="n">
        <v>49</v>
      </c>
      <c r="G12" s="25" t="s">
        <v>113</v>
      </c>
      <c r="H12" s="25" t="s">
        <v>25</v>
      </c>
      <c r="I12" s="25" t="s">
        <v>71</v>
      </c>
      <c r="J12" s="25" t="s">
        <v>242</v>
      </c>
      <c r="K12" s="25" t="n">
        <v>5</v>
      </c>
      <c r="L12" s="25" t="n">
        <v>12393.99</v>
      </c>
      <c r="M12" s="25" t="n">
        <v>10</v>
      </c>
      <c r="N12" s="25" t="n">
        <v>61969.95</v>
      </c>
      <c r="O12" s="25" t="n">
        <v>6197</v>
      </c>
      <c r="P12" s="25" t="n">
        <v>55772.95</v>
      </c>
      <c r="Q12" s="27" t="b">
        <f aca="false">FALSE()</f>
        <v>0</v>
      </c>
      <c r="R12" s="27" t="b">
        <f aca="false">FALSE()</f>
        <v>0</v>
      </c>
      <c r="S12" s="27" t="b">
        <f aca="false">FALSE()</f>
        <v>0</v>
      </c>
    </row>
    <row r="13" customFormat="false" ht="15" hidden="false" customHeight="false" outlineLevel="0" collapsed="false">
      <c r="A13" s="25" t="n">
        <v>12</v>
      </c>
      <c r="B13" s="25" t="s">
        <v>791</v>
      </c>
      <c r="C13" s="25" t="s">
        <v>396</v>
      </c>
      <c r="D13" s="25" t="n">
        <v>20250722</v>
      </c>
      <c r="E13" s="25" t="n">
        <v>60</v>
      </c>
      <c r="F13" s="25" t="n">
        <v>57</v>
      </c>
      <c r="G13" s="25" t="s">
        <v>113</v>
      </c>
      <c r="H13" s="25" t="s">
        <v>25</v>
      </c>
      <c r="I13" s="25" t="s">
        <v>71</v>
      </c>
      <c r="J13" s="25" t="s">
        <v>242</v>
      </c>
      <c r="K13" s="25" t="n">
        <v>1</v>
      </c>
      <c r="L13" s="25" t="n">
        <v>11518.86</v>
      </c>
      <c r="M13" s="25" t="n">
        <v>0</v>
      </c>
      <c r="N13" s="25" t="n">
        <v>11518.86</v>
      </c>
      <c r="O13" s="25" t="n">
        <v>0</v>
      </c>
      <c r="P13" s="25" t="n">
        <v>11518.86</v>
      </c>
      <c r="Q13" s="27" t="b">
        <f aca="false">FALSE()</f>
        <v>0</v>
      </c>
      <c r="R13" s="27" t="b">
        <f aca="false">FALSE()</f>
        <v>0</v>
      </c>
      <c r="S13" s="27" t="b">
        <f aca="false">TRUE()</f>
        <v>1</v>
      </c>
    </row>
    <row r="14" customFormat="false" ht="15" hidden="false" customHeight="false" outlineLevel="0" collapsed="false">
      <c r="A14" s="25" t="n">
        <v>13</v>
      </c>
      <c r="B14" s="25" t="s">
        <v>792</v>
      </c>
      <c r="C14" s="25" t="s">
        <v>396</v>
      </c>
      <c r="D14" s="25" t="n">
        <v>20250722</v>
      </c>
      <c r="E14" s="25" t="n">
        <v>60</v>
      </c>
      <c r="F14" s="25" t="n">
        <v>56</v>
      </c>
      <c r="G14" s="25" t="s">
        <v>113</v>
      </c>
      <c r="H14" s="25" t="s">
        <v>25</v>
      </c>
      <c r="I14" s="25" t="s">
        <v>71</v>
      </c>
      <c r="J14" s="25" t="s">
        <v>242</v>
      </c>
      <c r="K14" s="25" t="n">
        <v>5</v>
      </c>
      <c r="L14" s="25" t="n">
        <v>16535.66</v>
      </c>
      <c r="M14" s="25" t="n">
        <v>20</v>
      </c>
      <c r="N14" s="25" t="n">
        <v>82678.3</v>
      </c>
      <c r="O14" s="25" t="n">
        <v>16535.66</v>
      </c>
      <c r="P14" s="25" t="n">
        <v>66142.64</v>
      </c>
      <c r="Q14" s="27" t="b">
        <f aca="false">FALSE()</f>
        <v>0</v>
      </c>
      <c r="R14" s="27" t="b">
        <f aca="false">FALSE()</f>
        <v>0</v>
      </c>
      <c r="S14" s="27" t="b">
        <f aca="false">FALSE()</f>
        <v>0</v>
      </c>
    </row>
    <row r="15" customFormat="false" ht="15" hidden="false" customHeight="false" outlineLevel="0" collapsed="false">
      <c r="A15" s="25" t="n">
        <v>14</v>
      </c>
      <c r="B15" s="25" t="s">
        <v>793</v>
      </c>
      <c r="C15" s="25" t="s">
        <v>396</v>
      </c>
      <c r="D15" s="25" t="n">
        <v>20250722</v>
      </c>
      <c r="E15" s="25" t="n">
        <v>60</v>
      </c>
      <c r="F15" s="25" t="n">
        <v>30</v>
      </c>
      <c r="G15" s="25" t="s">
        <v>113</v>
      </c>
      <c r="H15" s="25" t="s">
        <v>25</v>
      </c>
      <c r="I15" s="25" t="s">
        <v>71</v>
      </c>
      <c r="J15" s="25" t="s">
        <v>242</v>
      </c>
      <c r="K15" s="25" t="n">
        <v>2</v>
      </c>
      <c r="L15" s="25" t="n">
        <v>20253.93</v>
      </c>
      <c r="M15" s="25" t="n">
        <v>10</v>
      </c>
      <c r="N15" s="25" t="n">
        <v>40507.86</v>
      </c>
      <c r="O15" s="25" t="n">
        <v>4050.79</v>
      </c>
      <c r="P15" s="25" t="n">
        <v>36457.07</v>
      </c>
      <c r="Q15" s="27" t="b">
        <f aca="false">FALSE()</f>
        <v>0</v>
      </c>
      <c r="R15" s="27" t="b">
        <f aca="false">FALSE()</f>
        <v>0</v>
      </c>
      <c r="S15" s="27" t="b">
        <f aca="false">FALSE()</f>
        <v>0</v>
      </c>
    </row>
    <row r="16" customFormat="false" ht="15" hidden="false" customHeight="false" outlineLevel="0" collapsed="false">
      <c r="A16" s="25" t="n">
        <v>15</v>
      </c>
      <c r="B16" s="25" t="s">
        <v>795</v>
      </c>
      <c r="C16" s="25" t="s">
        <v>524</v>
      </c>
      <c r="D16" s="25" t="n">
        <v>20250508</v>
      </c>
      <c r="E16" s="25" t="n">
        <v>25</v>
      </c>
      <c r="F16" s="25" t="n">
        <v>41</v>
      </c>
      <c r="G16" s="25" t="s">
        <v>113</v>
      </c>
      <c r="H16" s="25" t="s">
        <v>25</v>
      </c>
      <c r="I16" s="25" t="s">
        <v>75</v>
      </c>
      <c r="J16" s="25" t="s">
        <v>242</v>
      </c>
      <c r="K16" s="25" t="n">
        <v>4</v>
      </c>
      <c r="L16" s="25" t="n">
        <v>11992.92</v>
      </c>
      <c r="M16" s="25" t="n">
        <v>0</v>
      </c>
      <c r="N16" s="25" t="n">
        <v>47971.68</v>
      </c>
      <c r="O16" s="25" t="n">
        <v>0</v>
      </c>
      <c r="P16" s="25" t="n">
        <v>47971.68</v>
      </c>
      <c r="Q16" s="27" t="b">
        <f aca="false">FALSE()</f>
        <v>0</v>
      </c>
      <c r="R16" s="27" t="b">
        <f aca="false">FALSE()</f>
        <v>0</v>
      </c>
      <c r="S16" s="27" t="b">
        <f aca="false">FALSE()</f>
        <v>0</v>
      </c>
    </row>
    <row r="17" customFormat="false" ht="15" hidden="false" customHeight="false" outlineLevel="0" collapsed="false">
      <c r="A17" s="25" t="n">
        <v>16</v>
      </c>
      <c r="B17" s="25" t="s">
        <v>797</v>
      </c>
      <c r="C17" s="25" t="s">
        <v>524</v>
      </c>
      <c r="D17" s="25" t="n">
        <v>20250508</v>
      </c>
      <c r="E17" s="25" t="n">
        <v>25</v>
      </c>
      <c r="F17" s="25" t="n">
        <v>21</v>
      </c>
      <c r="G17" s="25" t="s">
        <v>113</v>
      </c>
      <c r="H17" s="25" t="s">
        <v>25</v>
      </c>
      <c r="I17" s="25" t="s">
        <v>75</v>
      </c>
      <c r="J17" s="25" t="s">
        <v>242</v>
      </c>
      <c r="K17" s="25" t="n">
        <v>4</v>
      </c>
      <c r="L17" s="25" t="n">
        <v>3184.81</v>
      </c>
      <c r="M17" s="25" t="n">
        <v>20</v>
      </c>
      <c r="N17" s="25" t="n">
        <v>12739.24</v>
      </c>
      <c r="O17" s="25" t="n">
        <v>2547.85</v>
      </c>
      <c r="P17" s="25" t="n">
        <v>10191.39</v>
      </c>
      <c r="Q17" s="27" t="b">
        <f aca="false">FALSE()</f>
        <v>0</v>
      </c>
      <c r="R17" s="27" t="b">
        <f aca="false">FALSE()</f>
        <v>0</v>
      </c>
      <c r="S17" s="27" t="b">
        <f aca="false">FALSE()</f>
        <v>0</v>
      </c>
    </row>
    <row r="18" customFormat="false" ht="15" hidden="false" customHeight="false" outlineLevel="0" collapsed="false">
      <c r="A18" s="25" t="n">
        <v>17</v>
      </c>
      <c r="B18" s="25" t="s">
        <v>798</v>
      </c>
      <c r="C18" s="25" t="s">
        <v>480</v>
      </c>
      <c r="D18" s="25" t="n">
        <v>20250319</v>
      </c>
      <c r="E18" s="25" t="n">
        <v>70</v>
      </c>
      <c r="F18" s="25" t="n">
        <v>59</v>
      </c>
      <c r="G18" s="25" t="s">
        <v>114</v>
      </c>
      <c r="H18" s="25" t="s">
        <v>2259</v>
      </c>
      <c r="I18" s="25" t="s">
        <v>89</v>
      </c>
      <c r="J18" s="25" t="s">
        <v>246</v>
      </c>
      <c r="K18" s="25" t="n">
        <v>5</v>
      </c>
      <c r="L18" s="25" t="n">
        <v>18828.5</v>
      </c>
      <c r="M18" s="25" t="n">
        <v>15</v>
      </c>
      <c r="N18" s="25" t="n">
        <v>94142.5</v>
      </c>
      <c r="O18" s="25" t="n">
        <v>14121.38</v>
      </c>
      <c r="P18" s="25" t="n">
        <v>80021.12</v>
      </c>
      <c r="Q18" s="27" t="b">
        <f aca="false">TRUE()</f>
        <v>1</v>
      </c>
      <c r="R18" s="27" t="b">
        <f aca="false">FALSE()</f>
        <v>0</v>
      </c>
      <c r="S18" s="27" t="b">
        <f aca="false">FALSE()</f>
        <v>0</v>
      </c>
    </row>
    <row r="19" customFormat="false" ht="15" hidden="false" customHeight="false" outlineLevel="0" collapsed="false">
      <c r="A19" s="25" t="n">
        <v>18</v>
      </c>
      <c r="B19" s="25" t="s">
        <v>800</v>
      </c>
      <c r="C19" s="25" t="s">
        <v>480</v>
      </c>
      <c r="D19" s="25" t="n">
        <v>20250319</v>
      </c>
      <c r="E19" s="25" t="n">
        <v>70</v>
      </c>
      <c r="F19" s="25" t="n">
        <v>2</v>
      </c>
      <c r="G19" s="25" t="s">
        <v>114</v>
      </c>
      <c r="H19" s="25" t="s">
        <v>2259</v>
      </c>
      <c r="I19" s="25" t="s">
        <v>89</v>
      </c>
      <c r="J19" s="25" t="s">
        <v>246</v>
      </c>
      <c r="K19" s="25" t="n">
        <v>3</v>
      </c>
      <c r="L19" s="25" t="n">
        <v>9953.59</v>
      </c>
      <c r="M19" s="25" t="n">
        <v>0</v>
      </c>
      <c r="N19" s="25" t="n">
        <v>29860.77</v>
      </c>
      <c r="O19" s="25" t="n">
        <v>0</v>
      </c>
      <c r="P19" s="25" t="n">
        <v>29860.77</v>
      </c>
      <c r="Q19" s="27" t="b">
        <f aca="false">FALSE()</f>
        <v>0</v>
      </c>
      <c r="R19" s="27" t="b">
        <f aca="false">FALSE()</f>
        <v>0</v>
      </c>
      <c r="S19" s="27" t="b">
        <f aca="false">FALSE()</f>
        <v>0</v>
      </c>
    </row>
    <row r="20" customFormat="false" ht="15" hidden="false" customHeight="false" outlineLevel="0" collapsed="false">
      <c r="A20" s="25" t="n">
        <v>19</v>
      </c>
      <c r="B20" s="25" t="s">
        <v>801</v>
      </c>
      <c r="C20" s="25" t="s">
        <v>480</v>
      </c>
      <c r="D20" s="25" t="n">
        <v>20250319</v>
      </c>
      <c r="E20" s="25" t="n">
        <v>70</v>
      </c>
      <c r="F20" s="25" t="n">
        <v>34</v>
      </c>
      <c r="G20" s="25" t="s">
        <v>114</v>
      </c>
      <c r="H20" s="25" t="s">
        <v>2259</v>
      </c>
      <c r="I20" s="25" t="s">
        <v>89</v>
      </c>
      <c r="J20" s="25" t="s">
        <v>246</v>
      </c>
      <c r="K20" s="25" t="n">
        <v>1</v>
      </c>
      <c r="L20" s="25" t="n">
        <v>11932.31</v>
      </c>
      <c r="M20" s="25" t="n">
        <v>0</v>
      </c>
      <c r="N20" s="25" t="n">
        <v>11932.31</v>
      </c>
      <c r="O20" s="25" t="n">
        <v>0</v>
      </c>
      <c r="P20" s="25" t="n">
        <v>11932.31</v>
      </c>
      <c r="Q20" s="27" t="b">
        <f aca="false">FALSE()</f>
        <v>0</v>
      </c>
      <c r="R20" s="27" t="b">
        <f aca="false">FALSE()</f>
        <v>0</v>
      </c>
      <c r="S20" s="27" t="b">
        <f aca="false">FALSE()</f>
        <v>0</v>
      </c>
    </row>
    <row r="21" customFormat="false" ht="15" hidden="false" customHeight="false" outlineLevel="0" collapsed="false">
      <c r="A21" s="25" t="n">
        <v>20</v>
      </c>
      <c r="B21" s="25" t="s">
        <v>802</v>
      </c>
      <c r="C21" s="25" t="s">
        <v>506</v>
      </c>
      <c r="D21" s="25" t="n">
        <v>20250629</v>
      </c>
      <c r="E21" s="25" t="n">
        <v>-1</v>
      </c>
      <c r="F21" s="25" t="n">
        <v>62</v>
      </c>
      <c r="G21" s="25" t="s">
        <v>113</v>
      </c>
      <c r="H21" s="25" t="s">
        <v>2260</v>
      </c>
      <c r="I21" s="25" t="s">
        <v>79</v>
      </c>
      <c r="J21" s="25" t="s">
        <v>250</v>
      </c>
      <c r="K21" s="25" t="n">
        <v>1</v>
      </c>
      <c r="L21" s="25" t="n">
        <v>8493.72</v>
      </c>
      <c r="M21" s="25" t="n">
        <v>0</v>
      </c>
      <c r="N21" s="25" t="n">
        <v>8493.72</v>
      </c>
      <c r="O21" s="25" t="n">
        <v>0</v>
      </c>
      <c r="P21" s="25" t="n">
        <v>8493.72</v>
      </c>
      <c r="Q21" s="27" t="b">
        <f aca="false">FALSE()</f>
        <v>0</v>
      </c>
      <c r="R21" s="27" t="b">
        <f aca="false">FALSE()</f>
        <v>0</v>
      </c>
      <c r="S21" s="27" t="b">
        <f aca="false">FALSE()</f>
        <v>0</v>
      </c>
    </row>
    <row r="22" customFormat="false" ht="15" hidden="false" customHeight="false" outlineLevel="0" collapsed="false">
      <c r="A22" s="25" t="n">
        <v>21</v>
      </c>
      <c r="B22" s="25" t="s">
        <v>804</v>
      </c>
      <c r="C22" s="25" t="s">
        <v>506</v>
      </c>
      <c r="D22" s="25" t="n">
        <v>20250629</v>
      </c>
      <c r="E22" s="25" t="n">
        <v>-1</v>
      </c>
      <c r="F22" s="25" t="n">
        <v>32</v>
      </c>
      <c r="G22" s="25" t="s">
        <v>113</v>
      </c>
      <c r="H22" s="25" t="s">
        <v>2260</v>
      </c>
      <c r="I22" s="25" t="s">
        <v>79</v>
      </c>
      <c r="J22" s="25" t="s">
        <v>250</v>
      </c>
      <c r="K22" s="25" t="n">
        <v>4</v>
      </c>
      <c r="L22" s="25" t="n">
        <v>23243.35</v>
      </c>
      <c r="M22" s="25" t="n">
        <v>20</v>
      </c>
      <c r="N22" s="25" t="n">
        <v>92973.4</v>
      </c>
      <c r="O22" s="25" t="n">
        <v>18594.68</v>
      </c>
      <c r="P22" s="25" t="n">
        <v>74378.72</v>
      </c>
      <c r="Q22" s="27" t="b">
        <f aca="false">FALSE()</f>
        <v>0</v>
      </c>
      <c r="R22" s="27" t="b">
        <f aca="false">FALSE()</f>
        <v>0</v>
      </c>
      <c r="S22" s="27" t="b">
        <f aca="false">FALSE()</f>
        <v>0</v>
      </c>
    </row>
    <row r="23" customFormat="false" ht="15" hidden="false" customHeight="false" outlineLevel="0" collapsed="false">
      <c r="A23" s="25" t="n">
        <v>22</v>
      </c>
      <c r="B23" s="25" t="s">
        <v>806</v>
      </c>
      <c r="C23" s="25" t="s">
        <v>506</v>
      </c>
      <c r="D23" s="25" t="n">
        <v>20250629</v>
      </c>
      <c r="E23" s="25" t="n">
        <v>-1</v>
      </c>
      <c r="F23" s="25" t="n">
        <v>51</v>
      </c>
      <c r="G23" s="25" t="s">
        <v>113</v>
      </c>
      <c r="H23" s="25" t="s">
        <v>2260</v>
      </c>
      <c r="I23" s="25" t="s">
        <v>79</v>
      </c>
      <c r="J23" s="25" t="s">
        <v>250</v>
      </c>
      <c r="K23" s="25" t="n">
        <v>4</v>
      </c>
      <c r="L23" s="25" t="n">
        <v>2089.56</v>
      </c>
      <c r="M23" s="25" t="n">
        <v>15</v>
      </c>
      <c r="N23" s="25" t="n">
        <v>8358.24</v>
      </c>
      <c r="O23" s="25" t="n">
        <v>1253.74</v>
      </c>
      <c r="P23" s="25" t="n">
        <v>7104.5</v>
      </c>
      <c r="Q23" s="27" t="b">
        <f aca="false">FALSE()</f>
        <v>0</v>
      </c>
      <c r="R23" s="27" t="b">
        <f aca="false">FALSE()</f>
        <v>0</v>
      </c>
      <c r="S23" s="27" t="b">
        <f aca="false">FALSE()</f>
        <v>0</v>
      </c>
    </row>
    <row r="24" customFormat="false" ht="15" hidden="false" customHeight="false" outlineLevel="0" collapsed="false">
      <c r="A24" s="25" t="n">
        <v>23</v>
      </c>
      <c r="B24" s="25" t="s">
        <v>807</v>
      </c>
      <c r="C24" s="25" t="s">
        <v>336</v>
      </c>
      <c r="D24" s="25" t="n">
        <v>20250526</v>
      </c>
      <c r="E24" s="25" t="n">
        <v>3</v>
      </c>
      <c r="F24" s="25" t="n">
        <v>50</v>
      </c>
      <c r="G24" s="25" t="s">
        <v>114</v>
      </c>
      <c r="H24" s="25" t="s">
        <v>2259</v>
      </c>
      <c r="I24" s="25" t="s">
        <v>83</v>
      </c>
      <c r="J24" s="25" t="s">
        <v>250</v>
      </c>
      <c r="K24" s="25" t="n">
        <v>2</v>
      </c>
      <c r="L24" s="25" t="n">
        <v>22582.54</v>
      </c>
      <c r="M24" s="25" t="n">
        <v>15</v>
      </c>
      <c r="N24" s="25" t="n">
        <v>45165.08</v>
      </c>
      <c r="O24" s="25" t="n">
        <v>6774.76</v>
      </c>
      <c r="P24" s="25" t="n">
        <v>38390.32</v>
      </c>
      <c r="Q24" s="27" t="b">
        <f aca="false">FALSE()</f>
        <v>0</v>
      </c>
      <c r="R24" s="27" t="b">
        <f aca="false">FALSE()</f>
        <v>0</v>
      </c>
      <c r="S24" s="27" t="b">
        <f aca="false">FALSE()</f>
        <v>0</v>
      </c>
    </row>
    <row r="25" customFormat="false" ht="15" hidden="false" customHeight="false" outlineLevel="0" collapsed="false">
      <c r="A25" s="25" t="n">
        <v>24</v>
      </c>
      <c r="B25" s="25" t="s">
        <v>810</v>
      </c>
      <c r="C25" s="25" t="s">
        <v>336</v>
      </c>
      <c r="D25" s="25" t="n">
        <v>20250526</v>
      </c>
      <c r="E25" s="25" t="n">
        <v>3</v>
      </c>
      <c r="F25" s="25" t="n">
        <v>41</v>
      </c>
      <c r="G25" s="25" t="s">
        <v>114</v>
      </c>
      <c r="H25" s="25" t="s">
        <v>2259</v>
      </c>
      <c r="I25" s="25" t="s">
        <v>83</v>
      </c>
      <c r="J25" s="25" t="s">
        <v>250</v>
      </c>
      <c r="K25" s="25" t="n">
        <v>3</v>
      </c>
      <c r="L25" s="25" t="n">
        <v>11992.92</v>
      </c>
      <c r="M25" s="25" t="n">
        <v>10</v>
      </c>
      <c r="N25" s="25" t="n">
        <v>35978.76</v>
      </c>
      <c r="O25" s="25" t="n">
        <v>3597.88</v>
      </c>
      <c r="P25" s="25" t="n">
        <v>32380.88</v>
      </c>
      <c r="Q25" s="27" t="b">
        <f aca="false">FALSE()</f>
        <v>0</v>
      </c>
      <c r="R25" s="27" t="b">
        <f aca="false">FALSE()</f>
        <v>0</v>
      </c>
      <c r="S25" s="27" t="b">
        <f aca="false">FALSE()</f>
        <v>0</v>
      </c>
    </row>
    <row r="26" customFormat="false" ht="15" hidden="false" customHeight="false" outlineLevel="0" collapsed="false">
      <c r="A26" s="25" t="n">
        <v>25</v>
      </c>
      <c r="B26" s="25" t="s">
        <v>811</v>
      </c>
      <c r="C26" s="25" t="s">
        <v>385</v>
      </c>
      <c r="D26" s="25" t="n">
        <v>20240629</v>
      </c>
      <c r="E26" s="25" t="n">
        <v>29</v>
      </c>
      <c r="F26" s="25" t="n">
        <v>28</v>
      </c>
      <c r="G26" s="25" t="s">
        <v>113</v>
      </c>
      <c r="H26" s="25" t="s">
        <v>2261</v>
      </c>
      <c r="I26" s="25" t="s">
        <v>1738</v>
      </c>
      <c r="J26" s="25" t="s">
        <v>242</v>
      </c>
      <c r="K26" s="25" t="n">
        <v>2</v>
      </c>
      <c r="L26" s="25" t="n">
        <v>7218.53</v>
      </c>
      <c r="M26" s="25" t="n">
        <v>0</v>
      </c>
      <c r="N26" s="25" t="n">
        <v>14437.06</v>
      </c>
      <c r="O26" s="25" t="n">
        <v>0</v>
      </c>
      <c r="P26" s="25" t="n">
        <v>14437.06</v>
      </c>
      <c r="Q26" s="27" t="b">
        <f aca="false">FALSE()</f>
        <v>0</v>
      </c>
      <c r="R26" s="27" t="b">
        <f aca="false">FALSE()</f>
        <v>0</v>
      </c>
      <c r="S26" s="27" t="b">
        <f aca="false">FALSE()</f>
        <v>0</v>
      </c>
    </row>
    <row r="27" customFormat="false" ht="15" hidden="false" customHeight="false" outlineLevel="0" collapsed="false">
      <c r="A27" s="25" t="n">
        <v>26</v>
      </c>
      <c r="B27" s="25" t="s">
        <v>813</v>
      </c>
      <c r="C27" s="25" t="s">
        <v>385</v>
      </c>
      <c r="D27" s="25" t="n">
        <v>20240629</v>
      </c>
      <c r="E27" s="25" t="n">
        <v>29</v>
      </c>
      <c r="F27" s="25" t="n">
        <v>42</v>
      </c>
      <c r="G27" s="25" t="s">
        <v>113</v>
      </c>
      <c r="H27" s="25" t="s">
        <v>2261</v>
      </c>
      <c r="I27" s="25" t="s">
        <v>1738</v>
      </c>
      <c r="J27" s="25" t="s">
        <v>242</v>
      </c>
      <c r="K27" s="25" t="n">
        <v>1</v>
      </c>
      <c r="L27" s="25" t="n">
        <v>11284.39</v>
      </c>
      <c r="M27" s="25" t="n">
        <v>0</v>
      </c>
      <c r="N27" s="25" t="n">
        <v>11284.39</v>
      </c>
      <c r="O27" s="25" t="n">
        <v>0</v>
      </c>
      <c r="P27" s="25" t="n">
        <v>11284.39</v>
      </c>
      <c r="Q27" s="27" t="b">
        <f aca="false">TRUE()</f>
        <v>1</v>
      </c>
      <c r="R27" s="27" t="b">
        <f aca="false">FALSE()</f>
        <v>0</v>
      </c>
      <c r="S27" s="27" t="b">
        <f aca="false">FALSE()</f>
        <v>0</v>
      </c>
    </row>
    <row r="28" customFormat="false" ht="15" hidden="false" customHeight="false" outlineLevel="0" collapsed="false">
      <c r="A28" s="25" t="n">
        <v>27</v>
      </c>
      <c r="B28" s="25" t="s">
        <v>814</v>
      </c>
      <c r="C28" s="25" t="s">
        <v>489</v>
      </c>
      <c r="D28" s="25" t="n">
        <v>20251104</v>
      </c>
      <c r="E28" s="25" t="n">
        <v>70</v>
      </c>
      <c r="F28" s="25" t="n">
        <v>32</v>
      </c>
      <c r="G28" s="25" t="s">
        <v>115</v>
      </c>
      <c r="H28" s="25" t="s">
        <v>25</v>
      </c>
      <c r="I28" s="25" t="s">
        <v>89</v>
      </c>
      <c r="J28" s="25" t="s">
        <v>250</v>
      </c>
      <c r="K28" s="25" t="n">
        <v>2</v>
      </c>
      <c r="L28" s="25" t="n">
        <v>23243.35</v>
      </c>
      <c r="M28" s="25" t="n">
        <v>0</v>
      </c>
      <c r="N28" s="25" t="n">
        <v>46486.7</v>
      </c>
      <c r="O28" s="25" t="n">
        <v>0</v>
      </c>
      <c r="P28" s="25" t="n">
        <v>46486.7</v>
      </c>
      <c r="Q28" s="27" t="b">
        <f aca="false">FALSE()</f>
        <v>0</v>
      </c>
      <c r="R28" s="27" t="b">
        <f aca="false">FALSE()</f>
        <v>0</v>
      </c>
      <c r="S28" s="27" t="b">
        <f aca="false">FALSE()</f>
        <v>0</v>
      </c>
    </row>
    <row r="29" customFormat="false" ht="15" hidden="false" customHeight="false" outlineLevel="0" collapsed="false">
      <c r="A29" s="25" t="n">
        <v>28</v>
      </c>
      <c r="B29" s="25" t="s">
        <v>815</v>
      </c>
      <c r="C29" s="25" t="s">
        <v>489</v>
      </c>
      <c r="D29" s="25" t="n">
        <v>20251104</v>
      </c>
      <c r="E29" s="25" t="n">
        <v>70</v>
      </c>
      <c r="F29" s="25" t="n">
        <v>54</v>
      </c>
      <c r="G29" s="25" t="s">
        <v>115</v>
      </c>
      <c r="H29" s="25" t="s">
        <v>25</v>
      </c>
      <c r="I29" s="25" t="s">
        <v>89</v>
      </c>
      <c r="J29" s="25" t="s">
        <v>250</v>
      </c>
      <c r="K29" s="25" t="n">
        <v>4</v>
      </c>
      <c r="L29" s="25" t="n">
        <v>20481.04</v>
      </c>
      <c r="M29" s="25" t="n">
        <v>10</v>
      </c>
      <c r="N29" s="25" t="n">
        <v>81924.16</v>
      </c>
      <c r="O29" s="25" t="n">
        <v>8192.42</v>
      </c>
      <c r="P29" s="25" t="n">
        <v>73731.74</v>
      </c>
      <c r="Q29" s="27" t="b">
        <f aca="false">FALSE()</f>
        <v>0</v>
      </c>
      <c r="R29" s="27" t="b">
        <f aca="false">FALSE()</f>
        <v>0</v>
      </c>
      <c r="S29" s="27" t="b">
        <f aca="false">FALSE()</f>
        <v>0</v>
      </c>
    </row>
    <row r="30" customFormat="false" ht="15" hidden="false" customHeight="false" outlineLevel="0" collapsed="false">
      <c r="A30" s="25" t="n">
        <v>29</v>
      </c>
      <c r="B30" s="25" t="s">
        <v>816</v>
      </c>
      <c r="C30" s="25" t="s">
        <v>489</v>
      </c>
      <c r="D30" s="25" t="n">
        <v>20251104</v>
      </c>
      <c r="E30" s="25" t="n">
        <v>70</v>
      </c>
      <c r="F30" s="25" t="n">
        <v>37</v>
      </c>
      <c r="G30" s="25" t="s">
        <v>115</v>
      </c>
      <c r="H30" s="25" t="s">
        <v>25</v>
      </c>
      <c r="I30" s="25" t="s">
        <v>89</v>
      </c>
      <c r="J30" s="25" t="s">
        <v>250</v>
      </c>
      <c r="K30" s="25" t="n">
        <v>4</v>
      </c>
      <c r="L30" s="25" t="n">
        <v>16084.14</v>
      </c>
      <c r="M30" s="25" t="n">
        <v>15</v>
      </c>
      <c r="N30" s="25" t="n">
        <v>64336.56</v>
      </c>
      <c r="O30" s="25" t="n">
        <v>9650.48</v>
      </c>
      <c r="P30" s="25" t="n">
        <v>54686.08</v>
      </c>
      <c r="Q30" s="27" t="b">
        <f aca="false">FALSE()</f>
        <v>0</v>
      </c>
      <c r="R30" s="27" t="b">
        <f aca="false">FALSE()</f>
        <v>0</v>
      </c>
      <c r="S30" s="27" t="b">
        <f aca="false">FALSE()</f>
        <v>0</v>
      </c>
    </row>
    <row r="31" customFormat="false" ht="15" hidden="false" customHeight="false" outlineLevel="0" collapsed="false">
      <c r="A31" s="25" t="n">
        <v>30</v>
      </c>
      <c r="B31" s="25" t="s">
        <v>817</v>
      </c>
      <c r="C31" s="25" t="s">
        <v>489</v>
      </c>
      <c r="D31" s="25" t="n">
        <v>20251104</v>
      </c>
      <c r="E31" s="25" t="n">
        <v>70</v>
      </c>
      <c r="F31" s="25" t="n">
        <v>37</v>
      </c>
      <c r="G31" s="25" t="s">
        <v>115</v>
      </c>
      <c r="H31" s="25" t="s">
        <v>25</v>
      </c>
      <c r="I31" s="25" t="s">
        <v>89</v>
      </c>
      <c r="J31" s="25" t="s">
        <v>250</v>
      </c>
      <c r="K31" s="25" t="n">
        <v>4</v>
      </c>
      <c r="L31" s="25" t="n">
        <v>16084.14</v>
      </c>
      <c r="M31" s="25" t="n">
        <v>10</v>
      </c>
      <c r="N31" s="25" t="n">
        <v>64336.56</v>
      </c>
      <c r="O31" s="25" t="n">
        <v>6433.66</v>
      </c>
      <c r="P31" s="25" t="n">
        <v>57902.9</v>
      </c>
      <c r="Q31" s="27" t="b">
        <f aca="false">FALSE()</f>
        <v>0</v>
      </c>
      <c r="R31" s="27" t="b">
        <f aca="false">FALSE()</f>
        <v>0</v>
      </c>
      <c r="S31" s="27" t="b">
        <f aca="false">FALSE()</f>
        <v>0</v>
      </c>
    </row>
    <row r="32" customFormat="false" ht="15" hidden="false" customHeight="false" outlineLevel="0" collapsed="false">
      <c r="A32" s="25" t="n">
        <v>31</v>
      </c>
      <c r="B32" s="25" t="s">
        <v>818</v>
      </c>
      <c r="C32" s="25" t="s">
        <v>531</v>
      </c>
      <c r="D32" s="25" t="n">
        <v>20250831</v>
      </c>
      <c r="E32" s="25" t="n">
        <v>121</v>
      </c>
      <c r="F32" s="25" t="n">
        <v>10</v>
      </c>
      <c r="G32" s="25" t="s">
        <v>114</v>
      </c>
      <c r="H32" s="25" t="s">
        <v>25</v>
      </c>
      <c r="I32" s="25" t="s">
        <v>94</v>
      </c>
      <c r="J32" s="25" t="s">
        <v>246</v>
      </c>
      <c r="K32" s="25" t="n">
        <v>5</v>
      </c>
      <c r="L32" s="25" t="n">
        <v>1165.83</v>
      </c>
      <c r="M32" s="25" t="n">
        <v>0</v>
      </c>
      <c r="N32" s="25" t="n">
        <v>5829.15</v>
      </c>
      <c r="O32" s="25" t="n">
        <v>0</v>
      </c>
      <c r="P32" s="25" t="n">
        <v>5829.15</v>
      </c>
      <c r="Q32" s="27" t="b">
        <f aca="false">FALSE()</f>
        <v>0</v>
      </c>
      <c r="R32" s="27" t="b">
        <f aca="false">FALSE()</f>
        <v>0</v>
      </c>
      <c r="S32" s="27" t="b">
        <f aca="false">FALSE()</f>
        <v>0</v>
      </c>
    </row>
    <row r="33" customFormat="false" ht="15" hidden="false" customHeight="false" outlineLevel="0" collapsed="false">
      <c r="A33" s="25" t="n">
        <v>32</v>
      </c>
      <c r="B33" s="25" t="s">
        <v>820</v>
      </c>
      <c r="C33" s="25" t="s">
        <v>531</v>
      </c>
      <c r="D33" s="25" t="n">
        <v>20250831</v>
      </c>
      <c r="E33" s="25" t="n">
        <v>121</v>
      </c>
      <c r="F33" s="25" t="n">
        <v>7</v>
      </c>
      <c r="G33" s="25" t="s">
        <v>114</v>
      </c>
      <c r="H33" s="25" t="s">
        <v>25</v>
      </c>
      <c r="I33" s="25" t="s">
        <v>94</v>
      </c>
      <c r="J33" s="25" t="s">
        <v>246</v>
      </c>
      <c r="K33" s="25" t="n">
        <v>2</v>
      </c>
      <c r="L33" s="25" t="n">
        <v>20278.89</v>
      </c>
      <c r="M33" s="25" t="n">
        <v>20</v>
      </c>
      <c r="N33" s="25" t="n">
        <v>40557.78</v>
      </c>
      <c r="O33" s="25" t="n">
        <v>8111.56</v>
      </c>
      <c r="P33" s="25" t="n">
        <v>32446.22</v>
      </c>
      <c r="Q33" s="27" t="b">
        <f aca="false">FALSE()</f>
        <v>0</v>
      </c>
      <c r="R33" s="27" t="b">
        <f aca="false">FALSE()</f>
        <v>0</v>
      </c>
      <c r="S33" s="27" t="b">
        <f aca="false">FALSE()</f>
        <v>0</v>
      </c>
    </row>
    <row r="34" customFormat="false" ht="15" hidden="false" customHeight="false" outlineLevel="0" collapsed="false">
      <c r="A34" s="25" t="n">
        <v>33</v>
      </c>
      <c r="B34" s="25" t="s">
        <v>821</v>
      </c>
      <c r="C34" s="25" t="s">
        <v>531</v>
      </c>
      <c r="D34" s="25" t="n">
        <v>20250831</v>
      </c>
      <c r="E34" s="25" t="n">
        <v>121</v>
      </c>
      <c r="F34" s="25" t="n">
        <v>64</v>
      </c>
      <c r="G34" s="25" t="s">
        <v>114</v>
      </c>
      <c r="H34" s="25" t="s">
        <v>25</v>
      </c>
      <c r="I34" s="25" t="s">
        <v>94</v>
      </c>
      <c r="J34" s="25" t="s">
        <v>246</v>
      </c>
      <c r="K34" s="25" t="n">
        <v>5</v>
      </c>
      <c r="L34" s="25" t="n">
        <v>11089.19</v>
      </c>
      <c r="M34" s="25" t="n">
        <v>15</v>
      </c>
      <c r="N34" s="25" t="n">
        <v>55445.95</v>
      </c>
      <c r="O34" s="25" t="n">
        <v>8316.89</v>
      </c>
      <c r="P34" s="25" t="n">
        <v>47129.06</v>
      </c>
      <c r="Q34" s="27" t="b">
        <f aca="false">FALSE()</f>
        <v>0</v>
      </c>
      <c r="R34" s="27" t="b">
        <f aca="false">FALSE()</f>
        <v>0</v>
      </c>
      <c r="S34" s="27" t="b">
        <f aca="false">FALSE()</f>
        <v>0</v>
      </c>
    </row>
    <row r="35" customFormat="false" ht="15" hidden="false" customHeight="false" outlineLevel="0" collapsed="false">
      <c r="A35" s="25" t="n">
        <v>34</v>
      </c>
      <c r="B35" s="25" t="s">
        <v>823</v>
      </c>
      <c r="C35" s="25" t="s">
        <v>513</v>
      </c>
      <c r="D35" s="25" t="n">
        <v>20241115</v>
      </c>
      <c r="E35" s="25" t="n">
        <v>88</v>
      </c>
      <c r="F35" s="25" t="n">
        <v>-1</v>
      </c>
      <c r="G35" s="25" t="s">
        <v>114</v>
      </c>
      <c r="H35" s="25" t="s">
        <v>25</v>
      </c>
      <c r="I35" s="25" t="s">
        <v>75</v>
      </c>
      <c r="J35" s="25" t="s">
        <v>242</v>
      </c>
      <c r="K35" s="25" t="n">
        <v>5</v>
      </c>
      <c r="L35" s="25" t="n">
        <v>5818.64</v>
      </c>
      <c r="M35" s="25" t="n">
        <v>10</v>
      </c>
      <c r="N35" s="25" t="n">
        <v>29093.2</v>
      </c>
      <c r="O35" s="25" t="n">
        <v>2909.32</v>
      </c>
      <c r="P35" s="25" t="n">
        <v>26183.88</v>
      </c>
      <c r="Q35" s="27" t="b">
        <f aca="false">FALSE()</f>
        <v>0</v>
      </c>
      <c r="R35" s="27" t="b">
        <f aca="false">FALSE()</f>
        <v>0</v>
      </c>
      <c r="S35" s="27" t="b">
        <f aca="false">FALSE()</f>
        <v>0</v>
      </c>
    </row>
    <row r="36" customFormat="false" ht="15" hidden="false" customHeight="false" outlineLevel="0" collapsed="false">
      <c r="A36" s="25" t="n">
        <v>35</v>
      </c>
      <c r="B36" s="25" t="s">
        <v>825</v>
      </c>
      <c r="C36" s="25" t="s">
        <v>513</v>
      </c>
      <c r="D36" s="25" t="n">
        <v>20241115</v>
      </c>
      <c r="E36" s="25" t="n">
        <v>88</v>
      </c>
      <c r="F36" s="25" t="n">
        <v>34</v>
      </c>
      <c r="G36" s="25" t="s">
        <v>114</v>
      </c>
      <c r="H36" s="25" t="s">
        <v>25</v>
      </c>
      <c r="I36" s="25" t="s">
        <v>75</v>
      </c>
      <c r="J36" s="25" t="s">
        <v>242</v>
      </c>
      <c r="K36" s="25" t="n">
        <v>4</v>
      </c>
      <c r="L36" s="25" t="n">
        <v>11932.31</v>
      </c>
      <c r="M36" s="25" t="n">
        <v>20</v>
      </c>
      <c r="N36" s="25" t="n">
        <v>47729.24</v>
      </c>
      <c r="O36" s="25" t="n">
        <v>9545.85</v>
      </c>
      <c r="P36" s="25" t="n">
        <v>38183.39</v>
      </c>
      <c r="Q36" s="27" t="b">
        <f aca="false">TRUE()</f>
        <v>1</v>
      </c>
      <c r="R36" s="27" t="b">
        <f aca="false">FALSE()</f>
        <v>0</v>
      </c>
      <c r="S36" s="27" t="b">
        <f aca="false">FALSE()</f>
        <v>0</v>
      </c>
    </row>
    <row r="37" customFormat="false" ht="15" hidden="false" customHeight="false" outlineLevel="0" collapsed="false">
      <c r="A37" s="25" t="n">
        <v>36</v>
      </c>
      <c r="B37" s="25" t="s">
        <v>826</v>
      </c>
      <c r="C37" s="25" t="s">
        <v>513</v>
      </c>
      <c r="D37" s="25" t="n">
        <v>20241115</v>
      </c>
      <c r="E37" s="25" t="n">
        <v>88</v>
      </c>
      <c r="F37" s="25" t="n">
        <v>29</v>
      </c>
      <c r="G37" s="25" t="s">
        <v>114</v>
      </c>
      <c r="H37" s="25" t="s">
        <v>25</v>
      </c>
      <c r="I37" s="25" t="s">
        <v>75</v>
      </c>
      <c r="J37" s="25" t="s">
        <v>242</v>
      </c>
      <c r="K37" s="25" t="n">
        <v>5</v>
      </c>
      <c r="L37" s="25" t="n">
        <v>7855.79</v>
      </c>
      <c r="M37" s="25" t="n">
        <v>5</v>
      </c>
      <c r="N37" s="25" t="n">
        <v>39278.95</v>
      </c>
      <c r="O37" s="25" t="n">
        <v>1963.95</v>
      </c>
      <c r="P37" s="25" t="n">
        <v>37315</v>
      </c>
      <c r="Q37" s="27" t="b">
        <f aca="false">FALSE()</f>
        <v>0</v>
      </c>
      <c r="R37" s="27" t="b">
        <f aca="false">FALSE()</f>
        <v>0</v>
      </c>
      <c r="S37" s="27" t="b">
        <f aca="false">FALSE()</f>
        <v>0</v>
      </c>
    </row>
    <row r="38" customFormat="false" ht="15" hidden="false" customHeight="false" outlineLevel="0" collapsed="false">
      <c r="A38" s="25" t="n">
        <v>37</v>
      </c>
      <c r="B38" s="25" t="s">
        <v>828</v>
      </c>
      <c r="C38" s="25" t="s">
        <v>369</v>
      </c>
      <c r="D38" s="25" t="n">
        <v>20250101</v>
      </c>
      <c r="E38" s="25" t="n">
        <v>95</v>
      </c>
      <c r="F38" s="25" t="n">
        <v>11</v>
      </c>
      <c r="G38" s="25" t="s">
        <v>115</v>
      </c>
      <c r="H38" s="25" t="s">
        <v>2262</v>
      </c>
      <c r="I38" s="25" t="s">
        <v>79</v>
      </c>
      <c r="J38" s="25" t="s">
        <v>242</v>
      </c>
      <c r="K38" s="25" t="n">
        <v>5</v>
      </c>
      <c r="L38" s="25" t="n">
        <v>1179.68</v>
      </c>
      <c r="M38" s="25" t="n">
        <v>0</v>
      </c>
      <c r="N38" s="25" t="n">
        <v>5898.4</v>
      </c>
      <c r="O38" s="25" t="n">
        <v>0</v>
      </c>
      <c r="P38" s="25" t="n">
        <v>5898.4</v>
      </c>
      <c r="Q38" s="27" t="b">
        <f aca="false">FALSE()</f>
        <v>0</v>
      </c>
      <c r="R38" s="27" t="b">
        <f aca="false">FALSE()</f>
        <v>0</v>
      </c>
      <c r="S38" s="27" t="b">
        <f aca="false">FALSE()</f>
        <v>0</v>
      </c>
    </row>
    <row r="39" customFormat="false" ht="15" hidden="false" customHeight="false" outlineLevel="0" collapsed="false">
      <c r="A39" s="25" t="n">
        <v>38</v>
      </c>
      <c r="B39" s="25" t="s">
        <v>831</v>
      </c>
      <c r="C39" s="25" t="s">
        <v>369</v>
      </c>
      <c r="D39" s="25" t="n">
        <v>20250101</v>
      </c>
      <c r="E39" s="25" t="n">
        <v>95</v>
      </c>
      <c r="F39" s="25" t="n">
        <v>70</v>
      </c>
      <c r="G39" s="25" t="s">
        <v>115</v>
      </c>
      <c r="H39" s="25" t="s">
        <v>2262</v>
      </c>
      <c r="I39" s="25" t="s">
        <v>79</v>
      </c>
      <c r="J39" s="25" t="s">
        <v>242</v>
      </c>
      <c r="K39" s="25" t="n">
        <v>1</v>
      </c>
      <c r="L39" s="25" t="n">
        <v>3962.52</v>
      </c>
      <c r="M39" s="25" t="n">
        <v>20</v>
      </c>
      <c r="N39" s="25" t="n">
        <v>3962.52</v>
      </c>
      <c r="O39" s="25" t="n">
        <v>792.5</v>
      </c>
      <c r="P39" s="25" t="n">
        <v>3170.02</v>
      </c>
      <c r="Q39" s="27" t="b">
        <f aca="false">FALSE()</f>
        <v>0</v>
      </c>
      <c r="R39" s="27" t="b">
        <f aca="false">FALSE()</f>
        <v>0</v>
      </c>
      <c r="S39" s="27" t="b">
        <f aca="false">FALSE()</f>
        <v>0</v>
      </c>
    </row>
    <row r="40" customFormat="false" ht="15" hidden="false" customHeight="false" outlineLevel="0" collapsed="false">
      <c r="A40" s="25" t="n">
        <v>39</v>
      </c>
      <c r="B40" s="25" t="s">
        <v>832</v>
      </c>
      <c r="C40" s="25" t="s">
        <v>369</v>
      </c>
      <c r="D40" s="25" t="n">
        <v>20250101</v>
      </c>
      <c r="E40" s="25" t="n">
        <v>95</v>
      </c>
      <c r="F40" s="25" t="n">
        <v>67</v>
      </c>
      <c r="G40" s="25" t="s">
        <v>115</v>
      </c>
      <c r="H40" s="25" t="s">
        <v>2262</v>
      </c>
      <c r="I40" s="25" t="s">
        <v>79</v>
      </c>
      <c r="J40" s="25" t="s">
        <v>242</v>
      </c>
      <c r="K40" s="25" t="n">
        <v>3</v>
      </c>
      <c r="L40" s="25" t="n">
        <v>14595.44</v>
      </c>
      <c r="M40" s="25" t="n">
        <v>15</v>
      </c>
      <c r="N40" s="25" t="n">
        <v>43786.32</v>
      </c>
      <c r="O40" s="25" t="n">
        <v>6567.95</v>
      </c>
      <c r="P40" s="25" t="n">
        <v>37218.37</v>
      </c>
      <c r="Q40" s="27" t="b">
        <f aca="false">FALSE()</f>
        <v>0</v>
      </c>
      <c r="R40" s="27" t="b">
        <f aca="false">FALSE()</f>
        <v>0</v>
      </c>
      <c r="S40" s="27" t="b">
        <f aca="false">FALSE()</f>
        <v>0</v>
      </c>
    </row>
    <row r="41" customFormat="false" ht="15" hidden="false" customHeight="false" outlineLevel="0" collapsed="false">
      <c r="A41" s="25" t="n">
        <v>40</v>
      </c>
      <c r="B41" s="25" t="s">
        <v>834</v>
      </c>
      <c r="C41" s="25" t="s">
        <v>369</v>
      </c>
      <c r="D41" s="25" t="n">
        <v>20250101</v>
      </c>
      <c r="E41" s="25" t="n">
        <v>95</v>
      </c>
      <c r="F41" s="25" t="n">
        <v>58</v>
      </c>
      <c r="G41" s="25" t="s">
        <v>115</v>
      </c>
      <c r="H41" s="25" t="s">
        <v>2262</v>
      </c>
      <c r="I41" s="25" t="s">
        <v>79</v>
      </c>
      <c r="J41" s="25" t="s">
        <v>242</v>
      </c>
      <c r="K41" s="25" t="n">
        <v>5</v>
      </c>
      <c r="L41" s="25" t="n">
        <v>22572.25</v>
      </c>
      <c r="M41" s="25" t="n">
        <v>0</v>
      </c>
      <c r="N41" s="25" t="n">
        <v>112861.25</v>
      </c>
      <c r="O41" s="25" t="n">
        <v>0</v>
      </c>
      <c r="P41" s="25" t="n">
        <v>112861.25</v>
      </c>
      <c r="Q41" s="27" t="b">
        <f aca="false">FALSE()</f>
        <v>0</v>
      </c>
      <c r="R41" s="27" t="b">
        <f aca="false">FALSE()</f>
        <v>0</v>
      </c>
      <c r="S41" s="27" t="b">
        <f aca="false">FALSE()</f>
        <v>0</v>
      </c>
    </row>
    <row r="42" customFormat="false" ht="15" hidden="false" customHeight="false" outlineLevel="0" collapsed="false">
      <c r="A42" s="25" t="n">
        <v>41</v>
      </c>
      <c r="B42" s="25" t="s">
        <v>836</v>
      </c>
      <c r="C42" s="25" t="s">
        <v>433</v>
      </c>
      <c r="D42" s="25" t="n">
        <v>20240422</v>
      </c>
      <c r="E42" s="25" t="n">
        <v>98</v>
      </c>
      <c r="F42" s="25" t="n">
        <v>55</v>
      </c>
      <c r="G42" s="25" t="s">
        <v>115</v>
      </c>
      <c r="H42" s="25" t="s">
        <v>25</v>
      </c>
      <c r="I42" s="25" t="s">
        <v>94</v>
      </c>
      <c r="J42" s="25" t="s">
        <v>269</v>
      </c>
      <c r="K42" s="25" t="n">
        <v>4</v>
      </c>
      <c r="L42" s="25" t="n">
        <v>5471.28</v>
      </c>
      <c r="M42" s="25" t="n">
        <v>15</v>
      </c>
      <c r="N42" s="25" t="n">
        <v>21885.12</v>
      </c>
      <c r="O42" s="25" t="n">
        <v>3282.77</v>
      </c>
      <c r="P42" s="25" t="n">
        <v>18602.35</v>
      </c>
      <c r="Q42" s="27" t="b">
        <f aca="false">FALSE()</f>
        <v>0</v>
      </c>
      <c r="R42" s="27" t="b">
        <f aca="false">FALSE()</f>
        <v>0</v>
      </c>
      <c r="S42" s="27" t="b">
        <f aca="false">FALSE()</f>
        <v>0</v>
      </c>
    </row>
    <row r="43" customFormat="false" ht="15" hidden="false" customHeight="false" outlineLevel="0" collapsed="false">
      <c r="A43" s="25" t="n">
        <v>42</v>
      </c>
      <c r="B43" s="25" t="s">
        <v>838</v>
      </c>
      <c r="C43" s="25" t="s">
        <v>433</v>
      </c>
      <c r="D43" s="25" t="n">
        <v>20240422</v>
      </c>
      <c r="E43" s="25" t="n">
        <v>98</v>
      </c>
      <c r="F43" s="25" t="n">
        <v>16</v>
      </c>
      <c r="G43" s="25" t="s">
        <v>115</v>
      </c>
      <c r="H43" s="25" t="s">
        <v>25</v>
      </c>
      <c r="I43" s="25" t="s">
        <v>94</v>
      </c>
      <c r="J43" s="25" t="s">
        <v>269</v>
      </c>
      <c r="K43" s="25" t="n">
        <v>3</v>
      </c>
      <c r="L43" s="25" t="n">
        <v>2260.53</v>
      </c>
      <c r="M43" s="25" t="n">
        <v>5</v>
      </c>
      <c r="N43" s="25" t="n">
        <v>6781.59</v>
      </c>
      <c r="O43" s="25" t="n">
        <v>339.08</v>
      </c>
      <c r="P43" s="25" t="n">
        <v>6442.51</v>
      </c>
      <c r="Q43" s="27" t="b">
        <f aca="false">FALSE()</f>
        <v>0</v>
      </c>
      <c r="R43" s="27" t="b">
        <f aca="false">FALSE()</f>
        <v>0</v>
      </c>
      <c r="S43" s="27" t="b">
        <f aca="false">FALSE()</f>
        <v>0</v>
      </c>
    </row>
    <row r="44" customFormat="false" ht="15" hidden="false" customHeight="false" outlineLevel="0" collapsed="false">
      <c r="A44" s="25" t="n">
        <v>43</v>
      </c>
      <c r="B44" s="25" t="s">
        <v>839</v>
      </c>
      <c r="C44" s="25" t="s">
        <v>433</v>
      </c>
      <c r="D44" s="25" t="n">
        <v>20240422</v>
      </c>
      <c r="E44" s="25" t="n">
        <v>98</v>
      </c>
      <c r="F44" s="25" t="n">
        <v>12</v>
      </c>
      <c r="G44" s="25" t="s">
        <v>115</v>
      </c>
      <c r="H44" s="25" t="s">
        <v>25</v>
      </c>
      <c r="I44" s="25" t="s">
        <v>94</v>
      </c>
      <c r="J44" s="25" t="s">
        <v>269</v>
      </c>
      <c r="K44" s="25" t="n">
        <v>5</v>
      </c>
      <c r="L44" s="25" t="n">
        <v>11434.02</v>
      </c>
      <c r="M44" s="25" t="n">
        <v>20</v>
      </c>
      <c r="N44" s="25" t="n">
        <v>57170.1</v>
      </c>
      <c r="O44" s="25" t="n">
        <v>11434.02</v>
      </c>
      <c r="P44" s="25" t="n">
        <v>45736.08</v>
      </c>
      <c r="Q44" s="27" t="b">
        <f aca="false">FALSE()</f>
        <v>0</v>
      </c>
      <c r="R44" s="27" t="b">
        <f aca="false">FALSE()</f>
        <v>0</v>
      </c>
      <c r="S44" s="27" t="b">
        <f aca="false">FALSE()</f>
        <v>0</v>
      </c>
    </row>
    <row r="45" customFormat="false" ht="15" hidden="false" customHeight="false" outlineLevel="0" collapsed="false">
      <c r="A45" s="25" t="n">
        <v>44</v>
      </c>
      <c r="B45" s="25" t="s">
        <v>840</v>
      </c>
      <c r="C45" s="25" t="s">
        <v>433</v>
      </c>
      <c r="D45" s="25" t="n">
        <v>20240422</v>
      </c>
      <c r="E45" s="25" t="n">
        <v>98</v>
      </c>
      <c r="F45" s="25" t="n">
        <v>21</v>
      </c>
      <c r="G45" s="25" t="s">
        <v>115</v>
      </c>
      <c r="H45" s="25" t="s">
        <v>25</v>
      </c>
      <c r="I45" s="25" t="s">
        <v>94</v>
      </c>
      <c r="J45" s="25" t="s">
        <v>269</v>
      </c>
      <c r="K45" s="25" t="n">
        <v>5</v>
      </c>
      <c r="L45" s="25" t="n">
        <v>3184.81</v>
      </c>
      <c r="M45" s="25" t="n">
        <v>5</v>
      </c>
      <c r="N45" s="25" t="n">
        <v>15924.05</v>
      </c>
      <c r="O45" s="25" t="n">
        <v>796.2</v>
      </c>
      <c r="P45" s="25" t="n">
        <v>15127.85</v>
      </c>
      <c r="Q45" s="27" t="b">
        <f aca="false">TRUE()</f>
        <v>1</v>
      </c>
      <c r="R45" s="27" t="b">
        <f aca="false">FALSE()</f>
        <v>0</v>
      </c>
      <c r="S45" s="27" t="b">
        <f aca="false">FALSE()</f>
        <v>0</v>
      </c>
    </row>
    <row r="46" customFormat="false" ht="15" hidden="false" customHeight="false" outlineLevel="0" collapsed="false">
      <c r="A46" s="25" t="n">
        <v>45</v>
      </c>
      <c r="B46" s="25" t="s">
        <v>841</v>
      </c>
      <c r="C46" s="25" t="s">
        <v>416</v>
      </c>
      <c r="D46" s="25" t="n">
        <v>20240322</v>
      </c>
      <c r="E46" s="25" t="n">
        <v>31</v>
      </c>
      <c r="F46" s="25" t="n">
        <v>68</v>
      </c>
      <c r="G46" s="25" t="s">
        <v>114</v>
      </c>
      <c r="H46" s="25" t="s">
        <v>25</v>
      </c>
      <c r="I46" s="25" t="s">
        <v>75</v>
      </c>
      <c r="J46" s="25" t="s">
        <v>242</v>
      </c>
      <c r="K46" s="25" t="n">
        <v>5</v>
      </c>
      <c r="L46" s="25" t="n">
        <v>21978.46</v>
      </c>
      <c r="M46" s="25" t="n">
        <v>0</v>
      </c>
      <c r="N46" s="25" t="n">
        <v>109892.3</v>
      </c>
      <c r="O46" s="25" t="n">
        <v>0</v>
      </c>
      <c r="P46" s="25" t="n">
        <v>109892.3</v>
      </c>
      <c r="Q46" s="27" t="b">
        <f aca="false">FALSE()</f>
        <v>0</v>
      </c>
      <c r="R46" s="27" t="b">
        <f aca="false">FALSE()</f>
        <v>0</v>
      </c>
      <c r="S46" s="27" t="b">
        <f aca="false">FALSE()</f>
        <v>0</v>
      </c>
    </row>
    <row r="47" customFormat="false" ht="15" hidden="false" customHeight="false" outlineLevel="0" collapsed="false">
      <c r="A47" s="25" t="n">
        <v>46</v>
      </c>
      <c r="B47" s="25" t="s">
        <v>843</v>
      </c>
      <c r="C47" s="25" t="s">
        <v>362</v>
      </c>
      <c r="D47" s="25" t="n">
        <v>20250604</v>
      </c>
      <c r="E47" s="25" t="n">
        <v>20</v>
      </c>
      <c r="F47" s="25" t="n">
        <v>6</v>
      </c>
      <c r="G47" s="25" t="s">
        <v>113</v>
      </c>
      <c r="H47" s="25" t="s">
        <v>25</v>
      </c>
      <c r="I47" s="25" t="s">
        <v>1738</v>
      </c>
      <c r="J47" s="25" t="s">
        <v>242</v>
      </c>
      <c r="K47" s="25" t="n">
        <v>1</v>
      </c>
      <c r="L47" s="25" t="n">
        <v>2863.09</v>
      </c>
      <c r="M47" s="25" t="n">
        <v>0</v>
      </c>
      <c r="N47" s="25" t="n">
        <v>2863.09</v>
      </c>
      <c r="O47" s="25" t="n">
        <v>0</v>
      </c>
      <c r="P47" s="25" t="n">
        <v>2863.09</v>
      </c>
      <c r="Q47" s="27" t="b">
        <f aca="false">FALSE()</f>
        <v>0</v>
      </c>
      <c r="R47" s="27" t="b">
        <f aca="false">FALSE()</f>
        <v>0</v>
      </c>
      <c r="S47" s="27" t="b">
        <f aca="false">FALSE()</f>
        <v>0</v>
      </c>
    </row>
    <row r="48" customFormat="false" ht="15" hidden="false" customHeight="false" outlineLevel="0" collapsed="false">
      <c r="A48" s="25" t="n">
        <v>47</v>
      </c>
      <c r="B48" s="25" t="s">
        <v>845</v>
      </c>
      <c r="C48" s="25" t="s">
        <v>362</v>
      </c>
      <c r="D48" s="25" t="n">
        <v>20250604</v>
      </c>
      <c r="E48" s="25" t="n">
        <v>20</v>
      </c>
      <c r="F48" s="25" t="n">
        <v>64</v>
      </c>
      <c r="G48" s="25" t="s">
        <v>113</v>
      </c>
      <c r="H48" s="25" t="s">
        <v>25</v>
      </c>
      <c r="I48" s="25" t="s">
        <v>1738</v>
      </c>
      <c r="J48" s="25" t="s">
        <v>242</v>
      </c>
      <c r="K48" s="25" t="n">
        <v>3</v>
      </c>
      <c r="L48" s="25" t="n">
        <v>11089.19</v>
      </c>
      <c r="M48" s="25" t="n">
        <v>5</v>
      </c>
      <c r="N48" s="25" t="n">
        <v>33267.57</v>
      </c>
      <c r="O48" s="25" t="n">
        <v>1663.38</v>
      </c>
      <c r="P48" s="25" t="n">
        <v>31604.19</v>
      </c>
      <c r="Q48" s="27" t="b">
        <f aca="false">FALSE()</f>
        <v>0</v>
      </c>
      <c r="R48" s="27" t="b">
        <f aca="false">FALSE()</f>
        <v>0</v>
      </c>
      <c r="S48" s="27" t="b">
        <f aca="false">FALSE()</f>
        <v>0</v>
      </c>
    </row>
    <row r="49" customFormat="false" ht="15" hidden="false" customHeight="false" outlineLevel="0" collapsed="false">
      <c r="A49" s="25" t="n">
        <v>48</v>
      </c>
      <c r="B49" s="25" t="s">
        <v>846</v>
      </c>
      <c r="C49" s="25" t="s">
        <v>362</v>
      </c>
      <c r="D49" s="25" t="n">
        <v>20250604</v>
      </c>
      <c r="E49" s="25" t="n">
        <v>20</v>
      </c>
      <c r="F49" s="25" t="n">
        <v>65</v>
      </c>
      <c r="G49" s="25" t="s">
        <v>113</v>
      </c>
      <c r="H49" s="25" t="s">
        <v>25</v>
      </c>
      <c r="I49" s="25" t="s">
        <v>1738</v>
      </c>
      <c r="J49" s="25" t="s">
        <v>242</v>
      </c>
      <c r="K49" s="25" t="n">
        <v>3</v>
      </c>
      <c r="L49" s="25" t="n">
        <v>15706.03</v>
      </c>
      <c r="M49" s="25" t="n">
        <v>5</v>
      </c>
      <c r="N49" s="25" t="n">
        <v>47118.09</v>
      </c>
      <c r="O49" s="25" t="n">
        <v>2355.9</v>
      </c>
      <c r="P49" s="25" t="n">
        <v>44762.19</v>
      </c>
      <c r="Q49" s="27" t="b">
        <f aca="false">FALSE()</f>
        <v>0</v>
      </c>
      <c r="R49" s="27" t="b">
        <f aca="false">FALSE()</f>
        <v>0</v>
      </c>
      <c r="S49" s="27" t="b">
        <f aca="false">FALSE()</f>
        <v>0</v>
      </c>
    </row>
    <row r="50" customFormat="false" ht="15" hidden="false" customHeight="false" outlineLevel="0" collapsed="false">
      <c r="A50" s="25" t="n">
        <v>49</v>
      </c>
      <c r="B50" s="25" t="s">
        <v>847</v>
      </c>
      <c r="C50" s="25" t="s">
        <v>450</v>
      </c>
      <c r="D50" s="25" t="n">
        <v>20250127</v>
      </c>
      <c r="E50" s="25" t="n">
        <v>123</v>
      </c>
      <c r="F50" s="25" t="n">
        <v>62</v>
      </c>
      <c r="G50" s="25" t="s">
        <v>115</v>
      </c>
      <c r="H50" s="25" t="s">
        <v>25</v>
      </c>
      <c r="I50" s="25" t="s">
        <v>71</v>
      </c>
      <c r="J50" s="25" t="s">
        <v>246</v>
      </c>
      <c r="K50" s="25" t="n">
        <v>5</v>
      </c>
      <c r="L50" s="25" t="n">
        <v>8493.72</v>
      </c>
      <c r="M50" s="25" t="n">
        <v>20</v>
      </c>
      <c r="N50" s="25" t="n">
        <v>42468.6</v>
      </c>
      <c r="O50" s="25" t="n">
        <v>8493.72</v>
      </c>
      <c r="P50" s="25" t="n">
        <v>33974.88</v>
      </c>
      <c r="Q50" s="27" t="b">
        <f aca="false">FALSE()</f>
        <v>0</v>
      </c>
      <c r="R50" s="27" t="b">
        <f aca="false">FALSE()</f>
        <v>0</v>
      </c>
      <c r="S50" s="27" t="b">
        <f aca="false">FALSE()</f>
        <v>0</v>
      </c>
    </row>
    <row r="51" customFormat="false" ht="15" hidden="false" customHeight="false" outlineLevel="0" collapsed="false">
      <c r="A51" s="25" t="n">
        <v>50</v>
      </c>
      <c r="B51" s="25" t="s">
        <v>849</v>
      </c>
      <c r="C51" s="25" t="s">
        <v>277</v>
      </c>
      <c r="D51" s="25" t="n">
        <v>20240715</v>
      </c>
      <c r="E51" s="25" t="n">
        <v>5</v>
      </c>
      <c r="F51" s="25" t="n">
        <v>40</v>
      </c>
      <c r="G51" s="25" t="s">
        <v>114</v>
      </c>
      <c r="H51" s="25" t="s">
        <v>25</v>
      </c>
      <c r="I51" s="25" t="s">
        <v>1738</v>
      </c>
      <c r="J51" s="25" t="s">
        <v>246</v>
      </c>
      <c r="K51" s="25" t="n">
        <v>2</v>
      </c>
      <c r="L51" s="25" t="n">
        <v>959.46</v>
      </c>
      <c r="M51" s="25" t="n">
        <v>10</v>
      </c>
      <c r="N51" s="25" t="n">
        <v>1918.92</v>
      </c>
      <c r="O51" s="25" t="n">
        <v>191.89</v>
      </c>
      <c r="P51" s="25" t="n">
        <v>1727.03</v>
      </c>
      <c r="Q51" s="27" t="b">
        <f aca="false">FALSE()</f>
        <v>0</v>
      </c>
      <c r="R51" s="27" t="b">
        <f aca="false">FALSE()</f>
        <v>0</v>
      </c>
      <c r="S51" s="27" t="b">
        <f aca="false">FALSE()</f>
        <v>0</v>
      </c>
    </row>
    <row r="52" customFormat="false" ht="15" hidden="false" customHeight="false" outlineLevel="0" collapsed="false">
      <c r="A52" s="25" t="n">
        <v>51</v>
      </c>
      <c r="B52" s="25" t="s">
        <v>851</v>
      </c>
      <c r="C52" s="25" t="s">
        <v>277</v>
      </c>
      <c r="D52" s="25" t="n">
        <v>20240715</v>
      </c>
      <c r="E52" s="25" t="n">
        <v>5</v>
      </c>
      <c r="F52" s="25" t="n">
        <v>1</v>
      </c>
      <c r="G52" s="25" t="s">
        <v>114</v>
      </c>
      <c r="H52" s="25" t="s">
        <v>25</v>
      </c>
      <c r="I52" s="25" t="s">
        <v>1738</v>
      </c>
      <c r="J52" s="25" t="s">
        <v>246</v>
      </c>
      <c r="K52" s="25" t="n">
        <v>1</v>
      </c>
      <c r="L52" s="25" t="n">
        <v>10660.79</v>
      </c>
      <c r="M52" s="25" t="n">
        <v>5</v>
      </c>
      <c r="N52" s="25" t="n">
        <v>10660.79</v>
      </c>
      <c r="O52" s="25" t="n">
        <v>533.04</v>
      </c>
      <c r="P52" s="25" t="n">
        <v>10127.75</v>
      </c>
      <c r="Q52" s="27" t="b">
        <f aca="false">FALSE()</f>
        <v>0</v>
      </c>
      <c r="R52" s="27" t="b">
        <f aca="false">FALSE()</f>
        <v>0</v>
      </c>
      <c r="S52" s="27" t="b">
        <f aca="false">FALSE()</f>
        <v>0</v>
      </c>
    </row>
    <row r="53" customFormat="false" ht="15" hidden="false" customHeight="false" outlineLevel="0" collapsed="false">
      <c r="A53" s="25" t="n">
        <v>52</v>
      </c>
      <c r="B53" s="25" t="s">
        <v>852</v>
      </c>
      <c r="C53" s="25" t="s">
        <v>529</v>
      </c>
      <c r="D53" s="25" t="n">
        <v>20240609</v>
      </c>
      <c r="E53" s="25" t="n">
        <v>83</v>
      </c>
      <c r="F53" s="25" t="n">
        <v>69</v>
      </c>
      <c r="G53" s="25" t="s">
        <v>113</v>
      </c>
      <c r="H53" s="25" t="s">
        <v>2260</v>
      </c>
      <c r="I53" s="25" t="s">
        <v>79</v>
      </c>
      <c r="J53" s="25" t="s">
        <v>246</v>
      </c>
      <c r="K53" s="25" t="n">
        <v>2</v>
      </c>
      <c r="L53" s="25" t="n">
        <v>25742.49</v>
      </c>
      <c r="M53" s="25" t="n">
        <v>10</v>
      </c>
      <c r="N53" s="25" t="n">
        <v>51484.98</v>
      </c>
      <c r="O53" s="25" t="n">
        <v>5148.5</v>
      </c>
      <c r="P53" s="25" t="n">
        <v>46336.48</v>
      </c>
      <c r="Q53" s="27" t="b">
        <f aca="false">FALSE()</f>
        <v>0</v>
      </c>
      <c r="R53" s="27" t="b">
        <f aca="false">FALSE()</f>
        <v>0</v>
      </c>
      <c r="S53" s="27" t="b">
        <f aca="false">FALSE()</f>
        <v>0</v>
      </c>
    </row>
    <row r="54" customFormat="false" ht="15" hidden="false" customHeight="false" outlineLevel="0" collapsed="false">
      <c r="A54" s="25" t="n">
        <v>53</v>
      </c>
      <c r="B54" s="25" t="s">
        <v>855</v>
      </c>
      <c r="C54" s="25" t="s">
        <v>377</v>
      </c>
      <c r="D54" s="25" t="n">
        <v>20240609</v>
      </c>
      <c r="E54" s="25" t="n">
        <v>77</v>
      </c>
      <c r="F54" s="25" t="n">
        <v>41</v>
      </c>
      <c r="G54" s="25" t="s">
        <v>113</v>
      </c>
      <c r="H54" s="25" t="s">
        <v>25</v>
      </c>
      <c r="I54" s="25" t="s">
        <v>94</v>
      </c>
      <c r="J54" s="25" t="s">
        <v>269</v>
      </c>
      <c r="K54" s="25" t="n">
        <v>4</v>
      </c>
      <c r="L54" s="25" t="n">
        <v>11992.92</v>
      </c>
      <c r="M54" s="25" t="n">
        <v>20</v>
      </c>
      <c r="N54" s="25" t="n">
        <v>47971.68</v>
      </c>
      <c r="O54" s="25" t="n">
        <v>9594.34</v>
      </c>
      <c r="P54" s="25" t="n">
        <v>38377.34</v>
      </c>
      <c r="Q54" s="27" t="b">
        <f aca="false">FALSE()</f>
        <v>0</v>
      </c>
      <c r="R54" s="27" t="b">
        <f aca="false">FALSE()</f>
        <v>0</v>
      </c>
      <c r="S54" s="27" t="b">
        <f aca="false">FALSE()</f>
        <v>0</v>
      </c>
    </row>
    <row r="55" customFormat="false" ht="15" hidden="false" customHeight="false" outlineLevel="0" collapsed="false">
      <c r="A55" s="25" t="n">
        <v>54</v>
      </c>
      <c r="B55" s="25" t="s">
        <v>857</v>
      </c>
      <c r="C55" s="25" t="s">
        <v>377</v>
      </c>
      <c r="D55" s="25" t="n">
        <v>20240609</v>
      </c>
      <c r="E55" s="25" t="n">
        <v>77</v>
      </c>
      <c r="F55" s="25" t="n">
        <v>12</v>
      </c>
      <c r="G55" s="25" t="s">
        <v>113</v>
      </c>
      <c r="H55" s="25" t="s">
        <v>25</v>
      </c>
      <c r="I55" s="25" t="s">
        <v>94</v>
      </c>
      <c r="J55" s="25" t="s">
        <v>269</v>
      </c>
      <c r="K55" s="25" t="n">
        <v>3</v>
      </c>
      <c r="L55" s="25" t="n">
        <v>11434.02</v>
      </c>
      <c r="M55" s="25" t="n">
        <v>0</v>
      </c>
      <c r="N55" s="25" t="n">
        <v>34302.06</v>
      </c>
      <c r="O55" s="25" t="n">
        <v>0</v>
      </c>
      <c r="P55" s="25" t="n">
        <v>34302.06</v>
      </c>
      <c r="Q55" s="27" t="b">
        <f aca="false">FALSE()</f>
        <v>0</v>
      </c>
      <c r="R55" s="27" t="b">
        <f aca="false">FALSE()</f>
        <v>0</v>
      </c>
      <c r="S55" s="27" t="b">
        <f aca="false">FALSE()</f>
        <v>0</v>
      </c>
    </row>
    <row r="56" customFormat="false" ht="15" hidden="false" customHeight="false" outlineLevel="0" collapsed="false">
      <c r="A56" s="25" t="n">
        <v>55</v>
      </c>
      <c r="B56" s="25" t="s">
        <v>858</v>
      </c>
      <c r="C56" s="25" t="s">
        <v>377</v>
      </c>
      <c r="D56" s="25" t="n">
        <v>20240609</v>
      </c>
      <c r="E56" s="25" t="n">
        <v>77</v>
      </c>
      <c r="F56" s="25" t="n">
        <v>17</v>
      </c>
      <c r="G56" s="25" t="s">
        <v>113</v>
      </c>
      <c r="H56" s="25" t="s">
        <v>25</v>
      </c>
      <c r="I56" s="25" t="s">
        <v>94</v>
      </c>
      <c r="J56" s="25" t="s">
        <v>269</v>
      </c>
      <c r="K56" s="25" t="n">
        <v>1</v>
      </c>
      <c r="L56" s="25" t="n">
        <v>17485.19</v>
      </c>
      <c r="M56" s="25" t="n">
        <v>0</v>
      </c>
      <c r="N56" s="25" t="n">
        <v>17485.19</v>
      </c>
      <c r="O56" s="25" t="n">
        <v>0</v>
      </c>
      <c r="P56" s="25" t="n">
        <v>17485.19</v>
      </c>
      <c r="Q56" s="27" t="b">
        <f aca="false">FALSE()</f>
        <v>0</v>
      </c>
      <c r="R56" s="27" t="b">
        <f aca="false">FALSE()</f>
        <v>0</v>
      </c>
      <c r="S56" s="27" t="b">
        <f aca="false">FALSE()</f>
        <v>0</v>
      </c>
    </row>
    <row r="57" customFormat="false" ht="15" hidden="false" customHeight="false" outlineLevel="0" collapsed="false">
      <c r="A57" s="25" t="n">
        <v>56</v>
      </c>
      <c r="B57" s="25" t="s">
        <v>860</v>
      </c>
      <c r="C57" s="25" t="s">
        <v>377</v>
      </c>
      <c r="D57" s="25" t="n">
        <v>20240609</v>
      </c>
      <c r="E57" s="25" t="n">
        <v>77</v>
      </c>
      <c r="F57" s="25" t="n">
        <v>12</v>
      </c>
      <c r="G57" s="25" t="s">
        <v>113</v>
      </c>
      <c r="H57" s="25" t="s">
        <v>25</v>
      </c>
      <c r="I57" s="25" t="s">
        <v>94</v>
      </c>
      <c r="J57" s="25" t="s">
        <v>269</v>
      </c>
      <c r="K57" s="25" t="n">
        <v>4</v>
      </c>
      <c r="L57" s="25" t="n">
        <v>11434.02</v>
      </c>
      <c r="M57" s="25" t="n">
        <v>5</v>
      </c>
      <c r="N57" s="25" t="n">
        <v>45736.08</v>
      </c>
      <c r="O57" s="25" t="n">
        <v>2286.8</v>
      </c>
      <c r="P57" s="25" t="n">
        <v>43449.28</v>
      </c>
      <c r="Q57" s="27" t="b">
        <f aca="false">FALSE()</f>
        <v>0</v>
      </c>
      <c r="R57" s="27" t="b">
        <f aca="false">FALSE()</f>
        <v>0</v>
      </c>
      <c r="S57" s="27" t="b">
        <f aca="false">FALSE()</f>
        <v>0</v>
      </c>
    </row>
    <row r="58" customFormat="false" ht="15" hidden="false" customHeight="false" outlineLevel="0" collapsed="false">
      <c r="A58" s="25" t="n">
        <v>57</v>
      </c>
      <c r="B58" s="25" t="s">
        <v>861</v>
      </c>
      <c r="C58" s="25" t="s">
        <v>550</v>
      </c>
      <c r="D58" s="25" t="n">
        <v>20240309</v>
      </c>
      <c r="E58" s="25" t="n">
        <v>4</v>
      </c>
      <c r="F58" s="25" t="n">
        <v>17</v>
      </c>
      <c r="G58" s="25" t="s">
        <v>114</v>
      </c>
      <c r="H58" s="25" t="s">
        <v>25</v>
      </c>
      <c r="I58" s="25" t="s">
        <v>71</v>
      </c>
      <c r="J58" s="25" t="s">
        <v>242</v>
      </c>
      <c r="K58" s="25" t="n">
        <v>4</v>
      </c>
      <c r="L58" s="25" t="n">
        <v>17485.19</v>
      </c>
      <c r="M58" s="25" t="n">
        <v>0</v>
      </c>
      <c r="N58" s="25" t="n">
        <v>69940.76</v>
      </c>
      <c r="O58" s="25" t="n">
        <v>0</v>
      </c>
      <c r="P58" s="25" t="n">
        <v>69940.76</v>
      </c>
      <c r="Q58" s="27" t="b">
        <f aca="false">FALSE()</f>
        <v>0</v>
      </c>
      <c r="R58" s="27" t="b">
        <f aca="false">FALSE()</f>
        <v>0</v>
      </c>
      <c r="S58" s="27" t="b">
        <f aca="false">FALSE()</f>
        <v>0</v>
      </c>
    </row>
    <row r="59" customFormat="false" ht="15" hidden="false" customHeight="false" outlineLevel="0" collapsed="false">
      <c r="A59" s="25" t="n">
        <v>58</v>
      </c>
      <c r="B59" s="25" t="s">
        <v>863</v>
      </c>
      <c r="C59" s="25" t="s">
        <v>550</v>
      </c>
      <c r="D59" s="25" t="n">
        <v>20240309</v>
      </c>
      <c r="E59" s="25" t="n">
        <v>4</v>
      </c>
      <c r="F59" s="25" t="n">
        <v>28</v>
      </c>
      <c r="G59" s="25" t="s">
        <v>114</v>
      </c>
      <c r="H59" s="25" t="s">
        <v>25</v>
      </c>
      <c r="I59" s="25" t="s">
        <v>71</v>
      </c>
      <c r="J59" s="25" t="s">
        <v>242</v>
      </c>
      <c r="K59" s="25" t="n">
        <v>4</v>
      </c>
      <c r="L59" s="25" t="n">
        <v>7218.53</v>
      </c>
      <c r="M59" s="25" t="n">
        <v>10</v>
      </c>
      <c r="N59" s="25" t="n">
        <v>28874.12</v>
      </c>
      <c r="O59" s="25" t="n">
        <v>2887.41</v>
      </c>
      <c r="P59" s="25" t="n">
        <v>25986.71</v>
      </c>
      <c r="Q59" s="27" t="b">
        <f aca="false">FALSE()</f>
        <v>0</v>
      </c>
      <c r="R59" s="27" t="b">
        <f aca="false">FALSE()</f>
        <v>0</v>
      </c>
      <c r="S59" s="27" t="b">
        <f aca="false">FALSE()</f>
        <v>0</v>
      </c>
    </row>
    <row r="60" customFormat="false" ht="15" hidden="false" customHeight="false" outlineLevel="0" collapsed="false">
      <c r="A60" s="25" t="n">
        <v>59</v>
      </c>
      <c r="B60" s="25" t="s">
        <v>864</v>
      </c>
      <c r="C60" s="25" t="s">
        <v>550</v>
      </c>
      <c r="D60" s="25" t="n">
        <v>20240309</v>
      </c>
      <c r="E60" s="25" t="n">
        <v>4</v>
      </c>
      <c r="F60" s="25" t="n">
        <v>51</v>
      </c>
      <c r="G60" s="25" t="s">
        <v>114</v>
      </c>
      <c r="H60" s="25" t="s">
        <v>25</v>
      </c>
      <c r="I60" s="25" t="s">
        <v>71</v>
      </c>
      <c r="J60" s="25" t="s">
        <v>242</v>
      </c>
      <c r="K60" s="25" t="n">
        <v>1</v>
      </c>
      <c r="L60" s="25" t="n">
        <v>3446.09</v>
      </c>
      <c r="M60" s="25" t="n">
        <v>0</v>
      </c>
      <c r="N60" s="25" t="n">
        <v>3446.09</v>
      </c>
      <c r="O60" s="25" t="n">
        <v>0</v>
      </c>
      <c r="P60" s="25" t="n">
        <v>3446.09</v>
      </c>
      <c r="Q60" s="27" t="b">
        <f aca="false">FALSE()</f>
        <v>0</v>
      </c>
      <c r="R60" s="27" t="b">
        <f aca="false">FALSE()</f>
        <v>0</v>
      </c>
      <c r="S60" s="27" t="b">
        <f aca="false">FALSE()</f>
        <v>0</v>
      </c>
    </row>
    <row r="61" customFormat="false" ht="15" hidden="false" customHeight="false" outlineLevel="0" collapsed="false">
      <c r="A61" s="25" t="n">
        <v>60</v>
      </c>
      <c r="B61" s="25" t="s">
        <v>865</v>
      </c>
      <c r="C61" s="25" t="s">
        <v>572</v>
      </c>
      <c r="D61" s="25" t="n">
        <v>20250716</v>
      </c>
      <c r="E61" s="25" t="n">
        <v>130</v>
      </c>
      <c r="F61" s="25" t="n">
        <v>32</v>
      </c>
      <c r="G61" s="25" t="s">
        <v>114</v>
      </c>
      <c r="H61" s="25" t="s">
        <v>2263</v>
      </c>
      <c r="I61" s="25" t="s">
        <v>1738</v>
      </c>
      <c r="J61" s="25" t="s">
        <v>250</v>
      </c>
      <c r="K61" s="25" t="n">
        <v>3</v>
      </c>
      <c r="L61" s="25" t="n">
        <v>23243.35</v>
      </c>
      <c r="M61" s="25" t="n">
        <v>5</v>
      </c>
      <c r="N61" s="25" t="n">
        <v>69730.05</v>
      </c>
      <c r="O61" s="25" t="n">
        <v>3486.5</v>
      </c>
      <c r="P61" s="25" t="n">
        <v>66243.55</v>
      </c>
      <c r="Q61" s="27" t="b">
        <f aca="false">FALSE()</f>
        <v>0</v>
      </c>
      <c r="R61" s="27" t="b">
        <f aca="false">FALSE()</f>
        <v>0</v>
      </c>
      <c r="S61" s="27" t="b">
        <f aca="false">FALSE()</f>
        <v>0</v>
      </c>
    </row>
    <row r="62" customFormat="false" ht="15" hidden="false" customHeight="false" outlineLevel="0" collapsed="false">
      <c r="A62" s="25" t="n">
        <v>61</v>
      </c>
      <c r="B62" s="25" t="s">
        <v>867</v>
      </c>
      <c r="C62" s="25" t="s">
        <v>572</v>
      </c>
      <c r="D62" s="25" t="n">
        <v>20250716</v>
      </c>
      <c r="E62" s="25" t="n">
        <v>130</v>
      </c>
      <c r="F62" s="25" t="n">
        <v>8</v>
      </c>
      <c r="G62" s="25" t="s">
        <v>114</v>
      </c>
      <c r="H62" s="25" t="s">
        <v>2263</v>
      </c>
      <c r="I62" s="25" t="s">
        <v>1738</v>
      </c>
      <c r="J62" s="25" t="s">
        <v>250</v>
      </c>
      <c r="K62" s="25" t="n">
        <v>1</v>
      </c>
      <c r="L62" s="25" t="n">
        <v>15176.98</v>
      </c>
      <c r="M62" s="25" t="n">
        <v>5</v>
      </c>
      <c r="N62" s="25" t="n">
        <v>15176.98</v>
      </c>
      <c r="O62" s="25" t="n">
        <v>758.85</v>
      </c>
      <c r="P62" s="25" t="n">
        <v>14418.13</v>
      </c>
      <c r="Q62" s="27" t="b">
        <f aca="false">FALSE()</f>
        <v>0</v>
      </c>
      <c r="R62" s="27" t="b">
        <f aca="false">FALSE()</f>
        <v>0</v>
      </c>
      <c r="S62" s="27" t="b">
        <f aca="false">FALSE()</f>
        <v>0</v>
      </c>
    </row>
    <row r="63" customFormat="false" ht="15" hidden="false" customHeight="false" outlineLevel="0" collapsed="false">
      <c r="A63" s="25" t="n">
        <v>62</v>
      </c>
      <c r="B63" s="25" t="s">
        <v>868</v>
      </c>
      <c r="C63" s="25" t="s">
        <v>572</v>
      </c>
      <c r="D63" s="25" t="n">
        <v>20250716</v>
      </c>
      <c r="E63" s="25" t="n">
        <v>130</v>
      </c>
      <c r="F63" s="25" t="n">
        <v>13</v>
      </c>
      <c r="G63" s="25" t="s">
        <v>114</v>
      </c>
      <c r="H63" s="25" t="s">
        <v>2263</v>
      </c>
      <c r="I63" s="25" t="s">
        <v>1738</v>
      </c>
      <c r="J63" s="25" t="s">
        <v>250</v>
      </c>
      <c r="K63" s="25" t="n">
        <v>2</v>
      </c>
      <c r="L63" s="25" t="n">
        <v>15622.68</v>
      </c>
      <c r="M63" s="25" t="n">
        <v>20</v>
      </c>
      <c r="N63" s="25" t="n">
        <v>31245.36</v>
      </c>
      <c r="O63" s="25" t="n">
        <v>6249.07</v>
      </c>
      <c r="P63" s="25" t="n">
        <v>24996.29</v>
      </c>
      <c r="Q63" s="27" t="b">
        <f aca="false">FALSE()</f>
        <v>0</v>
      </c>
      <c r="R63" s="27" t="b">
        <f aca="false">FALSE()</f>
        <v>0</v>
      </c>
      <c r="S63" s="27" t="b">
        <f aca="false">FALSE()</f>
        <v>0</v>
      </c>
    </row>
    <row r="64" customFormat="false" ht="15" hidden="false" customHeight="false" outlineLevel="0" collapsed="false">
      <c r="A64" s="25" t="n">
        <v>63</v>
      </c>
      <c r="B64" s="25" t="s">
        <v>869</v>
      </c>
      <c r="C64" s="25" t="s">
        <v>549</v>
      </c>
      <c r="D64" s="25" t="n">
        <v>20240504</v>
      </c>
      <c r="E64" s="25" t="n">
        <v>135</v>
      </c>
      <c r="F64" s="25" t="n">
        <v>11</v>
      </c>
      <c r="G64" s="25" t="s">
        <v>115</v>
      </c>
      <c r="H64" s="25" t="s">
        <v>25</v>
      </c>
      <c r="I64" s="25" t="s">
        <v>1770</v>
      </c>
      <c r="J64" s="25" t="s">
        <v>250</v>
      </c>
      <c r="K64" s="25" t="n">
        <v>2</v>
      </c>
      <c r="L64" s="25" t="n">
        <v>1179.68</v>
      </c>
      <c r="M64" s="25" t="n">
        <v>5</v>
      </c>
      <c r="N64" s="25" t="n">
        <v>2359.36</v>
      </c>
      <c r="O64" s="25" t="n">
        <v>117.97</v>
      </c>
      <c r="P64" s="25" t="n">
        <v>2241.39</v>
      </c>
      <c r="Q64" s="27" t="b">
        <f aca="false">FALSE()</f>
        <v>0</v>
      </c>
      <c r="R64" s="27" t="b">
        <f aca="false">FALSE()</f>
        <v>0</v>
      </c>
      <c r="S64" s="27" t="b">
        <f aca="false">FALSE()</f>
        <v>0</v>
      </c>
    </row>
    <row r="65" customFormat="false" ht="15" hidden="false" customHeight="false" outlineLevel="0" collapsed="false">
      <c r="A65" s="25" t="n">
        <v>64</v>
      </c>
      <c r="B65" s="25" t="s">
        <v>871</v>
      </c>
      <c r="C65" s="25" t="s">
        <v>549</v>
      </c>
      <c r="D65" s="25" t="n">
        <v>20240504</v>
      </c>
      <c r="E65" s="25" t="n">
        <v>135</v>
      </c>
      <c r="F65" s="25" t="n">
        <v>42</v>
      </c>
      <c r="G65" s="25" t="s">
        <v>115</v>
      </c>
      <c r="H65" s="25" t="s">
        <v>25</v>
      </c>
      <c r="I65" s="25" t="s">
        <v>1770</v>
      </c>
      <c r="J65" s="25" t="s">
        <v>250</v>
      </c>
      <c r="K65" s="25" t="n">
        <v>1</v>
      </c>
      <c r="L65" s="25" t="n">
        <v>11284.39</v>
      </c>
      <c r="M65" s="25" t="n">
        <v>0</v>
      </c>
      <c r="N65" s="25" t="n">
        <v>11284.39</v>
      </c>
      <c r="O65" s="25" t="n">
        <v>0</v>
      </c>
      <c r="P65" s="25" t="n">
        <v>11284.39</v>
      </c>
      <c r="Q65" s="27" t="b">
        <f aca="false">FALSE()</f>
        <v>0</v>
      </c>
      <c r="R65" s="27" t="b">
        <f aca="false">FALSE()</f>
        <v>0</v>
      </c>
      <c r="S65" s="27" t="b">
        <f aca="false">FALSE()</f>
        <v>0</v>
      </c>
    </row>
    <row r="66" customFormat="false" ht="15" hidden="false" customHeight="false" outlineLevel="0" collapsed="false">
      <c r="A66" s="25" t="n">
        <v>65</v>
      </c>
      <c r="B66" s="25" t="s">
        <v>872</v>
      </c>
      <c r="C66" s="25" t="s">
        <v>517</v>
      </c>
      <c r="D66" s="25" t="n">
        <v>20240306</v>
      </c>
      <c r="E66" s="25" t="n">
        <v>129</v>
      </c>
      <c r="F66" s="25" t="n">
        <v>63</v>
      </c>
      <c r="G66" s="25" t="s">
        <v>115</v>
      </c>
      <c r="H66" s="25" t="s">
        <v>2259</v>
      </c>
      <c r="I66" s="25" t="s">
        <v>79</v>
      </c>
      <c r="J66" s="25" t="s">
        <v>242</v>
      </c>
      <c r="K66" s="25" t="n">
        <v>4</v>
      </c>
      <c r="L66" s="25" t="n">
        <v>9269.43</v>
      </c>
      <c r="M66" s="25" t="n">
        <v>5</v>
      </c>
      <c r="N66" s="25" t="n">
        <v>37077.72</v>
      </c>
      <c r="O66" s="25" t="n">
        <v>1853.89</v>
      </c>
      <c r="P66" s="25" t="n">
        <v>35223.83</v>
      </c>
      <c r="Q66" s="27" t="b">
        <f aca="false">FALSE()</f>
        <v>0</v>
      </c>
      <c r="R66" s="27" t="b">
        <f aca="false">FALSE()</f>
        <v>0</v>
      </c>
      <c r="S66" s="27" t="b">
        <f aca="false">FALSE()</f>
        <v>0</v>
      </c>
    </row>
    <row r="67" customFormat="false" ht="15" hidden="false" customHeight="false" outlineLevel="0" collapsed="false">
      <c r="A67" s="25" t="n">
        <v>66</v>
      </c>
      <c r="B67" s="25" t="s">
        <v>873</v>
      </c>
      <c r="C67" s="25" t="s">
        <v>517</v>
      </c>
      <c r="D67" s="25" t="n">
        <v>20240306</v>
      </c>
      <c r="E67" s="25" t="n">
        <v>129</v>
      </c>
      <c r="F67" s="25" t="n">
        <v>10</v>
      </c>
      <c r="G67" s="25" t="s">
        <v>115</v>
      </c>
      <c r="H67" s="25" t="s">
        <v>2259</v>
      </c>
      <c r="I67" s="25" t="s">
        <v>79</v>
      </c>
      <c r="J67" s="25" t="s">
        <v>242</v>
      </c>
      <c r="K67" s="25" t="n">
        <v>3</v>
      </c>
      <c r="L67" s="25" t="n">
        <v>1165.83</v>
      </c>
      <c r="M67" s="25" t="n">
        <v>0</v>
      </c>
      <c r="N67" s="25" t="n">
        <v>3497.49</v>
      </c>
      <c r="O67" s="25" t="n">
        <v>0</v>
      </c>
      <c r="P67" s="25" t="n">
        <v>3497.49</v>
      </c>
      <c r="Q67" s="27" t="b">
        <f aca="false">FALSE()</f>
        <v>0</v>
      </c>
      <c r="R67" s="27" t="b">
        <f aca="false">FALSE()</f>
        <v>0</v>
      </c>
      <c r="S67" s="27" t="b">
        <f aca="false">FALSE()</f>
        <v>0</v>
      </c>
    </row>
    <row r="68" customFormat="false" ht="15" hidden="false" customHeight="false" outlineLevel="0" collapsed="false">
      <c r="A68" s="25" t="n">
        <v>67</v>
      </c>
      <c r="B68" s="25" t="s">
        <v>874</v>
      </c>
      <c r="C68" s="25" t="s">
        <v>517</v>
      </c>
      <c r="D68" s="25" t="n">
        <v>20240306</v>
      </c>
      <c r="E68" s="25" t="n">
        <v>129</v>
      </c>
      <c r="F68" s="25" t="n">
        <v>39</v>
      </c>
      <c r="G68" s="25" t="s">
        <v>115</v>
      </c>
      <c r="H68" s="25" t="s">
        <v>2259</v>
      </c>
      <c r="I68" s="25" t="s">
        <v>79</v>
      </c>
      <c r="J68" s="25" t="s">
        <v>242</v>
      </c>
      <c r="K68" s="25" t="n">
        <v>1</v>
      </c>
      <c r="L68" s="25" t="n">
        <v>5818.64</v>
      </c>
      <c r="M68" s="25" t="n">
        <v>0</v>
      </c>
      <c r="N68" s="25" t="n">
        <v>5818.64</v>
      </c>
      <c r="O68" s="25" t="n">
        <v>0</v>
      </c>
      <c r="P68" s="25" t="n">
        <v>5818.64</v>
      </c>
      <c r="Q68" s="27" t="b">
        <f aca="false">FALSE()</f>
        <v>0</v>
      </c>
      <c r="R68" s="27" t="b">
        <f aca="false">FALSE()</f>
        <v>0</v>
      </c>
      <c r="S68" s="27" t="b">
        <f aca="false">FALSE()</f>
        <v>0</v>
      </c>
    </row>
    <row r="69" customFormat="false" ht="15" hidden="false" customHeight="false" outlineLevel="0" collapsed="false">
      <c r="A69" s="25" t="n">
        <v>68</v>
      </c>
      <c r="B69" s="25" t="s">
        <v>875</v>
      </c>
      <c r="C69" s="25" t="s">
        <v>517</v>
      </c>
      <c r="D69" s="25" t="n">
        <v>20240306</v>
      </c>
      <c r="E69" s="25" t="n">
        <v>129</v>
      </c>
      <c r="F69" s="25" t="n">
        <v>56</v>
      </c>
      <c r="G69" s="25" t="s">
        <v>115</v>
      </c>
      <c r="H69" s="25" t="s">
        <v>2259</v>
      </c>
      <c r="I69" s="25" t="s">
        <v>79</v>
      </c>
      <c r="J69" s="25" t="s">
        <v>242</v>
      </c>
      <c r="K69" s="25" t="n">
        <v>1</v>
      </c>
      <c r="L69" s="25" t="n">
        <v>16535.66</v>
      </c>
      <c r="M69" s="25" t="n">
        <v>20</v>
      </c>
      <c r="N69" s="25" t="n">
        <v>16535.66</v>
      </c>
      <c r="O69" s="25" t="n">
        <v>3307.13</v>
      </c>
      <c r="P69" s="25" t="n">
        <v>13228.53</v>
      </c>
      <c r="Q69" s="27" t="b">
        <f aca="false">FALSE()</f>
        <v>0</v>
      </c>
      <c r="R69" s="27" t="b">
        <f aca="false">FALSE()</f>
        <v>0</v>
      </c>
      <c r="S69" s="27" t="b">
        <f aca="false">FALSE()</f>
        <v>0</v>
      </c>
    </row>
    <row r="70" customFormat="false" ht="15" hidden="false" customHeight="false" outlineLevel="0" collapsed="false">
      <c r="A70" s="25" t="n">
        <v>69</v>
      </c>
      <c r="B70" s="25" t="s">
        <v>876</v>
      </c>
      <c r="C70" s="25" t="s">
        <v>470</v>
      </c>
      <c r="D70" s="25" t="n">
        <v>20240413</v>
      </c>
      <c r="E70" s="25" t="n">
        <v>112</v>
      </c>
      <c r="F70" s="25" t="n">
        <v>59</v>
      </c>
      <c r="G70" s="25" t="s">
        <v>115</v>
      </c>
      <c r="H70" s="25" t="s">
        <v>25</v>
      </c>
      <c r="I70" s="25" t="s">
        <v>1738</v>
      </c>
      <c r="J70" s="25" t="s">
        <v>250</v>
      </c>
      <c r="K70" s="25" t="n">
        <v>2</v>
      </c>
      <c r="L70" s="25" t="n">
        <v>18828.5</v>
      </c>
      <c r="M70" s="25" t="n">
        <v>10</v>
      </c>
      <c r="N70" s="25" t="n">
        <v>37657</v>
      </c>
      <c r="O70" s="25" t="n">
        <v>3765.7</v>
      </c>
      <c r="P70" s="25" t="n">
        <v>33891.3</v>
      </c>
      <c r="Q70" s="27" t="b">
        <f aca="false">FALSE()</f>
        <v>0</v>
      </c>
      <c r="R70" s="27" t="b">
        <f aca="false">FALSE()</f>
        <v>0</v>
      </c>
      <c r="S70" s="27" t="b">
        <f aca="false">FALSE()</f>
        <v>0</v>
      </c>
    </row>
    <row r="71" customFormat="false" ht="15" hidden="false" customHeight="false" outlineLevel="0" collapsed="false">
      <c r="A71" s="25" t="n">
        <v>70</v>
      </c>
      <c r="B71" s="25" t="s">
        <v>878</v>
      </c>
      <c r="C71" s="25" t="s">
        <v>543</v>
      </c>
      <c r="D71" s="25" t="n">
        <v>20240701</v>
      </c>
      <c r="E71" s="25" t="n">
        <v>47</v>
      </c>
      <c r="F71" s="25" t="n">
        <v>62</v>
      </c>
      <c r="G71" s="25" t="s">
        <v>113</v>
      </c>
      <c r="H71" s="25" t="s">
        <v>25</v>
      </c>
      <c r="I71" s="25" t="s">
        <v>83</v>
      </c>
      <c r="J71" s="25" t="s">
        <v>242</v>
      </c>
      <c r="K71" s="25" t="n">
        <v>3</v>
      </c>
      <c r="L71" s="25" t="n">
        <v>8493.72</v>
      </c>
      <c r="M71" s="25" t="n">
        <v>5</v>
      </c>
      <c r="N71" s="25" t="n">
        <v>25481.16</v>
      </c>
      <c r="O71" s="25" t="n">
        <v>1274.06</v>
      </c>
      <c r="P71" s="25" t="n">
        <v>24207.1</v>
      </c>
      <c r="Q71" s="27" t="b">
        <f aca="false">FALSE()</f>
        <v>0</v>
      </c>
      <c r="R71" s="27" t="b">
        <f aca="false">FALSE()</f>
        <v>0</v>
      </c>
      <c r="S71" s="27" t="b">
        <f aca="false">FALSE()</f>
        <v>0</v>
      </c>
    </row>
    <row r="72" customFormat="false" ht="15" hidden="false" customHeight="false" outlineLevel="0" collapsed="false">
      <c r="A72" s="25" t="n">
        <v>71</v>
      </c>
      <c r="B72" s="25" t="s">
        <v>880</v>
      </c>
      <c r="C72" s="25" t="s">
        <v>543</v>
      </c>
      <c r="D72" s="25" t="n">
        <v>20240701</v>
      </c>
      <c r="E72" s="25" t="n">
        <v>47</v>
      </c>
      <c r="F72" s="25" t="n">
        <v>9</v>
      </c>
      <c r="G72" s="25" t="s">
        <v>113</v>
      </c>
      <c r="H72" s="25" t="s">
        <v>25</v>
      </c>
      <c r="I72" s="25" t="s">
        <v>83</v>
      </c>
      <c r="J72" s="25" t="s">
        <v>242</v>
      </c>
      <c r="K72" s="25" t="n">
        <v>1</v>
      </c>
      <c r="L72" s="25" t="n">
        <v>26274.11</v>
      </c>
      <c r="M72" s="25" t="n">
        <v>20</v>
      </c>
      <c r="N72" s="25" t="n">
        <v>26274.11</v>
      </c>
      <c r="O72" s="25" t="n">
        <v>5254.82</v>
      </c>
      <c r="P72" s="25" t="n">
        <v>21019.29</v>
      </c>
      <c r="Q72" s="27" t="b">
        <f aca="false">FALSE()</f>
        <v>0</v>
      </c>
      <c r="R72" s="27" t="b">
        <f aca="false">FALSE()</f>
        <v>0</v>
      </c>
      <c r="S72" s="27" t="b">
        <f aca="false">FALSE()</f>
        <v>0</v>
      </c>
    </row>
    <row r="73" customFormat="false" ht="15" hidden="false" customHeight="false" outlineLevel="0" collapsed="false">
      <c r="A73" s="25" t="n">
        <v>72</v>
      </c>
      <c r="B73" s="25" t="s">
        <v>881</v>
      </c>
      <c r="C73" s="25" t="s">
        <v>439</v>
      </c>
      <c r="D73" s="25" t="n">
        <v>20240217</v>
      </c>
      <c r="E73" s="25" t="n">
        <v>42</v>
      </c>
      <c r="F73" s="25" t="n">
        <v>24</v>
      </c>
      <c r="G73" s="25" t="s">
        <v>113</v>
      </c>
      <c r="H73" s="25" t="s">
        <v>25</v>
      </c>
      <c r="I73" s="25" t="s">
        <v>86</v>
      </c>
      <c r="J73" s="25" t="s">
        <v>250</v>
      </c>
      <c r="K73" s="25" t="n">
        <v>3</v>
      </c>
      <c r="L73" s="25" t="n">
        <v>11175.62</v>
      </c>
      <c r="M73" s="25" t="n">
        <v>5</v>
      </c>
      <c r="N73" s="25" t="n">
        <v>33526.86</v>
      </c>
      <c r="O73" s="25" t="n">
        <v>1676.34</v>
      </c>
      <c r="P73" s="25" t="n">
        <v>31850.52</v>
      </c>
      <c r="Q73" s="27" t="b">
        <f aca="false">FALSE()</f>
        <v>0</v>
      </c>
      <c r="R73" s="27" t="b">
        <f aca="false">FALSE()</f>
        <v>0</v>
      </c>
      <c r="S73" s="27" t="b">
        <f aca="false">FALSE()</f>
        <v>0</v>
      </c>
    </row>
    <row r="74" customFormat="false" ht="15" hidden="false" customHeight="false" outlineLevel="0" collapsed="false">
      <c r="A74" s="25" t="n">
        <v>73</v>
      </c>
      <c r="B74" s="25" t="s">
        <v>884</v>
      </c>
      <c r="C74" s="25" t="s">
        <v>439</v>
      </c>
      <c r="D74" s="25" t="n">
        <v>20240217</v>
      </c>
      <c r="E74" s="25" t="n">
        <v>42</v>
      </c>
      <c r="F74" s="25" t="n">
        <v>36</v>
      </c>
      <c r="G74" s="25" t="s">
        <v>113</v>
      </c>
      <c r="H74" s="25" t="s">
        <v>25</v>
      </c>
      <c r="I74" s="25" t="s">
        <v>86</v>
      </c>
      <c r="J74" s="25" t="s">
        <v>250</v>
      </c>
      <c r="K74" s="25" t="n">
        <v>3</v>
      </c>
      <c r="L74" s="25" t="n">
        <v>4574.41</v>
      </c>
      <c r="M74" s="25" t="n">
        <v>0</v>
      </c>
      <c r="N74" s="25" t="n">
        <v>13723.23</v>
      </c>
      <c r="O74" s="25" t="n">
        <v>0</v>
      </c>
      <c r="P74" s="25" t="n">
        <v>13723.23</v>
      </c>
      <c r="Q74" s="27" t="b">
        <f aca="false">FALSE()</f>
        <v>0</v>
      </c>
      <c r="R74" s="27" t="b">
        <f aca="false">FALSE()</f>
        <v>0</v>
      </c>
      <c r="S74" s="27" t="b">
        <f aca="false">FALSE()</f>
        <v>0</v>
      </c>
    </row>
    <row r="75" customFormat="false" ht="15" hidden="false" customHeight="false" outlineLevel="0" collapsed="false">
      <c r="A75" s="25" t="n">
        <v>74</v>
      </c>
      <c r="B75" s="25" t="s">
        <v>885</v>
      </c>
      <c r="C75" s="25" t="s">
        <v>439</v>
      </c>
      <c r="D75" s="25" t="n">
        <v>20240217</v>
      </c>
      <c r="E75" s="25" t="n">
        <v>42</v>
      </c>
      <c r="F75" s="25" t="n">
        <v>38</v>
      </c>
      <c r="G75" s="25" t="s">
        <v>113</v>
      </c>
      <c r="H75" s="25" t="s">
        <v>25</v>
      </c>
      <c r="I75" s="25" t="s">
        <v>86</v>
      </c>
      <c r="J75" s="25" t="s">
        <v>250</v>
      </c>
      <c r="K75" s="25" t="n">
        <v>1</v>
      </c>
      <c r="L75" s="25" t="n">
        <v>25201.06</v>
      </c>
      <c r="M75" s="25" t="n">
        <v>5</v>
      </c>
      <c r="N75" s="25" t="n">
        <v>25201.06</v>
      </c>
      <c r="O75" s="25" t="n">
        <v>1260.05</v>
      </c>
      <c r="P75" s="25" t="n">
        <v>23941.01</v>
      </c>
      <c r="Q75" s="27" t="b">
        <f aca="false">FALSE()</f>
        <v>0</v>
      </c>
      <c r="R75" s="27" t="b">
        <f aca="false">FALSE()</f>
        <v>0</v>
      </c>
      <c r="S75" s="27" t="b">
        <f aca="false">FALSE()</f>
        <v>0</v>
      </c>
    </row>
    <row r="76" customFormat="false" ht="15" hidden="false" customHeight="false" outlineLevel="0" collapsed="false">
      <c r="A76" s="25" t="n">
        <v>75</v>
      </c>
      <c r="B76" s="25" t="s">
        <v>887</v>
      </c>
      <c r="C76" s="25" t="s">
        <v>439</v>
      </c>
      <c r="D76" s="25" t="n">
        <v>20240217</v>
      </c>
      <c r="E76" s="25" t="n">
        <v>42</v>
      </c>
      <c r="F76" s="25" t="n">
        <v>17</v>
      </c>
      <c r="G76" s="25" t="s">
        <v>113</v>
      </c>
      <c r="H76" s="25" t="s">
        <v>25</v>
      </c>
      <c r="I76" s="25" t="s">
        <v>86</v>
      </c>
      <c r="J76" s="25" t="s">
        <v>250</v>
      </c>
      <c r="K76" s="25" t="n">
        <v>1</v>
      </c>
      <c r="L76" s="25" t="n">
        <v>17485.19</v>
      </c>
      <c r="M76" s="25" t="n">
        <v>10</v>
      </c>
      <c r="N76" s="25" t="n">
        <v>17485.19</v>
      </c>
      <c r="O76" s="25" t="n">
        <v>1748.52</v>
      </c>
      <c r="P76" s="25" t="n">
        <v>15736.67</v>
      </c>
      <c r="Q76" s="27" t="b">
        <f aca="false">FALSE()</f>
        <v>0</v>
      </c>
      <c r="R76" s="27" t="b">
        <f aca="false">FALSE()</f>
        <v>0</v>
      </c>
      <c r="S76" s="27" t="b">
        <f aca="false">FALSE()</f>
        <v>0</v>
      </c>
    </row>
    <row r="77" customFormat="false" ht="15" hidden="false" customHeight="false" outlineLevel="0" collapsed="false">
      <c r="A77" s="25" t="n">
        <v>76</v>
      </c>
      <c r="B77" s="25" t="s">
        <v>888</v>
      </c>
      <c r="C77" s="25" t="s">
        <v>402</v>
      </c>
      <c r="D77" s="25" t="n">
        <v>20250114</v>
      </c>
      <c r="E77" s="25" t="n">
        <v>129</v>
      </c>
      <c r="F77" s="25" t="n">
        <v>13</v>
      </c>
      <c r="G77" s="25" t="s">
        <v>114</v>
      </c>
      <c r="H77" s="25" t="s">
        <v>2264</v>
      </c>
      <c r="I77" s="25" t="s">
        <v>71</v>
      </c>
      <c r="J77" s="25" t="s">
        <v>269</v>
      </c>
      <c r="K77" s="25" t="n">
        <v>4</v>
      </c>
      <c r="L77" s="25" t="n">
        <v>15622.68</v>
      </c>
      <c r="M77" s="25" t="n">
        <v>0</v>
      </c>
      <c r="N77" s="25" t="n">
        <v>62490.72</v>
      </c>
      <c r="O77" s="25" t="n">
        <v>0</v>
      </c>
      <c r="P77" s="25" t="n">
        <v>62490.72</v>
      </c>
      <c r="Q77" s="27" t="b">
        <f aca="false">FALSE()</f>
        <v>0</v>
      </c>
      <c r="R77" s="27" t="b">
        <f aca="false">FALSE()</f>
        <v>0</v>
      </c>
      <c r="S77" s="27" t="b">
        <f aca="false">FALSE()</f>
        <v>0</v>
      </c>
    </row>
    <row r="78" customFormat="false" ht="15" hidden="false" customHeight="false" outlineLevel="0" collapsed="false">
      <c r="A78" s="25" t="n">
        <v>77</v>
      </c>
      <c r="B78" s="25" t="s">
        <v>889</v>
      </c>
      <c r="C78" s="25" t="s">
        <v>402</v>
      </c>
      <c r="D78" s="25" t="n">
        <v>20250114</v>
      </c>
      <c r="E78" s="25" t="n">
        <v>129</v>
      </c>
      <c r="F78" s="25" t="n">
        <v>69</v>
      </c>
      <c r="G78" s="25" t="s">
        <v>114</v>
      </c>
      <c r="H78" s="25" t="s">
        <v>2264</v>
      </c>
      <c r="I78" s="25" t="s">
        <v>71</v>
      </c>
      <c r="J78" s="25" t="s">
        <v>269</v>
      </c>
      <c r="K78" s="25" t="n">
        <v>4</v>
      </c>
      <c r="L78" s="25" t="n">
        <v>25742.49</v>
      </c>
      <c r="M78" s="25" t="n">
        <v>0</v>
      </c>
      <c r="N78" s="25" t="n">
        <v>102969.96</v>
      </c>
      <c r="O78" s="25" t="n">
        <v>0</v>
      </c>
      <c r="P78" s="25" t="n">
        <v>102969.96</v>
      </c>
      <c r="Q78" s="27" t="b">
        <f aca="false">FALSE()</f>
        <v>0</v>
      </c>
      <c r="R78" s="27" t="b">
        <f aca="false">FALSE()</f>
        <v>0</v>
      </c>
      <c r="S78" s="27" t="b">
        <f aca="false">FALSE()</f>
        <v>0</v>
      </c>
    </row>
    <row r="79" customFormat="false" ht="15" hidden="false" customHeight="false" outlineLevel="0" collapsed="false">
      <c r="A79" s="25" t="n">
        <v>78</v>
      </c>
      <c r="B79" s="25" t="s">
        <v>890</v>
      </c>
      <c r="C79" s="25" t="s">
        <v>412</v>
      </c>
      <c r="D79" s="25" t="n">
        <v>20201225</v>
      </c>
      <c r="E79" s="25" t="n">
        <v>65</v>
      </c>
      <c r="F79" s="25" t="n">
        <v>4</v>
      </c>
      <c r="G79" s="25" t="s">
        <v>113</v>
      </c>
      <c r="H79" s="25" t="s">
        <v>25</v>
      </c>
      <c r="I79" s="25" t="s">
        <v>75</v>
      </c>
      <c r="J79" s="25" t="s">
        <v>242</v>
      </c>
      <c r="K79" s="25" t="n">
        <v>1</v>
      </c>
      <c r="L79" s="25" t="n">
        <v>21122.18</v>
      </c>
      <c r="M79" s="25" t="n">
        <v>0</v>
      </c>
      <c r="N79" s="25" t="n">
        <v>21122.18</v>
      </c>
      <c r="O79" s="25" t="n">
        <v>0</v>
      </c>
      <c r="P79" s="25" t="n">
        <v>21122.18</v>
      </c>
      <c r="Q79" s="27" t="b">
        <f aca="false">FALSE()</f>
        <v>0</v>
      </c>
      <c r="R79" s="27" t="b">
        <f aca="false">FALSE()</f>
        <v>0</v>
      </c>
      <c r="S79" s="27" t="b">
        <f aca="false">FALSE()</f>
        <v>0</v>
      </c>
    </row>
    <row r="80" customFormat="false" ht="15" hidden="false" customHeight="false" outlineLevel="0" collapsed="false">
      <c r="A80" s="25" t="n">
        <v>79</v>
      </c>
      <c r="B80" s="25" t="s">
        <v>892</v>
      </c>
      <c r="C80" s="25" t="s">
        <v>358</v>
      </c>
      <c r="D80" s="25" t="n">
        <v>20240426</v>
      </c>
      <c r="E80" s="25" t="n">
        <v>65</v>
      </c>
      <c r="F80" s="25" t="n">
        <v>18</v>
      </c>
      <c r="G80" s="25" t="s">
        <v>113</v>
      </c>
      <c r="H80" s="25" t="s">
        <v>25</v>
      </c>
      <c r="I80" s="25" t="s">
        <v>1770</v>
      </c>
      <c r="J80" s="25" t="s">
        <v>242</v>
      </c>
      <c r="K80" s="25" t="n">
        <v>3</v>
      </c>
      <c r="L80" s="25" t="n">
        <v>17477.91</v>
      </c>
      <c r="M80" s="25" t="n">
        <v>10</v>
      </c>
      <c r="N80" s="25" t="n">
        <v>52433.73</v>
      </c>
      <c r="O80" s="25" t="n">
        <v>5243.37</v>
      </c>
      <c r="P80" s="25" t="n">
        <v>47190.36</v>
      </c>
      <c r="Q80" s="27" t="b">
        <f aca="false">FALSE()</f>
        <v>0</v>
      </c>
      <c r="R80" s="27" t="b">
        <f aca="false">FALSE()</f>
        <v>0</v>
      </c>
      <c r="S80" s="27" t="b">
        <f aca="false">FALSE()</f>
        <v>0</v>
      </c>
    </row>
    <row r="81" customFormat="false" ht="15" hidden="false" customHeight="false" outlineLevel="0" collapsed="false">
      <c r="A81" s="25" t="n">
        <v>80</v>
      </c>
      <c r="B81" s="25" t="s">
        <v>893</v>
      </c>
      <c r="C81" s="25" t="s">
        <v>348</v>
      </c>
      <c r="D81" s="25" t="n">
        <v>20240706</v>
      </c>
      <c r="E81" s="25" t="n">
        <v>67</v>
      </c>
      <c r="F81" s="25" t="n">
        <v>7</v>
      </c>
      <c r="G81" s="25" t="s">
        <v>113</v>
      </c>
      <c r="H81" s="25" t="s">
        <v>25</v>
      </c>
      <c r="I81" s="25" t="s">
        <v>79</v>
      </c>
      <c r="J81" s="25" t="s">
        <v>242</v>
      </c>
      <c r="K81" s="25" t="n">
        <v>1</v>
      </c>
      <c r="L81" s="25" t="n">
        <v>20278.89</v>
      </c>
      <c r="M81" s="25" t="n">
        <v>0</v>
      </c>
      <c r="N81" s="25" t="n">
        <v>20278.89</v>
      </c>
      <c r="O81" s="25" t="n">
        <v>0</v>
      </c>
      <c r="P81" s="25" t="n">
        <v>20278.89</v>
      </c>
      <c r="Q81" s="27" t="b">
        <f aca="false">FALSE()</f>
        <v>0</v>
      </c>
      <c r="R81" s="27" t="b">
        <f aca="false">FALSE()</f>
        <v>0</v>
      </c>
      <c r="S81" s="27" t="b">
        <f aca="false">FALSE()</f>
        <v>0</v>
      </c>
    </row>
    <row r="82" customFormat="false" ht="15" hidden="false" customHeight="false" outlineLevel="0" collapsed="false">
      <c r="A82" s="25" t="n">
        <v>81</v>
      </c>
      <c r="B82" s="25" t="s">
        <v>895</v>
      </c>
      <c r="C82" s="25" t="s">
        <v>361</v>
      </c>
      <c r="D82" s="25" t="n">
        <v>20240311</v>
      </c>
      <c r="E82" s="25" t="n">
        <v>-1</v>
      </c>
      <c r="F82" s="25" t="n">
        <v>8</v>
      </c>
      <c r="G82" s="25" t="s">
        <v>113</v>
      </c>
      <c r="H82" s="25" t="s">
        <v>2261</v>
      </c>
      <c r="I82" s="25" t="s">
        <v>94</v>
      </c>
      <c r="J82" s="25" t="s">
        <v>242</v>
      </c>
      <c r="K82" s="25" t="n">
        <v>3</v>
      </c>
      <c r="L82" s="25" t="n">
        <v>15176.98</v>
      </c>
      <c r="M82" s="25" t="n">
        <v>10</v>
      </c>
      <c r="N82" s="25" t="n">
        <v>45530.94</v>
      </c>
      <c r="O82" s="25" t="n">
        <v>4553.09</v>
      </c>
      <c r="P82" s="25" t="n">
        <v>40977.85</v>
      </c>
      <c r="Q82" s="27" t="b">
        <f aca="false">FALSE()</f>
        <v>0</v>
      </c>
      <c r="R82" s="27" t="b">
        <f aca="false">FALSE()</f>
        <v>0</v>
      </c>
      <c r="S82" s="27" t="b">
        <f aca="false">FALSE()</f>
        <v>0</v>
      </c>
    </row>
    <row r="83" customFormat="false" ht="15" hidden="false" customHeight="false" outlineLevel="0" collapsed="false">
      <c r="A83" s="25" t="n">
        <v>82</v>
      </c>
      <c r="B83" s="25" t="s">
        <v>896</v>
      </c>
      <c r="C83" s="25" t="s">
        <v>361</v>
      </c>
      <c r="D83" s="25" t="n">
        <v>20240311</v>
      </c>
      <c r="E83" s="25" t="n">
        <v>-1</v>
      </c>
      <c r="F83" s="25" t="n">
        <v>30</v>
      </c>
      <c r="G83" s="25" t="s">
        <v>113</v>
      </c>
      <c r="H83" s="25" t="s">
        <v>2261</v>
      </c>
      <c r="I83" s="25" t="s">
        <v>94</v>
      </c>
      <c r="J83" s="25" t="s">
        <v>242</v>
      </c>
      <c r="K83" s="25" t="n">
        <v>4</v>
      </c>
      <c r="L83" s="25" t="n">
        <v>20253.93</v>
      </c>
      <c r="M83" s="25" t="n">
        <v>10</v>
      </c>
      <c r="N83" s="25" t="n">
        <v>81015.72</v>
      </c>
      <c r="O83" s="25" t="n">
        <v>8101.57</v>
      </c>
      <c r="P83" s="25" t="n">
        <v>72914.15</v>
      </c>
      <c r="Q83" s="27" t="b">
        <f aca="false">TRUE()</f>
        <v>1</v>
      </c>
      <c r="R83" s="27" t="b">
        <f aca="false">FALSE()</f>
        <v>0</v>
      </c>
      <c r="S83" s="27" t="b">
        <f aca="false">FALSE()</f>
        <v>0</v>
      </c>
    </row>
    <row r="84" customFormat="false" ht="15" hidden="false" customHeight="false" outlineLevel="0" collapsed="false">
      <c r="A84" s="25" t="n">
        <v>83</v>
      </c>
      <c r="B84" s="25" t="s">
        <v>897</v>
      </c>
      <c r="C84" s="25" t="s">
        <v>361</v>
      </c>
      <c r="D84" s="25" t="n">
        <v>20240311</v>
      </c>
      <c r="E84" s="25" t="n">
        <v>-1</v>
      </c>
      <c r="F84" s="25" t="n">
        <v>32</v>
      </c>
      <c r="G84" s="25" t="s">
        <v>113</v>
      </c>
      <c r="H84" s="25" t="s">
        <v>2261</v>
      </c>
      <c r="I84" s="25" t="s">
        <v>94</v>
      </c>
      <c r="J84" s="25" t="s">
        <v>242</v>
      </c>
      <c r="K84" s="25" t="n">
        <v>1</v>
      </c>
      <c r="L84" s="25" t="n">
        <v>23243.35</v>
      </c>
      <c r="M84" s="25" t="n">
        <v>15</v>
      </c>
      <c r="N84" s="25" t="n">
        <v>23243.35</v>
      </c>
      <c r="O84" s="25" t="n">
        <v>3486.5</v>
      </c>
      <c r="P84" s="25" t="n">
        <v>19756.85</v>
      </c>
      <c r="Q84" s="27" t="b">
        <f aca="false">FALSE()</f>
        <v>0</v>
      </c>
      <c r="R84" s="27" t="b">
        <f aca="false">FALSE()</f>
        <v>0</v>
      </c>
      <c r="S84" s="27" t="b">
        <f aca="false">FALSE()</f>
        <v>0</v>
      </c>
    </row>
    <row r="85" customFormat="false" ht="15" hidden="false" customHeight="false" outlineLevel="0" collapsed="false">
      <c r="A85" s="25" t="n">
        <v>84</v>
      </c>
      <c r="B85" s="25" t="s">
        <v>898</v>
      </c>
      <c r="C85" s="25" t="s">
        <v>361</v>
      </c>
      <c r="D85" s="25" t="n">
        <v>20240311</v>
      </c>
      <c r="E85" s="25" t="n">
        <v>-1</v>
      </c>
      <c r="F85" s="25" t="n">
        <v>10</v>
      </c>
      <c r="G85" s="25" t="s">
        <v>113</v>
      </c>
      <c r="H85" s="25" t="s">
        <v>2261</v>
      </c>
      <c r="I85" s="25" t="s">
        <v>94</v>
      </c>
      <c r="J85" s="25" t="s">
        <v>242</v>
      </c>
      <c r="K85" s="25" t="n">
        <v>4</v>
      </c>
      <c r="L85" s="25" t="n">
        <v>1165.83</v>
      </c>
      <c r="M85" s="25" t="n">
        <v>0</v>
      </c>
      <c r="N85" s="25" t="n">
        <v>4663.32</v>
      </c>
      <c r="O85" s="25" t="n">
        <v>0</v>
      </c>
      <c r="P85" s="25" t="n">
        <v>4663.32</v>
      </c>
      <c r="Q85" s="27" t="b">
        <f aca="false">FALSE()</f>
        <v>0</v>
      </c>
      <c r="R85" s="27" t="b">
        <f aca="false">FALSE()</f>
        <v>0</v>
      </c>
      <c r="S85" s="27" t="b">
        <f aca="false">FALSE()</f>
        <v>0</v>
      </c>
    </row>
    <row r="86" customFormat="false" ht="15" hidden="false" customHeight="false" outlineLevel="0" collapsed="false">
      <c r="A86" s="25" t="n">
        <v>85</v>
      </c>
      <c r="B86" s="25" t="s">
        <v>899</v>
      </c>
      <c r="C86" s="25" t="s">
        <v>386</v>
      </c>
      <c r="D86" s="25" t="n">
        <v>20240606</v>
      </c>
      <c r="E86" s="25" t="n">
        <v>-1</v>
      </c>
      <c r="F86" s="25" t="n">
        <v>16</v>
      </c>
      <c r="G86" s="25" t="s">
        <v>114</v>
      </c>
      <c r="H86" s="25" t="s">
        <v>25</v>
      </c>
      <c r="I86" s="25" t="s">
        <v>1743</v>
      </c>
      <c r="J86" s="25" t="s">
        <v>242</v>
      </c>
      <c r="K86" s="25" t="n">
        <v>4</v>
      </c>
      <c r="L86" s="25" t="n">
        <v>2260.53</v>
      </c>
      <c r="M86" s="25" t="n">
        <v>0</v>
      </c>
      <c r="N86" s="25" t="n">
        <v>9042.12</v>
      </c>
      <c r="O86" s="25" t="n">
        <v>0</v>
      </c>
      <c r="P86" s="25" t="n">
        <v>9042.12</v>
      </c>
      <c r="Q86" s="27" t="b">
        <f aca="false">FALSE()</f>
        <v>0</v>
      </c>
      <c r="R86" s="27" t="b">
        <f aca="false">FALSE()</f>
        <v>0</v>
      </c>
      <c r="S86" s="27" t="b">
        <f aca="false">FALSE()</f>
        <v>0</v>
      </c>
    </row>
    <row r="87" customFormat="false" ht="15" hidden="false" customHeight="false" outlineLevel="0" collapsed="false">
      <c r="A87" s="25" t="n">
        <v>86</v>
      </c>
      <c r="B87" s="25" t="s">
        <v>900</v>
      </c>
      <c r="C87" s="25" t="s">
        <v>386</v>
      </c>
      <c r="D87" s="25" t="n">
        <v>20240606</v>
      </c>
      <c r="E87" s="25" t="n">
        <v>-1</v>
      </c>
      <c r="F87" s="25" t="n">
        <v>59</v>
      </c>
      <c r="G87" s="25" t="s">
        <v>114</v>
      </c>
      <c r="H87" s="25" t="s">
        <v>25</v>
      </c>
      <c r="I87" s="25" t="s">
        <v>1743</v>
      </c>
      <c r="J87" s="25" t="s">
        <v>242</v>
      </c>
      <c r="K87" s="25" t="n">
        <v>3</v>
      </c>
      <c r="L87" s="25" t="n">
        <v>18828.5</v>
      </c>
      <c r="M87" s="25" t="n">
        <v>0</v>
      </c>
      <c r="N87" s="25" t="n">
        <v>56485.5</v>
      </c>
      <c r="O87" s="25" t="n">
        <v>0</v>
      </c>
      <c r="P87" s="25" t="n">
        <v>56485.5</v>
      </c>
      <c r="Q87" s="27" t="b">
        <f aca="false">FALSE()</f>
        <v>0</v>
      </c>
      <c r="R87" s="27" t="b">
        <f aca="false">FALSE()</f>
        <v>0</v>
      </c>
      <c r="S87" s="27" t="b">
        <f aca="false">FALSE()</f>
        <v>0</v>
      </c>
    </row>
    <row r="88" customFormat="false" ht="15" hidden="false" customHeight="false" outlineLevel="0" collapsed="false">
      <c r="A88" s="25" t="n">
        <v>87</v>
      </c>
      <c r="B88" s="25" t="s">
        <v>901</v>
      </c>
      <c r="C88" s="25" t="s">
        <v>386</v>
      </c>
      <c r="D88" s="25" t="n">
        <v>20240606</v>
      </c>
      <c r="E88" s="25" t="n">
        <v>-1</v>
      </c>
      <c r="F88" s="25" t="n">
        <v>55</v>
      </c>
      <c r="G88" s="25" t="s">
        <v>114</v>
      </c>
      <c r="H88" s="25" t="s">
        <v>25</v>
      </c>
      <c r="I88" s="25" t="s">
        <v>1743</v>
      </c>
      <c r="J88" s="25" t="s">
        <v>242</v>
      </c>
      <c r="K88" s="25" t="n">
        <v>3</v>
      </c>
      <c r="L88" s="25" t="n">
        <v>5471.28</v>
      </c>
      <c r="M88" s="25" t="n">
        <v>20</v>
      </c>
      <c r="N88" s="25" t="n">
        <v>16413.84</v>
      </c>
      <c r="O88" s="25" t="n">
        <v>3282.77</v>
      </c>
      <c r="P88" s="25" t="n">
        <v>13131.07</v>
      </c>
      <c r="Q88" s="27" t="b">
        <f aca="false">FALSE()</f>
        <v>0</v>
      </c>
      <c r="R88" s="27" t="b">
        <f aca="false">FALSE()</f>
        <v>0</v>
      </c>
      <c r="S88" s="27" t="b">
        <f aca="false">FALSE()</f>
        <v>0</v>
      </c>
    </row>
    <row r="89" customFormat="false" ht="15" hidden="false" customHeight="false" outlineLevel="0" collapsed="false">
      <c r="A89" s="25" t="n">
        <v>88</v>
      </c>
      <c r="B89" s="25" t="s">
        <v>902</v>
      </c>
      <c r="C89" s="25" t="s">
        <v>334</v>
      </c>
      <c r="D89" s="25" t="n">
        <v>20250319</v>
      </c>
      <c r="E89" s="25" t="n">
        <v>29</v>
      </c>
      <c r="F89" s="25" t="n">
        <v>50</v>
      </c>
      <c r="G89" s="25" t="s">
        <v>113</v>
      </c>
      <c r="H89" s="25" t="s">
        <v>25</v>
      </c>
      <c r="I89" s="25" t="s">
        <v>79</v>
      </c>
      <c r="J89" s="25" t="s">
        <v>269</v>
      </c>
      <c r="K89" s="25" t="n">
        <v>4</v>
      </c>
      <c r="L89" s="25" t="n">
        <v>22582.54</v>
      </c>
      <c r="M89" s="25" t="n">
        <v>20</v>
      </c>
      <c r="N89" s="25" t="n">
        <v>90330.16</v>
      </c>
      <c r="O89" s="25" t="n">
        <v>18066.03</v>
      </c>
      <c r="P89" s="25" t="n">
        <v>72264.13</v>
      </c>
      <c r="Q89" s="27" t="b">
        <f aca="false">FALSE()</f>
        <v>0</v>
      </c>
      <c r="R89" s="27" t="b">
        <f aca="false">FALSE()</f>
        <v>0</v>
      </c>
      <c r="S89" s="27" t="b">
        <f aca="false">FALSE()</f>
        <v>0</v>
      </c>
    </row>
    <row r="90" customFormat="false" ht="15" hidden="false" customHeight="false" outlineLevel="0" collapsed="false">
      <c r="A90" s="25" t="n">
        <v>89</v>
      </c>
      <c r="B90" s="25" t="s">
        <v>903</v>
      </c>
      <c r="C90" s="25" t="s">
        <v>334</v>
      </c>
      <c r="D90" s="25" t="n">
        <v>20250319</v>
      </c>
      <c r="E90" s="25" t="n">
        <v>29</v>
      </c>
      <c r="F90" s="25" t="n">
        <v>61</v>
      </c>
      <c r="G90" s="25" t="s">
        <v>113</v>
      </c>
      <c r="H90" s="25" t="s">
        <v>25</v>
      </c>
      <c r="I90" s="25" t="s">
        <v>79</v>
      </c>
      <c r="J90" s="25" t="s">
        <v>269</v>
      </c>
      <c r="K90" s="25" t="n">
        <v>4</v>
      </c>
      <c r="L90" s="25" t="n">
        <v>8318.56</v>
      </c>
      <c r="M90" s="25" t="n">
        <v>0</v>
      </c>
      <c r="N90" s="25" t="n">
        <v>33274.24</v>
      </c>
      <c r="O90" s="25" t="n">
        <v>0</v>
      </c>
      <c r="P90" s="25" t="n">
        <v>33274.24</v>
      </c>
      <c r="Q90" s="27" t="b">
        <f aca="false">FALSE()</f>
        <v>0</v>
      </c>
      <c r="R90" s="27" t="b">
        <f aca="false">FALSE()</f>
        <v>0</v>
      </c>
      <c r="S90" s="27" t="b">
        <f aca="false">FALSE()</f>
        <v>0</v>
      </c>
    </row>
    <row r="91" customFormat="false" ht="15" hidden="false" customHeight="false" outlineLevel="0" collapsed="false">
      <c r="A91" s="25" t="n">
        <v>90</v>
      </c>
      <c r="B91" s="25" t="s">
        <v>904</v>
      </c>
      <c r="C91" s="25" t="s">
        <v>363</v>
      </c>
      <c r="D91" s="25" t="n">
        <v>20240108</v>
      </c>
      <c r="E91" s="25" t="n">
        <v>117</v>
      </c>
      <c r="F91" s="25" t="n">
        <v>61</v>
      </c>
      <c r="G91" s="25" t="s">
        <v>114</v>
      </c>
      <c r="H91" s="25" t="s">
        <v>2265</v>
      </c>
      <c r="I91" s="25" t="s">
        <v>86</v>
      </c>
      <c r="J91" s="25" t="s">
        <v>242</v>
      </c>
      <c r="K91" s="25" t="n">
        <v>2</v>
      </c>
      <c r="L91" s="25" t="n">
        <v>8318.56</v>
      </c>
      <c r="M91" s="25" t="n">
        <v>0</v>
      </c>
      <c r="N91" s="25" t="n">
        <v>16637.12</v>
      </c>
      <c r="O91" s="25" t="n">
        <v>0</v>
      </c>
      <c r="P91" s="25" t="n">
        <v>16637.12</v>
      </c>
      <c r="Q91" s="27" t="b">
        <f aca="false">FALSE()</f>
        <v>0</v>
      </c>
      <c r="R91" s="27" t="b">
        <f aca="false">FALSE()</f>
        <v>0</v>
      </c>
      <c r="S91" s="27" t="b">
        <f aca="false">FALSE()</f>
        <v>0</v>
      </c>
    </row>
    <row r="92" customFormat="false" ht="15" hidden="false" customHeight="false" outlineLevel="0" collapsed="false">
      <c r="A92" s="25" t="n">
        <v>91</v>
      </c>
      <c r="B92" s="25" t="s">
        <v>906</v>
      </c>
      <c r="C92" s="25" t="s">
        <v>363</v>
      </c>
      <c r="D92" s="25" t="n">
        <v>20240108</v>
      </c>
      <c r="E92" s="25" t="n">
        <v>117</v>
      </c>
      <c r="F92" s="25" t="n">
        <v>48</v>
      </c>
      <c r="G92" s="25" t="s">
        <v>114</v>
      </c>
      <c r="H92" s="25" t="s">
        <v>2265</v>
      </c>
      <c r="I92" s="25" t="s">
        <v>86</v>
      </c>
      <c r="J92" s="25" t="s">
        <v>242</v>
      </c>
      <c r="K92" s="25" t="n">
        <v>1</v>
      </c>
      <c r="L92" s="25" t="n">
        <v>25643.17</v>
      </c>
      <c r="M92" s="25" t="n">
        <v>15</v>
      </c>
      <c r="N92" s="25" t="n">
        <v>25643.17</v>
      </c>
      <c r="O92" s="25" t="n">
        <v>3846.48</v>
      </c>
      <c r="P92" s="25" t="n">
        <v>21796.69</v>
      </c>
      <c r="Q92" s="27" t="b">
        <f aca="false">FALSE()</f>
        <v>0</v>
      </c>
      <c r="R92" s="27" t="b">
        <f aca="false">FALSE()</f>
        <v>0</v>
      </c>
      <c r="S92" s="27" t="b">
        <f aca="false">FALSE()</f>
        <v>0</v>
      </c>
    </row>
    <row r="93" customFormat="false" ht="15" hidden="false" customHeight="false" outlineLevel="0" collapsed="false">
      <c r="A93" s="25" t="n">
        <v>92</v>
      </c>
      <c r="B93" s="25" t="s">
        <v>908</v>
      </c>
      <c r="C93" s="25" t="s">
        <v>538</v>
      </c>
      <c r="D93" s="25" t="n">
        <v>20250724</v>
      </c>
      <c r="E93" s="25" t="n">
        <v>54</v>
      </c>
      <c r="F93" s="25" t="n">
        <v>7</v>
      </c>
      <c r="G93" s="25" t="s">
        <v>114</v>
      </c>
      <c r="H93" s="25" t="s">
        <v>25</v>
      </c>
      <c r="I93" s="25" t="s">
        <v>94</v>
      </c>
      <c r="J93" s="25" t="s">
        <v>269</v>
      </c>
      <c r="K93" s="25" t="n">
        <v>4</v>
      </c>
      <c r="L93" s="25" t="n">
        <v>20278.89</v>
      </c>
      <c r="M93" s="25" t="n">
        <v>0</v>
      </c>
      <c r="N93" s="25" t="n">
        <v>81115.56</v>
      </c>
      <c r="O93" s="25" t="n">
        <v>0</v>
      </c>
      <c r="P93" s="25" t="n">
        <v>81115.56</v>
      </c>
      <c r="Q93" s="27" t="b">
        <f aca="false">FALSE()</f>
        <v>0</v>
      </c>
      <c r="R93" s="27" t="b">
        <f aca="false">FALSE()</f>
        <v>0</v>
      </c>
      <c r="S93" s="27" t="b">
        <f aca="false">FALSE()</f>
        <v>0</v>
      </c>
    </row>
    <row r="94" customFormat="false" ht="15" hidden="false" customHeight="false" outlineLevel="0" collapsed="false">
      <c r="A94" s="25" t="n">
        <v>93</v>
      </c>
      <c r="B94" s="25" t="s">
        <v>910</v>
      </c>
      <c r="C94" s="25" t="s">
        <v>538</v>
      </c>
      <c r="D94" s="25" t="n">
        <v>20250724</v>
      </c>
      <c r="E94" s="25" t="n">
        <v>54</v>
      </c>
      <c r="F94" s="25" t="n">
        <v>39</v>
      </c>
      <c r="G94" s="25" t="s">
        <v>114</v>
      </c>
      <c r="H94" s="25" t="s">
        <v>25</v>
      </c>
      <c r="I94" s="25" t="s">
        <v>94</v>
      </c>
      <c r="J94" s="25" t="s">
        <v>269</v>
      </c>
      <c r="K94" s="25" t="n">
        <v>3</v>
      </c>
      <c r="L94" s="25" t="n">
        <v>5818.64</v>
      </c>
      <c r="M94" s="25" t="n">
        <v>20</v>
      </c>
      <c r="N94" s="25" t="n">
        <v>17455.92</v>
      </c>
      <c r="O94" s="25" t="n">
        <v>3491.18</v>
      </c>
      <c r="P94" s="25" t="n">
        <v>13964.74</v>
      </c>
      <c r="Q94" s="27" t="b">
        <f aca="false">FALSE()</f>
        <v>0</v>
      </c>
      <c r="R94" s="27" t="b">
        <f aca="false">FALSE()</f>
        <v>0</v>
      </c>
      <c r="S94" s="27" t="b">
        <f aca="false">FALSE()</f>
        <v>0</v>
      </c>
    </row>
    <row r="95" customFormat="false" ht="15" hidden="false" customHeight="false" outlineLevel="0" collapsed="false">
      <c r="A95" s="25" t="n">
        <v>94</v>
      </c>
      <c r="B95" s="25" t="s">
        <v>911</v>
      </c>
      <c r="C95" s="25" t="s">
        <v>538</v>
      </c>
      <c r="D95" s="25" t="n">
        <v>20250724</v>
      </c>
      <c r="E95" s="25" t="n">
        <v>54</v>
      </c>
      <c r="F95" s="25" t="n">
        <v>5</v>
      </c>
      <c r="G95" s="25" t="s">
        <v>114</v>
      </c>
      <c r="H95" s="25" t="s">
        <v>25</v>
      </c>
      <c r="I95" s="25" t="s">
        <v>94</v>
      </c>
      <c r="J95" s="25" t="s">
        <v>269</v>
      </c>
      <c r="K95" s="25" t="n">
        <v>2</v>
      </c>
      <c r="L95" s="25" t="n">
        <v>17935.95</v>
      </c>
      <c r="M95" s="25" t="n">
        <v>20</v>
      </c>
      <c r="N95" s="25" t="n">
        <v>35871.9</v>
      </c>
      <c r="O95" s="25" t="n">
        <v>7174.38</v>
      </c>
      <c r="P95" s="25" t="n">
        <v>28697.52</v>
      </c>
      <c r="Q95" s="27" t="b">
        <f aca="false">FALSE()</f>
        <v>0</v>
      </c>
      <c r="R95" s="27" t="b">
        <f aca="false">FALSE()</f>
        <v>0</v>
      </c>
      <c r="S95" s="27" t="b">
        <f aca="false">FALSE()</f>
        <v>0</v>
      </c>
    </row>
    <row r="96" customFormat="false" ht="15" hidden="false" customHeight="false" outlineLevel="0" collapsed="false">
      <c r="A96" s="25" t="n">
        <v>95</v>
      </c>
      <c r="B96" s="25" t="s">
        <v>912</v>
      </c>
      <c r="C96" s="25" t="s">
        <v>376</v>
      </c>
      <c r="D96" s="25" t="n">
        <v>20250413</v>
      </c>
      <c r="E96" s="25" t="n">
        <v>45</v>
      </c>
      <c r="F96" s="25" t="n">
        <v>23</v>
      </c>
      <c r="G96" s="25" t="s">
        <v>113</v>
      </c>
      <c r="H96" s="25" t="s">
        <v>2266</v>
      </c>
      <c r="I96" s="25" t="s">
        <v>75</v>
      </c>
      <c r="J96" s="25" t="s">
        <v>246</v>
      </c>
      <c r="K96" s="25" t="n">
        <v>5</v>
      </c>
      <c r="L96" s="25" t="n">
        <v>3019.36</v>
      </c>
      <c r="M96" s="25" t="n">
        <v>0</v>
      </c>
      <c r="N96" s="25" t="n">
        <v>15096.8</v>
      </c>
      <c r="O96" s="25" t="n">
        <v>0</v>
      </c>
      <c r="P96" s="25" t="n">
        <v>15096.8</v>
      </c>
      <c r="Q96" s="27" t="b">
        <f aca="false">FALSE()</f>
        <v>0</v>
      </c>
      <c r="R96" s="27" t="b">
        <f aca="false">FALSE()</f>
        <v>0</v>
      </c>
      <c r="S96" s="27" t="b">
        <f aca="false">FALSE()</f>
        <v>0</v>
      </c>
    </row>
    <row r="97" customFormat="false" ht="15" hidden="false" customHeight="false" outlineLevel="0" collapsed="false">
      <c r="A97" s="25" t="n">
        <v>96</v>
      </c>
      <c r="B97" s="25" t="s">
        <v>914</v>
      </c>
      <c r="C97" s="25" t="s">
        <v>376</v>
      </c>
      <c r="D97" s="25" t="n">
        <v>20250413</v>
      </c>
      <c r="E97" s="25" t="n">
        <v>45</v>
      </c>
      <c r="F97" s="25" t="n">
        <v>44</v>
      </c>
      <c r="G97" s="25" t="s">
        <v>113</v>
      </c>
      <c r="H97" s="25" t="s">
        <v>2266</v>
      </c>
      <c r="I97" s="25" t="s">
        <v>75</v>
      </c>
      <c r="J97" s="25" t="s">
        <v>246</v>
      </c>
      <c r="K97" s="25" t="n">
        <v>5</v>
      </c>
      <c r="L97" s="25" t="n">
        <v>22655.14</v>
      </c>
      <c r="M97" s="25" t="n">
        <v>0</v>
      </c>
      <c r="N97" s="25" t="n">
        <v>113275.7</v>
      </c>
      <c r="O97" s="25" t="n">
        <v>0</v>
      </c>
      <c r="P97" s="25" t="n">
        <v>113275.7</v>
      </c>
      <c r="Q97" s="27" t="b">
        <f aca="false">FALSE()</f>
        <v>0</v>
      </c>
      <c r="R97" s="27" t="b">
        <f aca="false">FALSE()</f>
        <v>0</v>
      </c>
      <c r="S97" s="27" t="b">
        <f aca="false">FALSE()</f>
        <v>0</v>
      </c>
    </row>
    <row r="98" customFormat="false" ht="15" hidden="false" customHeight="false" outlineLevel="0" collapsed="false">
      <c r="A98" s="25" t="n">
        <v>97</v>
      </c>
      <c r="B98" s="25" t="s">
        <v>915</v>
      </c>
      <c r="C98" s="25" t="s">
        <v>376</v>
      </c>
      <c r="D98" s="25" t="n">
        <v>20250413</v>
      </c>
      <c r="E98" s="25" t="n">
        <v>45</v>
      </c>
      <c r="F98" s="25" t="n">
        <v>70</v>
      </c>
      <c r="G98" s="25" t="s">
        <v>113</v>
      </c>
      <c r="H98" s="25" t="s">
        <v>2266</v>
      </c>
      <c r="I98" s="25" t="s">
        <v>75</v>
      </c>
      <c r="J98" s="25" t="s">
        <v>246</v>
      </c>
      <c r="K98" s="25" t="n">
        <v>2</v>
      </c>
      <c r="L98" s="25" t="n">
        <v>3962.52</v>
      </c>
      <c r="M98" s="25" t="n">
        <v>0</v>
      </c>
      <c r="N98" s="25" t="n">
        <v>7925.04</v>
      </c>
      <c r="O98" s="25" t="n">
        <v>0</v>
      </c>
      <c r="P98" s="25" t="n">
        <v>7925.04</v>
      </c>
      <c r="Q98" s="27" t="b">
        <f aca="false">FALSE()</f>
        <v>0</v>
      </c>
      <c r="R98" s="27" t="b">
        <f aca="false">FALSE()</f>
        <v>0</v>
      </c>
      <c r="S98" s="27" t="b">
        <f aca="false">FALSE()</f>
        <v>0</v>
      </c>
    </row>
    <row r="99" customFormat="false" ht="15" hidden="false" customHeight="false" outlineLevel="0" collapsed="false">
      <c r="A99" s="25" t="n">
        <v>98</v>
      </c>
      <c r="B99" s="25" t="s">
        <v>916</v>
      </c>
      <c r="C99" s="25" t="s">
        <v>299</v>
      </c>
      <c r="D99" s="25" t="n">
        <v>20251027</v>
      </c>
      <c r="E99" s="25" t="n">
        <v>78</v>
      </c>
      <c r="F99" s="25" t="n">
        <v>58</v>
      </c>
      <c r="G99" s="25" t="s">
        <v>113</v>
      </c>
      <c r="H99" s="25" t="s">
        <v>25</v>
      </c>
      <c r="I99" s="25" t="s">
        <v>71</v>
      </c>
      <c r="J99" s="25" t="s">
        <v>242</v>
      </c>
      <c r="K99" s="25" t="n">
        <v>1</v>
      </c>
      <c r="L99" s="25" t="n">
        <v>22572.25</v>
      </c>
      <c r="M99" s="25" t="n">
        <v>10</v>
      </c>
      <c r="N99" s="25" t="n">
        <v>22572.25</v>
      </c>
      <c r="O99" s="25" t="n">
        <v>2257.22</v>
      </c>
      <c r="P99" s="25" t="n">
        <v>20315.03</v>
      </c>
      <c r="Q99" s="27" t="b">
        <f aca="false">FALSE()</f>
        <v>0</v>
      </c>
      <c r="R99" s="27" t="b">
        <f aca="false">FALSE()</f>
        <v>0</v>
      </c>
      <c r="S99" s="27" t="b">
        <f aca="false">FALSE()</f>
        <v>0</v>
      </c>
    </row>
    <row r="100" customFormat="false" ht="15" hidden="false" customHeight="false" outlineLevel="0" collapsed="false">
      <c r="A100" s="25" t="n">
        <v>99</v>
      </c>
      <c r="B100" s="25" t="s">
        <v>918</v>
      </c>
      <c r="C100" s="25" t="s">
        <v>299</v>
      </c>
      <c r="D100" s="25" t="n">
        <v>20251027</v>
      </c>
      <c r="E100" s="25" t="n">
        <v>78</v>
      </c>
      <c r="F100" s="25" t="n">
        <v>12</v>
      </c>
      <c r="G100" s="25" t="s">
        <v>113</v>
      </c>
      <c r="H100" s="25" t="s">
        <v>25</v>
      </c>
      <c r="I100" s="25" t="s">
        <v>71</v>
      </c>
      <c r="J100" s="25" t="s">
        <v>242</v>
      </c>
      <c r="K100" s="25" t="n">
        <v>1</v>
      </c>
      <c r="L100" s="25" t="n">
        <v>11434.02</v>
      </c>
      <c r="M100" s="25" t="n">
        <v>0</v>
      </c>
      <c r="N100" s="25" t="n">
        <v>11434.02</v>
      </c>
      <c r="O100" s="25" t="n">
        <v>0</v>
      </c>
      <c r="P100" s="25" t="n">
        <v>11434.02</v>
      </c>
      <c r="Q100" s="27" t="b">
        <f aca="false">FALSE()</f>
        <v>0</v>
      </c>
      <c r="R100" s="27" t="b">
        <f aca="false">FALSE()</f>
        <v>0</v>
      </c>
      <c r="S100" s="27" t="b">
        <f aca="false">FALSE()</f>
        <v>0</v>
      </c>
    </row>
    <row r="101" customFormat="false" ht="15" hidden="false" customHeight="false" outlineLevel="0" collapsed="false">
      <c r="A101" s="25" t="n">
        <v>100</v>
      </c>
      <c r="B101" s="25" t="s">
        <v>919</v>
      </c>
      <c r="C101" s="25" t="s">
        <v>308</v>
      </c>
      <c r="D101" s="25" t="n">
        <v>20251007</v>
      </c>
      <c r="E101" s="25" t="n">
        <v>97</v>
      </c>
      <c r="F101" s="25" t="n">
        <v>7</v>
      </c>
      <c r="G101" s="25" t="s">
        <v>114</v>
      </c>
      <c r="H101" s="25" t="s">
        <v>25</v>
      </c>
      <c r="I101" s="25" t="s">
        <v>1743</v>
      </c>
      <c r="J101" s="25" t="s">
        <v>246</v>
      </c>
      <c r="K101" s="25" t="n">
        <v>5</v>
      </c>
      <c r="L101" s="25" t="n">
        <v>20278.89</v>
      </c>
      <c r="M101" s="25" t="n">
        <v>0</v>
      </c>
      <c r="N101" s="25" t="n">
        <v>101394.45</v>
      </c>
      <c r="O101" s="25" t="n">
        <v>0</v>
      </c>
      <c r="P101" s="25" t="n">
        <v>101394.45</v>
      </c>
      <c r="Q101" s="27" t="b">
        <f aca="false">FALSE()</f>
        <v>0</v>
      </c>
      <c r="R101" s="27" t="b">
        <f aca="false">FALSE()</f>
        <v>0</v>
      </c>
      <c r="S101" s="27" t="b">
        <f aca="false">FALSE()</f>
        <v>0</v>
      </c>
    </row>
    <row r="102" customFormat="false" ht="15" hidden="false" customHeight="false" outlineLevel="0" collapsed="false">
      <c r="A102" s="25" t="n">
        <v>101</v>
      </c>
      <c r="B102" s="25" t="s">
        <v>921</v>
      </c>
      <c r="C102" s="25" t="s">
        <v>458</v>
      </c>
      <c r="D102" s="25" t="n">
        <v>20250413</v>
      </c>
      <c r="E102" s="25" t="n">
        <v>66</v>
      </c>
      <c r="F102" s="25" t="n">
        <v>47</v>
      </c>
      <c r="G102" s="25" t="s">
        <v>113</v>
      </c>
      <c r="H102" s="25" t="s">
        <v>25</v>
      </c>
      <c r="I102" s="25" t="s">
        <v>94</v>
      </c>
      <c r="J102" s="25" t="s">
        <v>242</v>
      </c>
      <c r="K102" s="25" t="n">
        <v>4</v>
      </c>
      <c r="L102" s="25" t="n">
        <v>5145.55</v>
      </c>
      <c r="M102" s="25" t="n">
        <v>5</v>
      </c>
      <c r="N102" s="25" t="n">
        <v>20582.2</v>
      </c>
      <c r="O102" s="25" t="n">
        <v>1029.11</v>
      </c>
      <c r="P102" s="25" t="n">
        <v>19553.09</v>
      </c>
      <c r="Q102" s="27" t="b">
        <f aca="false">FALSE()</f>
        <v>0</v>
      </c>
      <c r="R102" s="27" t="b">
        <f aca="false">FALSE()</f>
        <v>0</v>
      </c>
      <c r="S102" s="27" t="b">
        <f aca="false">FALSE()</f>
        <v>0</v>
      </c>
    </row>
    <row r="103" customFormat="false" ht="15" hidden="false" customHeight="false" outlineLevel="0" collapsed="false">
      <c r="A103" s="25" t="n">
        <v>102</v>
      </c>
      <c r="B103" s="25" t="s">
        <v>924</v>
      </c>
      <c r="C103" s="25" t="s">
        <v>276</v>
      </c>
      <c r="D103" s="25" t="n">
        <v>20240218</v>
      </c>
      <c r="E103" s="25" t="n">
        <v>79</v>
      </c>
      <c r="F103" s="25" t="n">
        <v>67</v>
      </c>
      <c r="G103" s="25" t="s">
        <v>113</v>
      </c>
      <c r="H103" s="25" t="s">
        <v>25</v>
      </c>
      <c r="I103" s="25" t="s">
        <v>71</v>
      </c>
      <c r="J103" s="25" t="s">
        <v>250</v>
      </c>
      <c r="K103" s="25" t="n">
        <v>2</v>
      </c>
      <c r="L103" s="25" t="n">
        <v>14595.44</v>
      </c>
      <c r="M103" s="25" t="n">
        <v>0</v>
      </c>
      <c r="N103" s="25" t="n">
        <v>29190.88</v>
      </c>
      <c r="O103" s="25" t="n">
        <v>0</v>
      </c>
      <c r="P103" s="25" t="n">
        <v>29190.88</v>
      </c>
      <c r="Q103" s="27" t="b">
        <f aca="false">FALSE()</f>
        <v>0</v>
      </c>
      <c r="R103" s="27" t="b">
        <f aca="false">FALSE()</f>
        <v>0</v>
      </c>
      <c r="S103" s="27" t="b">
        <f aca="false">FALSE()</f>
        <v>0</v>
      </c>
    </row>
    <row r="104" customFormat="false" ht="15" hidden="false" customHeight="false" outlineLevel="0" collapsed="false">
      <c r="A104" s="25" t="n">
        <v>103</v>
      </c>
      <c r="B104" s="25" t="s">
        <v>926</v>
      </c>
      <c r="C104" s="25" t="s">
        <v>267</v>
      </c>
      <c r="D104" s="25" t="n">
        <v>20240703</v>
      </c>
      <c r="E104" s="25" t="n">
        <v>85</v>
      </c>
      <c r="F104" s="25" t="n">
        <v>16</v>
      </c>
      <c r="G104" s="25" t="s">
        <v>113</v>
      </c>
      <c r="H104" s="25" t="s">
        <v>25</v>
      </c>
      <c r="I104" s="25" t="s">
        <v>94</v>
      </c>
      <c r="J104" s="25" t="s">
        <v>242</v>
      </c>
      <c r="K104" s="25" t="n">
        <v>3</v>
      </c>
      <c r="L104" s="25" t="n">
        <v>2260.53</v>
      </c>
      <c r="M104" s="25" t="n">
        <v>0</v>
      </c>
      <c r="N104" s="25" t="n">
        <v>6781.59</v>
      </c>
      <c r="O104" s="25" t="n">
        <v>0</v>
      </c>
      <c r="P104" s="25" t="n">
        <v>6781.59</v>
      </c>
      <c r="Q104" s="27" t="b">
        <f aca="false">FALSE()</f>
        <v>0</v>
      </c>
      <c r="R104" s="27" t="b">
        <f aca="false">FALSE()</f>
        <v>0</v>
      </c>
      <c r="S104" s="27" t="b">
        <f aca="false">FALSE()</f>
        <v>0</v>
      </c>
    </row>
    <row r="105" customFormat="false" ht="15" hidden="false" customHeight="false" outlineLevel="0" collapsed="false">
      <c r="A105" s="25" t="n">
        <v>104</v>
      </c>
      <c r="B105" s="25" t="s">
        <v>927</v>
      </c>
      <c r="C105" s="25" t="s">
        <v>267</v>
      </c>
      <c r="D105" s="25" t="n">
        <v>20240703</v>
      </c>
      <c r="E105" s="25" t="n">
        <v>85</v>
      </c>
      <c r="F105" s="25" t="n">
        <v>53</v>
      </c>
      <c r="G105" s="25" t="s">
        <v>113</v>
      </c>
      <c r="H105" s="25" t="s">
        <v>25</v>
      </c>
      <c r="I105" s="25" t="s">
        <v>94</v>
      </c>
      <c r="J105" s="25" t="s">
        <v>242</v>
      </c>
      <c r="K105" s="25" t="n">
        <v>3</v>
      </c>
      <c r="L105" s="25" t="n">
        <v>7313.65</v>
      </c>
      <c r="M105" s="25" t="n">
        <v>15</v>
      </c>
      <c r="N105" s="25" t="n">
        <v>21940.95</v>
      </c>
      <c r="O105" s="25" t="n">
        <v>3291.14</v>
      </c>
      <c r="P105" s="25" t="n">
        <v>18649.81</v>
      </c>
      <c r="Q105" s="27" t="b">
        <f aca="false">FALSE()</f>
        <v>0</v>
      </c>
      <c r="R105" s="27" t="b">
        <f aca="false">FALSE()</f>
        <v>0</v>
      </c>
      <c r="S105" s="27" t="b">
        <f aca="false">FALSE()</f>
        <v>0</v>
      </c>
    </row>
    <row r="106" customFormat="false" ht="15" hidden="false" customHeight="false" outlineLevel="0" collapsed="false">
      <c r="A106" s="25" t="n">
        <v>105</v>
      </c>
      <c r="B106" s="25" t="s">
        <v>928</v>
      </c>
      <c r="C106" s="25" t="s">
        <v>528</v>
      </c>
      <c r="D106" s="25" t="n">
        <v>20241009</v>
      </c>
      <c r="E106" s="25" t="n">
        <v>-1</v>
      </c>
      <c r="F106" s="25" t="n">
        <v>4</v>
      </c>
      <c r="G106" s="25" t="s">
        <v>113</v>
      </c>
      <c r="H106" s="25" t="s">
        <v>25</v>
      </c>
      <c r="I106" s="25" t="s">
        <v>94</v>
      </c>
      <c r="J106" s="25" t="s">
        <v>242</v>
      </c>
      <c r="K106" s="25" t="n">
        <v>5</v>
      </c>
      <c r="L106" s="25" t="n">
        <v>21122.18</v>
      </c>
      <c r="M106" s="25" t="n">
        <v>0</v>
      </c>
      <c r="N106" s="25" t="n">
        <v>105610.9</v>
      </c>
      <c r="O106" s="25" t="n">
        <v>0</v>
      </c>
      <c r="P106" s="25" t="n">
        <v>105610.9</v>
      </c>
      <c r="Q106" s="27" t="b">
        <f aca="false">FALSE()</f>
        <v>0</v>
      </c>
      <c r="R106" s="27" t="b">
        <f aca="false">FALSE()</f>
        <v>0</v>
      </c>
      <c r="S106" s="27" t="b">
        <f aca="false">FALSE()</f>
        <v>0</v>
      </c>
    </row>
    <row r="107" customFormat="false" ht="15" hidden="false" customHeight="false" outlineLevel="0" collapsed="false">
      <c r="A107" s="25" t="n">
        <v>106</v>
      </c>
      <c r="B107" s="25" t="s">
        <v>929</v>
      </c>
      <c r="C107" s="25" t="s">
        <v>528</v>
      </c>
      <c r="D107" s="25" t="n">
        <v>20241009</v>
      </c>
      <c r="E107" s="25" t="n">
        <v>-1</v>
      </c>
      <c r="F107" s="25" t="n">
        <v>54</v>
      </c>
      <c r="G107" s="25" t="s">
        <v>113</v>
      </c>
      <c r="H107" s="25" t="s">
        <v>25</v>
      </c>
      <c r="I107" s="25" t="s">
        <v>94</v>
      </c>
      <c r="J107" s="25" t="s">
        <v>242</v>
      </c>
      <c r="K107" s="25" t="n">
        <v>5</v>
      </c>
      <c r="L107" s="25" t="n">
        <v>20481.04</v>
      </c>
      <c r="M107" s="25" t="n">
        <v>10</v>
      </c>
      <c r="N107" s="25" t="n">
        <v>102405.2</v>
      </c>
      <c r="O107" s="25" t="n">
        <v>10240.52</v>
      </c>
      <c r="P107" s="25" t="n">
        <v>92164.68</v>
      </c>
      <c r="Q107" s="27" t="b">
        <f aca="false">FALSE()</f>
        <v>0</v>
      </c>
      <c r="R107" s="27" t="b">
        <f aca="false">FALSE()</f>
        <v>0</v>
      </c>
      <c r="S107" s="27" t="b">
        <f aca="false">FALSE()</f>
        <v>0</v>
      </c>
    </row>
    <row r="108" customFormat="false" ht="15" hidden="false" customHeight="false" outlineLevel="0" collapsed="false">
      <c r="A108" s="25" t="n">
        <v>107</v>
      </c>
      <c r="B108" s="25" t="s">
        <v>930</v>
      </c>
      <c r="C108" s="25" t="s">
        <v>441</v>
      </c>
      <c r="D108" s="25" t="n">
        <v>20240106</v>
      </c>
      <c r="E108" s="25" t="n">
        <v>119</v>
      </c>
      <c r="F108" s="25" t="n">
        <v>44</v>
      </c>
      <c r="G108" s="25" t="s">
        <v>114</v>
      </c>
      <c r="H108" s="25" t="s">
        <v>25</v>
      </c>
      <c r="I108" s="25" t="s">
        <v>1743</v>
      </c>
      <c r="J108" s="25" t="s">
        <v>242</v>
      </c>
      <c r="K108" s="25" t="n">
        <v>1</v>
      </c>
      <c r="L108" s="25" t="n">
        <v>22655.14</v>
      </c>
      <c r="M108" s="25" t="n">
        <v>0</v>
      </c>
      <c r="N108" s="25" t="n">
        <v>22655.14</v>
      </c>
      <c r="O108" s="25" t="n">
        <v>0</v>
      </c>
      <c r="P108" s="25" t="n">
        <v>22655.14</v>
      </c>
      <c r="Q108" s="27" t="b">
        <f aca="false">FALSE()</f>
        <v>0</v>
      </c>
      <c r="R108" s="27" t="b">
        <f aca="false">FALSE()</f>
        <v>0</v>
      </c>
      <c r="S108" s="27" t="b">
        <f aca="false">FALSE()</f>
        <v>0</v>
      </c>
    </row>
    <row r="109" customFormat="false" ht="15" hidden="false" customHeight="false" outlineLevel="0" collapsed="false">
      <c r="A109" s="25" t="n">
        <v>108</v>
      </c>
      <c r="B109" s="25" t="s">
        <v>932</v>
      </c>
      <c r="C109" s="25" t="s">
        <v>441</v>
      </c>
      <c r="D109" s="25" t="n">
        <v>20240106</v>
      </c>
      <c r="E109" s="25" t="n">
        <v>119</v>
      </c>
      <c r="F109" s="25" t="n">
        <v>30</v>
      </c>
      <c r="G109" s="25" t="s">
        <v>114</v>
      </c>
      <c r="H109" s="25" t="s">
        <v>25</v>
      </c>
      <c r="I109" s="25" t="s">
        <v>1743</v>
      </c>
      <c r="J109" s="25" t="s">
        <v>242</v>
      </c>
      <c r="K109" s="25" t="n">
        <v>1</v>
      </c>
      <c r="L109" s="25" t="n">
        <v>20253.93</v>
      </c>
      <c r="M109" s="25" t="n">
        <v>20</v>
      </c>
      <c r="N109" s="25" t="n">
        <v>20253.93</v>
      </c>
      <c r="O109" s="25" t="n">
        <v>4050.79</v>
      </c>
      <c r="P109" s="25" t="n">
        <v>16203.14</v>
      </c>
      <c r="Q109" s="27" t="b">
        <f aca="false">FALSE()</f>
        <v>0</v>
      </c>
      <c r="R109" s="27" t="b">
        <f aca="false">FALSE()</f>
        <v>0</v>
      </c>
      <c r="S109" s="27" t="b">
        <f aca="false">FALSE()</f>
        <v>0</v>
      </c>
    </row>
    <row r="110" customFormat="false" ht="15" hidden="false" customHeight="false" outlineLevel="0" collapsed="false">
      <c r="A110" s="25" t="n">
        <v>109</v>
      </c>
      <c r="B110" s="25" t="s">
        <v>933</v>
      </c>
      <c r="C110" s="25" t="s">
        <v>455</v>
      </c>
      <c r="D110" s="25" t="n">
        <v>20250501</v>
      </c>
      <c r="E110" s="25" t="n">
        <v>149</v>
      </c>
      <c r="F110" s="25" t="n">
        <v>53</v>
      </c>
      <c r="G110" s="25" t="s">
        <v>114</v>
      </c>
      <c r="H110" s="25" t="s">
        <v>25</v>
      </c>
      <c r="I110" s="25" t="s">
        <v>83</v>
      </c>
      <c r="J110" s="25" t="s">
        <v>242</v>
      </c>
      <c r="K110" s="25" t="n">
        <v>4</v>
      </c>
      <c r="L110" s="25" t="n">
        <v>7313.65</v>
      </c>
      <c r="M110" s="25" t="n">
        <v>20</v>
      </c>
      <c r="N110" s="25" t="n">
        <v>29254.6</v>
      </c>
      <c r="O110" s="25" t="n">
        <v>5850.92</v>
      </c>
      <c r="P110" s="25" t="n">
        <v>23403.68</v>
      </c>
      <c r="Q110" s="27" t="b">
        <f aca="false">FALSE()</f>
        <v>0</v>
      </c>
      <c r="R110" s="27" t="b">
        <f aca="false">FALSE()</f>
        <v>0</v>
      </c>
      <c r="S110" s="27" t="b">
        <f aca="false">FALSE()</f>
        <v>0</v>
      </c>
    </row>
    <row r="111" customFormat="false" ht="15" hidden="false" customHeight="false" outlineLevel="0" collapsed="false">
      <c r="A111" s="25" t="n">
        <v>110</v>
      </c>
      <c r="B111" s="25" t="s">
        <v>935</v>
      </c>
      <c r="C111" s="25" t="s">
        <v>455</v>
      </c>
      <c r="D111" s="25" t="n">
        <v>20250501</v>
      </c>
      <c r="E111" s="25" t="n">
        <v>149</v>
      </c>
      <c r="F111" s="25" t="n">
        <v>65</v>
      </c>
      <c r="G111" s="25" t="s">
        <v>114</v>
      </c>
      <c r="H111" s="25" t="s">
        <v>25</v>
      </c>
      <c r="I111" s="25" t="s">
        <v>83</v>
      </c>
      <c r="J111" s="25" t="s">
        <v>242</v>
      </c>
      <c r="K111" s="25" t="n">
        <v>3</v>
      </c>
      <c r="L111" s="25" t="n">
        <v>15706.03</v>
      </c>
      <c r="M111" s="25" t="n">
        <v>15</v>
      </c>
      <c r="N111" s="25" t="n">
        <v>47118.09</v>
      </c>
      <c r="O111" s="25" t="n">
        <v>7067.71</v>
      </c>
      <c r="P111" s="25" t="n">
        <v>40050.38</v>
      </c>
      <c r="Q111" s="27" t="b">
        <f aca="false">FALSE()</f>
        <v>0</v>
      </c>
      <c r="R111" s="27" t="b">
        <f aca="false">FALSE()</f>
        <v>0</v>
      </c>
      <c r="S111" s="27" t="b">
        <f aca="false">FALSE()</f>
        <v>0</v>
      </c>
    </row>
    <row r="112" customFormat="false" ht="15" hidden="false" customHeight="false" outlineLevel="0" collapsed="false">
      <c r="A112" s="25" t="n">
        <v>111</v>
      </c>
      <c r="B112" s="25" t="s">
        <v>936</v>
      </c>
      <c r="C112" s="25" t="s">
        <v>455</v>
      </c>
      <c r="D112" s="25" t="n">
        <v>20250501</v>
      </c>
      <c r="E112" s="25" t="n">
        <v>149</v>
      </c>
      <c r="F112" s="25" t="n">
        <v>40</v>
      </c>
      <c r="G112" s="25" t="s">
        <v>114</v>
      </c>
      <c r="H112" s="25" t="s">
        <v>25</v>
      </c>
      <c r="I112" s="25" t="s">
        <v>83</v>
      </c>
      <c r="J112" s="25" t="s">
        <v>242</v>
      </c>
      <c r="K112" s="25" t="n">
        <v>5</v>
      </c>
      <c r="L112" s="25" t="n">
        <v>4696.64</v>
      </c>
      <c r="M112" s="25" t="n">
        <v>20</v>
      </c>
      <c r="N112" s="25" t="n">
        <v>23483.2</v>
      </c>
      <c r="O112" s="25" t="n">
        <v>4696.64</v>
      </c>
      <c r="P112" s="25" t="n">
        <v>18786.56</v>
      </c>
      <c r="Q112" s="27" t="b">
        <f aca="false">FALSE()</f>
        <v>0</v>
      </c>
      <c r="R112" s="27" t="b">
        <f aca="false">FALSE()</f>
        <v>0</v>
      </c>
      <c r="S112" s="27" t="b">
        <f aca="false">FALSE()</f>
        <v>0</v>
      </c>
    </row>
    <row r="113" customFormat="false" ht="15" hidden="false" customHeight="false" outlineLevel="0" collapsed="false">
      <c r="A113" s="25" t="n">
        <v>112</v>
      </c>
      <c r="B113" s="25" t="s">
        <v>937</v>
      </c>
      <c r="C113" s="25" t="s">
        <v>342</v>
      </c>
      <c r="D113" s="25" t="n">
        <v>20251021</v>
      </c>
      <c r="E113" s="25" t="n">
        <v>77</v>
      </c>
      <c r="F113" s="25" t="n">
        <v>1</v>
      </c>
      <c r="G113" s="25" t="s">
        <v>115</v>
      </c>
      <c r="H113" s="25" t="s">
        <v>2267</v>
      </c>
      <c r="I113" s="25" t="s">
        <v>1738</v>
      </c>
      <c r="J113" s="25" t="s">
        <v>242</v>
      </c>
      <c r="K113" s="25" t="n">
        <v>5</v>
      </c>
      <c r="L113" s="25" t="n">
        <v>10660.79</v>
      </c>
      <c r="M113" s="25" t="n">
        <v>0</v>
      </c>
      <c r="N113" s="25" t="n">
        <v>53303.95</v>
      </c>
      <c r="O113" s="25" t="n">
        <v>0</v>
      </c>
      <c r="P113" s="25" t="n">
        <v>53303.95</v>
      </c>
      <c r="Q113" s="27" t="b">
        <f aca="false">FALSE()</f>
        <v>0</v>
      </c>
      <c r="R113" s="27" t="b">
        <f aca="false">FALSE()</f>
        <v>0</v>
      </c>
      <c r="S113" s="27" t="b">
        <f aca="false">FALSE()</f>
        <v>0</v>
      </c>
    </row>
    <row r="114" customFormat="false" ht="15" hidden="false" customHeight="false" outlineLevel="0" collapsed="false">
      <c r="A114" s="25" t="n">
        <v>113</v>
      </c>
      <c r="B114" s="25" t="s">
        <v>938</v>
      </c>
      <c r="C114" s="25" t="s">
        <v>553</v>
      </c>
      <c r="D114" s="25" t="n">
        <v>20250501</v>
      </c>
      <c r="E114" s="25" t="n">
        <v>5</v>
      </c>
      <c r="F114" s="25" t="n">
        <v>52</v>
      </c>
      <c r="G114" s="25" t="s">
        <v>115</v>
      </c>
      <c r="H114" s="25" t="s">
        <v>25</v>
      </c>
      <c r="I114" s="25" t="s">
        <v>1770</v>
      </c>
      <c r="J114" s="25" t="s">
        <v>242</v>
      </c>
      <c r="K114" s="25" t="n">
        <v>5</v>
      </c>
      <c r="L114" s="25" t="n">
        <v>17637.28</v>
      </c>
      <c r="M114" s="25" t="n">
        <v>0</v>
      </c>
      <c r="N114" s="25" t="n">
        <v>88186.4</v>
      </c>
      <c r="O114" s="25" t="n">
        <v>0</v>
      </c>
      <c r="P114" s="25" t="n">
        <v>88186.4</v>
      </c>
      <c r="Q114" s="27" t="b">
        <f aca="false">TRUE()</f>
        <v>1</v>
      </c>
      <c r="R114" s="27" t="b">
        <f aca="false">FALSE()</f>
        <v>0</v>
      </c>
      <c r="S114" s="27" t="b">
        <f aca="false">FALSE()</f>
        <v>0</v>
      </c>
    </row>
    <row r="115" customFormat="false" ht="15" hidden="false" customHeight="false" outlineLevel="0" collapsed="false">
      <c r="A115" s="25" t="n">
        <v>114</v>
      </c>
      <c r="B115" s="25" t="s">
        <v>940</v>
      </c>
      <c r="C115" s="25" t="s">
        <v>553</v>
      </c>
      <c r="D115" s="25" t="n">
        <v>20250501</v>
      </c>
      <c r="E115" s="25" t="n">
        <v>5</v>
      </c>
      <c r="F115" s="25" t="n">
        <v>61</v>
      </c>
      <c r="G115" s="25" t="s">
        <v>115</v>
      </c>
      <c r="H115" s="25" t="s">
        <v>25</v>
      </c>
      <c r="I115" s="25" t="s">
        <v>1770</v>
      </c>
      <c r="J115" s="25" t="s">
        <v>242</v>
      </c>
      <c r="K115" s="25" t="n">
        <v>5</v>
      </c>
      <c r="L115" s="25" t="n">
        <v>8318.56</v>
      </c>
      <c r="M115" s="25" t="n">
        <v>0</v>
      </c>
      <c r="N115" s="25" t="n">
        <v>41592.8</v>
      </c>
      <c r="O115" s="25" t="n">
        <v>0</v>
      </c>
      <c r="P115" s="25" t="n">
        <v>41592.8</v>
      </c>
      <c r="Q115" s="27" t="b">
        <f aca="false">FALSE()</f>
        <v>0</v>
      </c>
      <c r="R115" s="27" t="b">
        <f aca="false">FALSE()</f>
        <v>0</v>
      </c>
      <c r="S115" s="27" t="b">
        <f aca="false">FALSE()</f>
        <v>0</v>
      </c>
    </row>
    <row r="116" customFormat="false" ht="15" hidden="false" customHeight="false" outlineLevel="0" collapsed="false">
      <c r="A116" s="25" t="n">
        <v>115</v>
      </c>
      <c r="B116" s="25" t="s">
        <v>941</v>
      </c>
      <c r="C116" s="25" t="s">
        <v>553</v>
      </c>
      <c r="D116" s="25" t="n">
        <v>20250501</v>
      </c>
      <c r="E116" s="25" t="n">
        <v>5</v>
      </c>
      <c r="F116" s="25" t="n">
        <v>31</v>
      </c>
      <c r="G116" s="25" t="s">
        <v>115</v>
      </c>
      <c r="H116" s="25" t="s">
        <v>25</v>
      </c>
      <c r="I116" s="25" t="s">
        <v>1770</v>
      </c>
      <c r="J116" s="25" t="s">
        <v>242</v>
      </c>
      <c r="K116" s="25" t="n">
        <v>5</v>
      </c>
      <c r="L116" s="25" t="n">
        <v>20098.63</v>
      </c>
      <c r="M116" s="25" t="n">
        <v>15</v>
      </c>
      <c r="N116" s="25" t="n">
        <v>100493.15</v>
      </c>
      <c r="O116" s="25" t="n">
        <v>15073.97</v>
      </c>
      <c r="P116" s="25" t="n">
        <v>85419.18</v>
      </c>
      <c r="Q116" s="27" t="b">
        <f aca="false">FALSE()</f>
        <v>0</v>
      </c>
      <c r="R116" s="27" t="b">
        <f aca="false">FALSE()</f>
        <v>0</v>
      </c>
      <c r="S116" s="27" t="b">
        <f aca="false">FALSE()</f>
        <v>0</v>
      </c>
    </row>
    <row r="117" customFormat="false" ht="15" hidden="false" customHeight="false" outlineLevel="0" collapsed="false">
      <c r="A117" s="25" t="n">
        <v>116</v>
      </c>
      <c r="B117" s="25" t="s">
        <v>942</v>
      </c>
      <c r="C117" s="25" t="s">
        <v>298</v>
      </c>
      <c r="D117" s="25" t="n">
        <v>20250227</v>
      </c>
      <c r="E117" s="25" t="n">
        <v>32</v>
      </c>
      <c r="F117" s="25" t="n">
        <v>9</v>
      </c>
      <c r="G117" s="25" t="s">
        <v>115</v>
      </c>
      <c r="H117" s="25" t="s">
        <v>2267</v>
      </c>
      <c r="I117" s="25" t="s">
        <v>1743</v>
      </c>
      <c r="J117" s="25" t="s">
        <v>242</v>
      </c>
      <c r="K117" s="25" t="n">
        <v>2</v>
      </c>
      <c r="L117" s="25" t="n">
        <v>26274.11</v>
      </c>
      <c r="M117" s="25" t="n">
        <v>0</v>
      </c>
      <c r="N117" s="25" t="n">
        <v>52548.22</v>
      </c>
      <c r="O117" s="25" t="n">
        <v>0</v>
      </c>
      <c r="P117" s="25" t="n">
        <v>52548.22</v>
      </c>
      <c r="Q117" s="27" t="b">
        <f aca="false">FALSE()</f>
        <v>0</v>
      </c>
      <c r="R117" s="27" t="b">
        <f aca="false">FALSE()</f>
        <v>0</v>
      </c>
      <c r="S117" s="27" t="b">
        <f aca="false">TRUE()</f>
        <v>1</v>
      </c>
    </row>
    <row r="118" customFormat="false" ht="15" hidden="false" customHeight="false" outlineLevel="0" collapsed="false">
      <c r="A118" s="25" t="n">
        <v>117</v>
      </c>
      <c r="B118" s="25" t="s">
        <v>944</v>
      </c>
      <c r="C118" s="25" t="s">
        <v>298</v>
      </c>
      <c r="D118" s="25" t="n">
        <v>20250227</v>
      </c>
      <c r="E118" s="25" t="n">
        <v>32</v>
      </c>
      <c r="F118" s="25" t="n">
        <v>58</v>
      </c>
      <c r="G118" s="25" t="s">
        <v>115</v>
      </c>
      <c r="H118" s="25" t="s">
        <v>2267</v>
      </c>
      <c r="I118" s="25" t="s">
        <v>1743</v>
      </c>
      <c r="J118" s="25" t="s">
        <v>242</v>
      </c>
      <c r="K118" s="25" t="n">
        <v>2</v>
      </c>
      <c r="L118" s="25" t="n">
        <v>22572.25</v>
      </c>
      <c r="M118" s="25" t="n">
        <v>20</v>
      </c>
      <c r="N118" s="25" t="n">
        <v>45144.5</v>
      </c>
      <c r="O118" s="25" t="n">
        <v>9028.9</v>
      </c>
      <c r="P118" s="25" t="n">
        <v>36115.6</v>
      </c>
      <c r="Q118" s="27" t="b">
        <f aca="false">FALSE()</f>
        <v>0</v>
      </c>
      <c r="R118" s="27" t="b">
        <f aca="false">FALSE()</f>
        <v>0</v>
      </c>
      <c r="S118" s="27" t="b">
        <f aca="false">FALSE()</f>
        <v>0</v>
      </c>
    </row>
    <row r="119" customFormat="false" ht="15" hidden="false" customHeight="false" outlineLevel="0" collapsed="false">
      <c r="A119" s="25" t="n">
        <v>118</v>
      </c>
      <c r="B119" s="25" t="s">
        <v>945</v>
      </c>
      <c r="C119" s="25" t="s">
        <v>350</v>
      </c>
      <c r="D119" s="25" t="n">
        <v>20250120</v>
      </c>
      <c r="E119" s="25" t="n">
        <v>2</v>
      </c>
      <c r="F119" s="25" t="n">
        <v>-1</v>
      </c>
      <c r="G119" s="25" t="s">
        <v>114</v>
      </c>
      <c r="H119" s="25" t="s">
        <v>25</v>
      </c>
      <c r="I119" s="25" t="s">
        <v>94</v>
      </c>
      <c r="J119" s="25" t="s">
        <v>269</v>
      </c>
      <c r="K119" s="25" t="n">
        <v>1</v>
      </c>
      <c r="L119" s="25" t="n">
        <v>20278.89</v>
      </c>
      <c r="M119" s="25" t="n">
        <v>0</v>
      </c>
      <c r="N119" s="25" t="n">
        <v>20278.89</v>
      </c>
      <c r="O119" s="25" t="n">
        <v>0</v>
      </c>
      <c r="P119" s="25" t="n">
        <v>20278.89</v>
      </c>
      <c r="Q119" s="27" t="b">
        <f aca="false">FALSE()</f>
        <v>0</v>
      </c>
      <c r="R119" s="27" t="b">
        <f aca="false">FALSE()</f>
        <v>0</v>
      </c>
      <c r="S119" s="27" t="b">
        <f aca="false">FALSE()</f>
        <v>0</v>
      </c>
    </row>
    <row r="120" customFormat="false" ht="15" hidden="false" customHeight="false" outlineLevel="0" collapsed="false">
      <c r="A120" s="25" t="n">
        <v>119</v>
      </c>
      <c r="B120" s="25" t="s">
        <v>947</v>
      </c>
      <c r="C120" s="25" t="s">
        <v>350</v>
      </c>
      <c r="D120" s="25" t="n">
        <v>20250120</v>
      </c>
      <c r="E120" s="25" t="n">
        <v>2</v>
      </c>
      <c r="F120" s="25" t="n">
        <v>31</v>
      </c>
      <c r="G120" s="25" t="s">
        <v>114</v>
      </c>
      <c r="H120" s="25" t="s">
        <v>25</v>
      </c>
      <c r="I120" s="25" t="s">
        <v>94</v>
      </c>
      <c r="J120" s="25" t="s">
        <v>269</v>
      </c>
      <c r="K120" s="25" t="n">
        <v>4</v>
      </c>
      <c r="L120" s="25" t="n">
        <v>20098.63</v>
      </c>
      <c r="M120" s="25" t="n">
        <v>0</v>
      </c>
      <c r="N120" s="25" t="n">
        <v>80394.52</v>
      </c>
      <c r="O120" s="25" t="n">
        <v>0</v>
      </c>
      <c r="P120" s="25" t="n">
        <v>80394.52</v>
      </c>
      <c r="Q120" s="27" t="b">
        <f aca="false">FALSE()</f>
        <v>0</v>
      </c>
      <c r="R120" s="27" t="b">
        <f aca="false">FALSE()</f>
        <v>0</v>
      </c>
      <c r="S120" s="27" t="b">
        <f aca="false">TRUE()</f>
        <v>1</v>
      </c>
    </row>
    <row r="121" customFormat="false" ht="15" hidden="false" customHeight="false" outlineLevel="0" collapsed="false">
      <c r="A121" s="25" t="n">
        <v>120</v>
      </c>
      <c r="B121" s="25" t="s">
        <v>948</v>
      </c>
      <c r="C121" s="25" t="s">
        <v>350</v>
      </c>
      <c r="D121" s="25" t="n">
        <v>20250120</v>
      </c>
      <c r="E121" s="25" t="n">
        <v>2</v>
      </c>
      <c r="F121" s="25" t="n">
        <v>16</v>
      </c>
      <c r="G121" s="25" t="s">
        <v>114</v>
      </c>
      <c r="H121" s="25" t="s">
        <v>25</v>
      </c>
      <c r="I121" s="25" t="s">
        <v>94</v>
      </c>
      <c r="J121" s="25" t="s">
        <v>269</v>
      </c>
      <c r="K121" s="25" t="n">
        <v>4</v>
      </c>
      <c r="L121" s="25" t="n">
        <v>2260.53</v>
      </c>
      <c r="M121" s="25" t="n">
        <v>0</v>
      </c>
      <c r="N121" s="25" t="n">
        <v>9042.12</v>
      </c>
      <c r="O121" s="25" t="n">
        <v>0</v>
      </c>
      <c r="P121" s="25" t="n">
        <v>9042.12</v>
      </c>
      <c r="Q121" s="27" t="b">
        <f aca="false">FALSE()</f>
        <v>0</v>
      </c>
      <c r="R121" s="27" t="b">
        <f aca="false">FALSE()</f>
        <v>0</v>
      </c>
      <c r="S121" s="27" t="b">
        <f aca="false">FALSE()</f>
        <v>0</v>
      </c>
    </row>
    <row r="122" customFormat="false" ht="15" hidden="false" customHeight="false" outlineLevel="0" collapsed="false">
      <c r="A122" s="25" t="n">
        <v>121</v>
      </c>
      <c r="B122" s="25" t="s">
        <v>949</v>
      </c>
      <c r="C122" s="25" t="s">
        <v>350</v>
      </c>
      <c r="D122" s="25" t="n">
        <v>20250120</v>
      </c>
      <c r="E122" s="25" t="n">
        <v>2</v>
      </c>
      <c r="F122" s="25" t="n">
        <v>15</v>
      </c>
      <c r="G122" s="25" t="s">
        <v>114</v>
      </c>
      <c r="H122" s="25" t="s">
        <v>25</v>
      </c>
      <c r="I122" s="25" t="s">
        <v>94</v>
      </c>
      <c r="J122" s="25" t="s">
        <v>269</v>
      </c>
      <c r="K122" s="25" t="n">
        <v>5</v>
      </c>
      <c r="L122" s="25" t="n">
        <v>4516.1</v>
      </c>
      <c r="M122" s="25" t="n">
        <v>15</v>
      </c>
      <c r="N122" s="25" t="n">
        <v>22580.5</v>
      </c>
      <c r="O122" s="25" t="n">
        <v>3387.08</v>
      </c>
      <c r="P122" s="25" t="n">
        <v>19193.42</v>
      </c>
      <c r="Q122" s="27" t="b">
        <f aca="false">FALSE()</f>
        <v>0</v>
      </c>
      <c r="R122" s="27" t="b">
        <f aca="false">FALSE()</f>
        <v>0</v>
      </c>
      <c r="S122" s="27" t="b">
        <f aca="false">FALSE()</f>
        <v>0</v>
      </c>
    </row>
    <row r="123" customFormat="false" ht="15" hidden="false" customHeight="false" outlineLevel="0" collapsed="false">
      <c r="A123" s="25" t="n">
        <v>122</v>
      </c>
      <c r="B123" s="25" t="s">
        <v>950</v>
      </c>
      <c r="C123" s="25" t="s">
        <v>555</v>
      </c>
      <c r="D123" s="25" t="n">
        <v>20240410</v>
      </c>
      <c r="E123" s="25" t="n">
        <v>111</v>
      </c>
      <c r="F123" s="25" t="n">
        <v>6</v>
      </c>
      <c r="G123" s="25" t="s">
        <v>115</v>
      </c>
      <c r="H123" s="25" t="s">
        <v>25</v>
      </c>
      <c r="I123" s="25" t="s">
        <v>1738</v>
      </c>
      <c r="J123" s="25" t="s">
        <v>246</v>
      </c>
      <c r="K123" s="25" t="n">
        <v>1</v>
      </c>
      <c r="L123" s="25" t="n">
        <v>2863.09</v>
      </c>
      <c r="M123" s="25" t="n">
        <v>0</v>
      </c>
      <c r="N123" s="25" t="n">
        <v>2863.09</v>
      </c>
      <c r="O123" s="25" t="n">
        <v>0</v>
      </c>
      <c r="P123" s="25" t="n">
        <v>2863.09</v>
      </c>
      <c r="Q123" s="27" t="b">
        <f aca="false">FALSE()</f>
        <v>0</v>
      </c>
      <c r="R123" s="27" t="b">
        <f aca="false">FALSE()</f>
        <v>0</v>
      </c>
      <c r="S123" s="27" t="b">
        <f aca="false">FALSE()</f>
        <v>0</v>
      </c>
    </row>
    <row r="124" customFormat="false" ht="15" hidden="false" customHeight="false" outlineLevel="0" collapsed="false">
      <c r="A124" s="25" t="n">
        <v>123</v>
      </c>
      <c r="B124" s="25" t="s">
        <v>952</v>
      </c>
      <c r="C124" s="25" t="s">
        <v>555</v>
      </c>
      <c r="D124" s="25" t="n">
        <v>20240410</v>
      </c>
      <c r="E124" s="25" t="n">
        <v>111</v>
      </c>
      <c r="F124" s="25" t="n">
        <v>48</v>
      </c>
      <c r="G124" s="25" t="s">
        <v>115</v>
      </c>
      <c r="H124" s="25" t="s">
        <v>25</v>
      </c>
      <c r="I124" s="25" t="s">
        <v>1738</v>
      </c>
      <c r="J124" s="25" t="s">
        <v>246</v>
      </c>
      <c r="K124" s="25" t="n">
        <v>5</v>
      </c>
      <c r="L124" s="25" t="n">
        <v>25643.17</v>
      </c>
      <c r="M124" s="25" t="n">
        <v>15</v>
      </c>
      <c r="N124" s="25" t="n">
        <v>128215.85</v>
      </c>
      <c r="O124" s="25" t="n">
        <v>19232.38</v>
      </c>
      <c r="P124" s="25" t="n">
        <v>108983.47</v>
      </c>
      <c r="Q124" s="27" t="b">
        <f aca="false">FALSE()</f>
        <v>0</v>
      </c>
      <c r="R124" s="27" t="b">
        <f aca="false">FALSE()</f>
        <v>0</v>
      </c>
      <c r="S124" s="27" t="b">
        <f aca="false">FALSE()</f>
        <v>0</v>
      </c>
    </row>
    <row r="125" customFormat="false" ht="15" hidden="false" customHeight="false" outlineLevel="0" collapsed="false">
      <c r="A125" s="25" t="n">
        <v>124</v>
      </c>
      <c r="B125" s="25" t="s">
        <v>953</v>
      </c>
      <c r="C125" s="25" t="s">
        <v>544</v>
      </c>
      <c r="D125" s="25" t="n">
        <v>20250220</v>
      </c>
      <c r="E125" s="25" t="n">
        <v>35</v>
      </c>
      <c r="F125" s="25" t="n">
        <v>53</v>
      </c>
      <c r="G125" s="25" t="s">
        <v>115</v>
      </c>
      <c r="H125" s="25" t="s">
        <v>2268</v>
      </c>
      <c r="I125" s="25" t="s">
        <v>86</v>
      </c>
      <c r="J125" s="25" t="s">
        <v>242</v>
      </c>
      <c r="K125" s="25" t="n">
        <v>3</v>
      </c>
      <c r="L125" s="25" t="n">
        <v>7313.65</v>
      </c>
      <c r="M125" s="25" t="n">
        <v>0</v>
      </c>
      <c r="N125" s="25" t="n">
        <v>21940.95</v>
      </c>
      <c r="O125" s="25" t="n">
        <v>0</v>
      </c>
      <c r="P125" s="25" t="n">
        <v>21940.95</v>
      </c>
      <c r="Q125" s="27" t="b">
        <f aca="false">FALSE()</f>
        <v>0</v>
      </c>
      <c r="R125" s="27" t="b">
        <f aca="false">TRUE()</f>
        <v>1</v>
      </c>
      <c r="S125" s="27" t="b">
        <f aca="false">FALSE()</f>
        <v>0</v>
      </c>
    </row>
    <row r="126" customFormat="false" ht="15" hidden="false" customHeight="false" outlineLevel="0" collapsed="false">
      <c r="A126" s="25" t="n">
        <v>125</v>
      </c>
      <c r="B126" s="25" t="s">
        <v>955</v>
      </c>
      <c r="C126" s="25" t="s">
        <v>544</v>
      </c>
      <c r="D126" s="25" t="n">
        <v>20250220</v>
      </c>
      <c r="E126" s="25" t="n">
        <v>35</v>
      </c>
      <c r="F126" s="25" t="n">
        <v>62</v>
      </c>
      <c r="G126" s="25" t="s">
        <v>115</v>
      </c>
      <c r="H126" s="25" t="s">
        <v>2268</v>
      </c>
      <c r="I126" s="25" t="s">
        <v>86</v>
      </c>
      <c r="J126" s="25" t="s">
        <v>242</v>
      </c>
      <c r="K126" s="25" t="n">
        <v>1</v>
      </c>
      <c r="L126" s="25" t="n">
        <v>8493.72</v>
      </c>
      <c r="M126" s="25" t="n">
        <v>0</v>
      </c>
      <c r="N126" s="25" t="n">
        <v>8493.72</v>
      </c>
      <c r="O126" s="25" t="n">
        <v>0</v>
      </c>
      <c r="P126" s="25" t="n">
        <v>8493.72</v>
      </c>
      <c r="Q126" s="27" t="b">
        <f aca="false">FALSE()</f>
        <v>0</v>
      </c>
      <c r="R126" s="27" t="b">
        <f aca="false">FALSE()</f>
        <v>0</v>
      </c>
      <c r="S126" s="27" t="b">
        <f aca="false">FALSE()</f>
        <v>0</v>
      </c>
    </row>
    <row r="127" customFormat="false" ht="15" hidden="false" customHeight="false" outlineLevel="0" collapsed="false">
      <c r="A127" s="25" t="n">
        <v>126</v>
      </c>
      <c r="B127" s="25" t="s">
        <v>956</v>
      </c>
      <c r="C127" s="25" t="s">
        <v>544</v>
      </c>
      <c r="D127" s="25" t="n">
        <v>20250220</v>
      </c>
      <c r="E127" s="25" t="n">
        <v>35</v>
      </c>
      <c r="F127" s="25" t="n">
        <v>35</v>
      </c>
      <c r="G127" s="25" t="s">
        <v>115</v>
      </c>
      <c r="H127" s="25" t="s">
        <v>2268</v>
      </c>
      <c r="I127" s="25" t="s">
        <v>86</v>
      </c>
      <c r="J127" s="25" t="s">
        <v>242</v>
      </c>
      <c r="K127" s="25" t="n">
        <v>4</v>
      </c>
      <c r="L127" s="25" t="n">
        <v>1741.05</v>
      </c>
      <c r="M127" s="25" t="n">
        <v>0</v>
      </c>
      <c r="N127" s="25" t="n">
        <v>6964.2</v>
      </c>
      <c r="O127" s="25" t="n">
        <v>0</v>
      </c>
      <c r="P127" s="25" t="n">
        <v>6964.2</v>
      </c>
      <c r="Q127" s="27" t="b">
        <f aca="false">FALSE()</f>
        <v>0</v>
      </c>
      <c r="R127" s="27" t="b">
        <f aca="false">FALSE()</f>
        <v>0</v>
      </c>
      <c r="S127" s="27" t="b">
        <f aca="false">FALSE()</f>
        <v>0</v>
      </c>
    </row>
    <row r="128" customFormat="false" ht="15" hidden="false" customHeight="false" outlineLevel="0" collapsed="false">
      <c r="A128" s="25" t="n">
        <v>127</v>
      </c>
      <c r="B128" s="25" t="s">
        <v>958</v>
      </c>
      <c r="C128" s="25" t="s">
        <v>417</v>
      </c>
      <c r="D128" s="25" t="n">
        <v>20250308</v>
      </c>
      <c r="E128" s="25" t="n">
        <v>124</v>
      </c>
      <c r="F128" s="25" t="n">
        <v>68</v>
      </c>
      <c r="G128" s="25" t="s">
        <v>113</v>
      </c>
      <c r="H128" s="25" t="s">
        <v>25</v>
      </c>
      <c r="I128" s="25" t="s">
        <v>1770</v>
      </c>
      <c r="J128" s="25" t="s">
        <v>242</v>
      </c>
      <c r="K128" s="25" t="n">
        <v>1</v>
      </c>
      <c r="L128" s="25" t="n">
        <v>21978.46</v>
      </c>
      <c r="M128" s="25" t="n">
        <v>10</v>
      </c>
      <c r="N128" s="25" t="n">
        <v>21978.46</v>
      </c>
      <c r="O128" s="25" t="n">
        <v>2197.85</v>
      </c>
      <c r="P128" s="25" t="n">
        <v>19780.61</v>
      </c>
      <c r="Q128" s="27" t="b">
        <f aca="false">FALSE()</f>
        <v>0</v>
      </c>
      <c r="R128" s="27" t="b">
        <f aca="false">FALSE()</f>
        <v>0</v>
      </c>
      <c r="S128" s="27" t="b">
        <f aca="false">FALSE()</f>
        <v>0</v>
      </c>
    </row>
    <row r="129" customFormat="false" ht="15" hidden="false" customHeight="false" outlineLevel="0" collapsed="false">
      <c r="A129" s="25" t="n">
        <v>128</v>
      </c>
      <c r="B129" s="25" t="s">
        <v>960</v>
      </c>
      <c r="C129" s="25" t="s">
        <v>554</v>
      </c>
      <c r="D129" s="25" t="n">
        <v>20240604</v>
      </c>
      <c r="E129" s="25" t="n">
        <v>71</v>
      </c>
      <c r="F129" s="25" t="n">
        <v>56</v>
      </c>
      <c r="G129" s="25" t="s">
        <v>115</v>
      </c>
      <c r="H129" s="25" t="s">
        <v>25</v>
      </c>
      <c r="I129" s="25" t="s">
        <v>1770</v>
      </c>
      <c r="J129" s="25" t="s">
        <v>250</v>
      </c>
      <c r="K129" s="25" t="n">
        <v>4</v>
      </c>
      <c r="L129" s="25" t="n">
        <v>16535.66</v>
      </c>
      <c r="M129" s="25" t="n">
        <v>0</v>
      </c>
      <c r="N129" s="25" t="n">
        <v>66142.64</v>
      </c>
      <c r="O129" s="25" t="n">
        <v>0</v>
      </c>
      <c r="P129" s="25" t="n">
        <v>66142.64</v>
      </c>
      <c r="Q129" s="27" t="b">
        <f aca="false">FALSE()</f>
        <v>0</v>
      </c>
      <c r="R129" s="27" t="b">
        <f aca="false">FALSE()</f>
        <v>0</v>
      </c>
      <c r="S129" s="27" t="b">
        <f aca="false">FALSE()</f>
        <v>0</v>
      </c>
    </row>
    <row r="130" customFormat="false" ht="15" hidden="false" customHeight="false" outlineLevel="0" collapsed="false">
      <c r="A130" s="25" t="n">
        <v>129</v>
      </c>
      <c r="B130" s="25" t="s">
        <v>962</v>
      </c>
      <c r="C130" s="25" t="s">
        <v>554</v>
      </c>
      <c r="D130" s="25" t="n">
        <v>20240604</v>
      </c>
      <c r="E130" s="25" t="n">
        <v>71</v>
      </c>
      <c r="F130" s="25" t="n">
        <v>41</v>
      </c>
      <c r="G130" s="25" t="s">
        <v>115</v>
      </c>
      <c r="H130" s="25" t="s">
        <v>25</v>
      </c>
      <c r="I130" s="25" t="s">
        <v>1770</v>
      </c>
      <c r="J130" s="25" t="s">
        <v>250</v>
      </c>
      <c r="K130" s="25" t="n">
        <v>4</v>
      </c>
      <c r="L130" s="25" t="n">
        <v>11992.92</v>
      </c>
      <c r="M130" s="25" t="n">
        <v>20</v>
      </c>
      <c r="N130" s="25" t="n">
        <v>47971.68</v>
      </c>
      <c r="O130" s="25" t="n">
        <v>9594.34</v>
      </c>
      <c r="P130" s="25" t="n">
        <v>38377.34</v>
      </c>
      <c r="Q130" s="27" t="b">
        <f aca="false">FALSE()</f>
        <v>0</v>
      </c>
      <c r="R130" s="27" t="b">
        <f aca="false">FALSE()</f>
        <v>0</v>
      </c>
      <c r="S130" s="27" t="b">
        <f aca="false">FALSE()</f>
        <v>0</v>
      </c>
    </row>
    <row r="131" customFormat="false" ht="15" hidden="false" customHeight="false" outlineLevel="0" collapsed="false">
      <c r="A131" s="25" t="n">
        <v>130</v>
      </c>
      <c r="B131" s="25" t="s">
        <v>963</v>
      </c>
      <c r="C131" s="25" t="s">
        <v>285</v>
      </c>
      <c r="D131" s="25" t="n">
        <v>20250409</v>
      </c>
      <c r="E131" s="25" t="n">
        <v>59</v>
      </c>
      <c r="F131" s="25" t="n">
        <v>43</v>
      </c>
      <c r="G131" s="25" t="s">
        <v>115</v>
      </c>
      <c r="H131" s="25" t="s">
        <v>2268</v>
      </c>
      <c r="I131" s="25" t="s">
        <v>83</v>
      </c>
      <c r="J131" s="25" t="s">
        <v>246</v>
      </c>
      <c r="K131" s="25" t="n">
        <v>2</v>
      </c>
      <c r="L131" s="25" t="n">
        <v>4511.74</v>
      </c>
      <c r="M131" s="25" t="n">
        <v>5</v>
      </c>
      <c r="N131" s="25" t="n">
        <v>9023.48</v>
      </c>
      <c r="O131" s="25" t="n">
        <v>451.17</v>
      </c>
      <c r="P131" s="25" t="n">
        <v>8572.31</v>
      </c>
      <c r="Q131" s="27" t="b">
        <f aca="false">FALSE()</f>
        <v>0</v>
      </c>
      <c r="R131" s="27" t="b">
        <f aca="false">FALSE()</f>
        <v>0</v>
      </c>
      <c r="S131" s="27" t="b">
        <f aca="false">FALSE()</f>
        <v>0</v>
      </c>
    </row>
    <row r="132" customFormat="false" ht="15" hidden="false" customHeight="false" outlineLevel="0" collapsed="false">
      <c r="A132" s="25" t="n">
        <v>131</v>
      </c>
      <c r="B132" s="25" t="s">
        <v>966</v>
      </c>
      <c r="C132" s="25" t="s">
        <v>285</v>
      </c>
      <c r="D132" s="25" t="n">
        <v>20250409</v>
      </c>
      <c r="E132" s="25" t="n">
        <v>59</v>
      </c>
      <c r="F132" s="25" t="n">
        <v>65</v>
      </c>
      <c r="G132" s="25" t="s">
        <v>115</v>
      </c>
      <c r="H132" s="25" t="s">
        <v>2268</v>
      </c>
      <c r="I132" s="25" t="s">
        <v>83</v>
      </c>
      <c r="J132" s="25" t="s">
        <v>246</v>
      </c>
      <c r="K132" s="25" t="n">
        <v>5</v>
      </c>
      <c r="L132" s="25" t="n">
        <v>15706.03</v>
      </c>
      <c r="M132" s="25" t="n">
        <v>0</v>
      </c>
      <c r="N132" s="25" t="n">
        <v>78530.15</v>
      </c>
      <c r="O132" s="25" t="n">
        <v>0</v>
      </c>
      <c r="P132" s="25" t="n">
        <v>78530.15</v>
      </c>
      <c r="Q132" s="27" t="b">
        <f aca="false">FALSE()</f>
        <v>0</v>
      </c>
      <c r="R132" s="27" t="b">
        <f aca="false">FALSE()</f>
        <v>0</v>
      </c>
      <c r="S132" s="27" t="b">
        <f aca="false">FALSE()</f>
        <v>0</v>
      </c>
    </row>
    <row r="133" customFormat="false" ht="15" hidden="false" customHeight="false" outlineLevel="0" collapsed="false">
      <c r="A133" s="25" t="n">
        <v>132</v>
      </c>
      <c r="B133" s="25" t="s">
        <v>967</v>
      </c>
      <c r="C133" s="25" t="s">
        <v>569</v>
      </c>
      <c r="D133" s="25" t="n">
        <v>20240217</v>
      </c>
      <c r="E133" s="25" t="n">
        <v>77</v>
      </c>
      <c r="F133" s="25" t="n">
        <v>54</v>
      </c>
      <c r="G133" s="25" t="s">
        <v>113</v>
      </c>
      <c r="H133" s="25" t="s">
        <v>25</v>
      </c>
      <c r="I133" s="25" t="s">
        <v>94</v>
      </c>
      <c r="J133" s="25" t="s">
        <v>250</v>
      </c>
      <c r="K133" s="25" t="n">
        <v>4</v>
      </c>
      <c r="L133" s="25" t="n">
        <v>20481.04</v>
      </c>
      <c r="M133" s="25" t="n">
        <v>10</v>
      </c>
      <c r="N133" s="25" t="n">
        <v>81924.16</v>
      </c>
      <c r="O133" s="25" t="n">
        <v>8192.42</v>
      </c>
      <c r="P133" s="25" t="n">
        <v>73731.74</v>
      </c>
      <c r="Q133" s="27" t="b">
        <f aca="false">FALSE()</f>
        <v>0</v>
      </c>
      <c r="R133" s="27" t="b">
        <f aca="false">FALSE()</f>
        <v>0</v>
      </c>
      <c r="S133" s="27" t="b">
        <f aca="false">FALSE()</f>
        <v>0</v>
      </c>
    </row>
    <row r="134" customFormat="false" ht="15" hidden="false" customHeight="false" outlineLevel="0" collapsed="false">
      <c r="A134" s="25" t="n">
        <v>133</v>
      </c>
      <c r="B134" s="25" t="s">
        <v>968</v>
      </c>
      <c r="C134" s="25" t="s">
        <v>569</v>
      </c>
      <c r="D134" s="25" t="n">
        <v>20240217</v>
      </c>
      <c r="E134" s="25" t="n">
        <v>77</v>
      </c>
      <c r="F134" s="25" t="n">
        <v>53</v>
      </c>
      <c r="G134" s="25" t="s">
        <v>113</v>
      </c>
      <c r="H134" s="25" t="s">
        <v>25</v>
      </c>
      <c r="I134" s="25" t="s">
        <v>94</v>
      </c>
      <c r="J134" s="25" t="s">
        <v>250</v>
      </c>
      <c r="K134" s="25" t="n">
        <v>3</v>
      </c>
      <c r="L134" s="25" t="n">
        <v>7313.65</v>
      </c>
      <c r="M134" s="25" t="n">
        <v>0</v>
      </c>
      <c r="N134" s="25" t="n">
        <v>21940.95</v>
      </c>
      <c r="O134" s="25" t="n">
        <v>0</v>
      </c>
      <c r="P134" s="25" t="n">
        <v>21940.95</v>
      </c>
      <c r="Q134" s="27" t="b">
        <f aca="false">FALSE()</f>
        <v>0</v>
      </c>
      <c r="R134" s="27" t="b">
        <f aca="false">FALSE()</f>
        <v>0</v>
      </c>
      <c r="S134" s="27" t="b">
        <f aca="false">FALSE()</f>
        <v>0</v>
      </c>
    </row>
    <row r="135" customFormat="false" ht="15" hidden="false" customHeight="false" outlineLevel="0" collapsed="false">
      <c r="A135" s="25" t="n">
        <v>134</v>
      </c>
      <c r="B135" s="25" t="s">
        <v>969</v>
      </c>
      <c r="C135" s="25" t="s">
        <v>569</v>
      </c>
      <c r="D135" s="25" t="n">
        <v>20240217</v>
      </c>
      <c r="E135" s="25" t="n">
        <v>77</v>
      </c>
      <c r="F135" s="25" t="n">
        <v>46</v>
      </c>
      <c r="G135" s="25" t="s">
        <v>113</v>
      </c>
      <c r="H135" s="25" t="s">
        <v>25</v>
      </c>
      <c r="I135" s="25" t="s">
        <v>94</v>
      </c>
      <c r="J135" s="25" t="s">
        <v>250</v>
      </c>
      <c r="K135" s="25" t="n">
        <v>5</v>
      </c>
      <c r="L135" s="25" t="n">
        <v>15383.27</v>
      </c>
      <c r="M135" s="25" t="n">
        <v>0</v>
      </c>
      <c r="N135" s="25" t="n">
        <v>76916.35</v>
      </c>
      <c r="O135" s="25" t="n">
        <v>0</v>
      </c>
      <c r="P135" s="25" t="n">
        <v>76916.35</v>
      </c>
      <c r="Q135" s="27" t="b">
        <f aca="false">FALSE()</f>
        <v>0</v>
      </c>
      <c r="R135" s="27" t="b">
        <f aca="false">FALSE()</f>
        <v>0</v>
      </c>
      <c r="S135" s="27" t="b">
        <f aca="false">FALSE()</f>
        <v>0</v>
      </c>
    </row>
    <row r="136" customFormat="false" ht="15" hidden="false" customHeight="false" outlineLevel="0" collapsed="false">
      <c r="A136" s="25" t="n">
        <v>135</v>
      </c>
      <c r="B136" s="25" t="s">
        <v>971</v>
      </c>
      <c r="C136" s="25" t="s">
        <v>471</v>
      </c>
      <c r="D136" s="25" t="n">
        <v>20250314</v>
      </c>
      <c r="E136" s="25" t="n">
        <v>157</v>
      </c>
      <c r="F136" s="25" t="n">
        <v>59</v>
      </c>
      <c r="G136" s="25" t="s">
        <v>113</v>
      </c>
      <c r="H136" s="25" t="s">
        <v>25</v>
      </c>
      <c r="I136" s="25" t="s">
        <v>1743</v>
      </c>
      <c r="J136" s="25" t="s">
        <v>242</v>
      </c>
      <c r="K136" s="25" t="n">
        <v>5</v>
      </c>
      <c r="L136" s="25" t="n">
        <v>18828.5</v>
      </c>
      <c r="M136" s="25" t="n">
        <v>10</v>
      </c>
      <c r="N136" s="25" t="n">
        <v>94142.5</v>
      </c>
      <c r="O136" s="25" t="n">
        <v>9414.25</v>
      </c>
      <c r="P136" s="25" t="n">
        <v>84728.25</v>
      </c>
      <c r="Q136" s="27" t="b">
        <f aca="false">FALSE()</f>
        <v>0</v>
      </c>
      <c r="R136" s="27" t="b">
        <f aca="false">FALSE()</f>
        <v>0</v>
      </c>
      <c r="S136" s="27" t="b">
        <f aca="false">FALSE()</f>
        <v>0</v>
      </c>
    </row>
    <row r="137" customFormat="false" ht="15" hidden="false" customHeight="false" outlineLevel="0" collapsed="false">
      <c r="A137" s="25" t="n">
        <v>136</v>
      </c>
      <c r="B137" s="25" t="s">
        <v>973</v>
      </c>
      <c r="C137" s="25" t="s">
        <v>471</v>
      </c>
      <c r="D137" s="25" t="n">
        <v>20250314</v>
      </c>
      <c r="E137" s="25" t="n">
        <v>157</v>
      </c>
      <c r="F137" s="25" t="n">
        <v>56</v>
      </c>
      <c r="G137" s="25" t="s">
        <v>113</v>
      </c>
      <c r="H137" s="25" t="s">
        <v>25</v>
      </c>
      <c r="I137" s="25" t="s">
        <v>1743</v>
      </c>
      <c r="J137" s="25" t="s">
        <v>242</v>
      </c>
      <c r="K137" s="25" t="n">
        <v>4</v>
      </c>
      <c r="L137" s="25" t="n">
        <v>16535.66</v>
      </c>
      <c r="M137" s="25" t="n">
        <v>5</v>
      </c>
      <c r="N137" s="25" t="n">
        <v>66142.64</v>
      </c>
      <c r="O137" s="25" t="n">
        <v>3307.13</v>
      </c>
      <c r="P137" s="25" t="n">
        <v>62835.51</v>
      </c>
      <c r="Q137" s="27" t="b">
        <f aca="false">FALSE()</f>
        <v>0</v>
      </c>
      <c r="R137" s="27" t="b">
        <f aca="false">FALSE()</f>
        <v>0</v>
      </c>
      <c r="S137" s="27" t="b">
        <f aca="false">FALSE()</f>
        <v>0</v>
      </c>
    </row>
    <row r="138" customFormat="false" ht="15" hidden="false" customHeight="false" outlineLevel="0" collapsed="false">
      <c r="A138" s="25" t="n">
        <v>137</v>
      </c>
      <c r="B138" s="25" t="s">
        <v>974</v>
      </c>
      <c r="C138" s="25" t="s">
        <v>374</v>
      </c>
      <c r="D138" s="25" t="n">
        <v>20241129</v>
      </c>
      <c r="E138" s="25" t="n">
        <v>109</v>
      </c>
      <c r="F138" s="25" t="n">
        <v>37</v>
      </c>
      <c r="G138" s="25" t="s">
        <v>114</v>
      </c>
      <c r="H138" s="25" t="s">
        <v>2262</v>
      </c>
      <c r="I138" s="25" t="s">
        <v>79</v>
      </c>
      <c r="J138" s="25" t="s">
        <v>246</v>
      </c>
      <c r="K138" s="25" t="n">
        <v>2</v>
      </c>
      <c r="L138" s="25" t="n">
        <v>16084.14</v>
      </c>
      <c r="M138" s="25" t="n">
        <v>0</v>
      </c>
      <c r="N138" s="25" t="n">
        <v>32168.28</v>
      </c>
      <c r="O138" s="25" t="n">
        <v>0</v>
      </c>
      <c r="P138" s="25" t="n">
        <v>32168.28</v>
      </c>
      <c r="Q138" s="27" t="b">
        <f aca="false">FALSE()</f>
        <v>0</v>
      </c>
      <c r="R138" s="27" t="b">
        <f aca="false">FALSE()</f>
        <v>0</v>
      </c>
      <c r="S138" s="27" t="b">
        <f aca="false">FALSE()</f>
        <v>0</v>
      </c>
    </row>
    <row r="139" customFormat="false" ht="15" hidden="false" customHeight="false" outlineLevel="0" collapsed="false">
      <c r="A139" s="25" t="n">
        <v>138</v>
      </c>
      <c r="B139" s="25" t="s">
        <v>976</v>
      </c>
      <c r="C139" s="25" t="s">
        <v>558</v>
      </c>
      <c r="D139" s="25" t="n">
        <v>20240816</v>
      </c>
      <c r="E139" s="25" t="n">
        <v>107</v>
      </c>
      <c r="F139" s="25" t="n">
        <v>32</v>
      </c>
      <c r="G139" s="25" t="s">
        <v>115</v>
      </c>
      <c r="H139" s="25" t="s">
        <v>25</v>
      </c>
      <c r="I139" s="25" t="s">
        <v>86</v>
      </c>
      <c r="J139" s="25" t="s">
        <v>242</v>
      </c>
      <c r="K139" s="25" t="n">
        <v>5</v>
      </c>
      <c r="L139" s="25" t="n">
        <v>23243.35</v>
      </c>
      <c r="M139" s="25" t="n">
        <v>0</v>
      </c>
      <c r="N139" s="25" t="n">
        <v>116216.75</v>
      </c>
      <c r="O139" s="25" t="n">
        <v>0</v>
      </c>
      <c r="P139" s="25" t="n">
        <v>116216.75</v>
      </c>
      <c r="Q139" s="27" t="b">
        <f aca="false">FALSE()</f>
        <v>0</v>
      </c>
      <c r="R139" s="27" t="b">
        <f aca="false">FALSE()</f>
        <v>0</v>
      </c>
      <c r="S139" s="27" t="b">
        <f aca="false">FALSE()</f>
        <v>0</v>
      </c>
    </row>
    <row r="140" customFormat="false" ht="15" hidden="false" customHeight="false" outlineLevel="0" collapsed="false">
      <c r="A140" s="25" t="n">
        <v>139</v>
      </c>
      <c r="B140" s="25" t="s">
        <v>977</v>
      </c>
      <c r="C140" s="25" t="s">
        <v>558</v>
      </c>
      <c r="D140" s="25" t="n">
        <v>20240816</v>
      </c>
      <c r="E140" s="25" t="n">
        <v>107</v>
      </c>
      <c r="F140" s="25" t="n">
        <v>30</v>
      </c>
      <c r="G140" s="25" t="s">
        <v>115</v>
      </c>
      <c r="H140" s="25" t="s">
        <v>25</v>
      </c>
      <c r="I140" s="25" t="s">
        <v>86</v>
      </c>
      <c r="J140" s="25" t="s">
        <v>242</v>
      </c>
      <c r="K140" s="25" t="n">
        <v>1</v>
      </c>
      <c r="L140" s="25" t="n">
        <v>20253.93</v>
      </c>
      <c r="M140" s="25" t="n">
        <v>0</v>
      </c>
      <c r="N140" s="25" t="n">
        <v>20253.93</v>
      </c>
      <c r="O140" s="25" t="n">
        <v>0</v>
      </c>
      <c r="P140" s="25" t="n">
        <v>20253.93</v>
      </c>
      <c r="Q140" s="27" t="b">
        <f aca="false">FALSE()</f>
        <v>0</v>
      </c>
      <c r="R140" s="27" t="b">
        <f aca="false">FALSE()</f>
        <v>0</v>
      </c>
      <c r="S140" s="27" t="b">
        <f aca="false">FALSE()</f>
        <v>0</v>
      </c>
    </row>
    <row r="141" customFormat="false" ht="15" hidden="false" customHeight="false" outlineLevel="0" collapsed="false">
      <c r="A141" s="25" t="n">
        <v>140</v>
      </c>
      <c r="B141" s="25" t="s">
        <v>978</v>
      </c>
      <c r="C141" s="25" t="s">
        <v>558</v>
      </c>
      <c r="D141" s="25" t="n">
        <v>20240816</v>
      </c>
      <c r="E141" s="25" t="n">
        <v>107</v>
      </c>
      <c r="F141" s="25" t="n">
        <v>68</v>
      </c>
      <c r="G141" s="25" t="s">
        <v>115</v>
      </c>
      <c r="H141" s="25" t="s">
        <v>25</v>
      </c>
      <c r="I141" s="25" t="s">
        <v>86</v>
      </c>
      <c r="J141" s="25" t="s">
        <v>242</v>
      </c>
      <c r="K141" s="25" t="n">
        <v>5</v>
      </c>
      <c r="L141" s="25" t="n">
        <v>21978.46</v>
      </c>
      <c r="M141" s="25" t="n">
        <v>0</v>
      </c>
      <c r="N141" s="25" t="n">
        <v>109892.3</v>
      </c>
      <c r="O141" s="25" t="n">
        <v>0</v>
      </c>
      <c r="P141" s="25" t="n">
        <v>109892.3</v>
      </c>
      <c r="Q141" s="27" t="b">
        <f aca="false">FALSE()</f>
        <v>0</v>
      </c>
      <c r="R141" s="27" t="b">
        <f aca="false">FALSE()</f>
        <v>0</v>
      </c>
      <c r="S141" s="27" t="b">
        <f aca="false">FALSE()</f>
        <v>0</v>
      </c>
    </row>
    <row r="142" customFormat="false" ht="15" hidden="false" customHeight="false" outlineLevel="0" collapsed="false">
      <c r="A142" s="25" t="n">
        <v>141</v>
      </c>
      <c r="B142" s="25" t="s">
        <v>979</v>
      </c>
      <c r="C142" s="25" t="s">
        <v>494</v>
      </c>
      <c r="D142" s="25" t="n">
        <v>20251201</v>
      </c>
      <c r="E142" s="25" t="n">
        <v>7</v>
      </c>
      <c r="F142" s="25" t="n">
        <v>22</v>
      </c>
      <c r="G142" s="25" t="s">
        <v>115</v>
      </c>
      <c r="H142" s="25" t="s">
        <v>2269</v>
      </c>
      <c r="I142" s="25" t="s">
        <v>83</v>
      </c>
      <c r="J142" s="25" t="s">
        <v>269</v>
      </c>
      <c r="K142" s="25" t="n">
        <v>1</v>
      </c>
      <c r="L142" s="25" t="n">
        <v>19552.29</v>
      </c>
      <c r="M142" s="25" t="n">
        <v>10</v>
      </c>
      <c r="N142" s="25" t="n">
        <v>19552.29</v>
      </c>
      <c r="O142" s="25" t="n">
        <v>1955.23</v>
      </c>
      <c r="P142" s="25" t="n">
        <v>17597.06</v>
      </c>
      <c r="Q142" s="27" t="b">
        <f aca="false">FALSE()</f>
        <v>0</v>
      </c>
      <c r="R142" s="27" t="b">
        <f aca="false">FALSE()</f>
        <v>0</v>
      </c>
      <c r="S142" s="27" t="b">
        <f aca="false">FALSE()</f>
        <v>0</v>
      </c>
    </row>
    <row r="143" customFormat="false" ht="15" hidden="false" customHeight="false" outlineLevel="0" collapsed="false">
      <c r="A143" s="25" t="n">
        <v>142</v>
      </c>
      <c r="B143" s="25" t="s">
        <v>982</v>
      </c>
      <c r="C143" s="25" t="s">
        <v>494</v>
      </c>
      <c r="D143" s="25" t="n">
        <v>20251201</v>
      </c>
      <c r="E143" s="25" t="n">
        <v>7</v>
      </c>
      <c r="F143" s="25" t="n">
        <v>7</v>
      </c>
      <c r="G143" s="25" t="s">
        <v>115</v>
      </c>
      <c r="H143" s="25" t="s">
        <v>2269</v>
      </c>
      <c r="I143" s="25" t="s">
        <v>83</v>
      </c>
      <c r="J143" s="25" t="s">
        <v>269</v>
      </c>
      <c r="K143" s="25" t="n">
        <v>5</v>
      </c>
      <c r="L143" s="25" t="n">
        <v>20278.89</v>
      </c>
      <c r="M143" s="25" t="n">
        <v>0</v>
      </c>
      <c r="N143" s="25" t="n">
        <v>101394.45</v>
      </c>
      <c r="O143" s="25" t="n">
        <v>0</v>
      </c>
      <c r="P143" s="25" t="n">
        <v>101394.45</v>
      </c>
      <c r="Q143" s="27" t="b">
        <f aca="false">FALSE()</f>
        <v>0</v>
      </c>
      <c r="R143" s="27" t="b">
        <f aca="false">FALSE()</f>
        <v>0</v>
      </c>
      <c r="S143" s="27" t="b">
        <f aca="false">FALSE()</f>
        <v>0</v>
      </c>
    </row>
    <row r="144" customFormat="false" ht="15" hidden="false" customHeight="false" outlineLevel="0" collapsed="false">
      <c r="A144" s="25" t="n">
        <v>143</v>
      </c>
      <c r="B144" s="25" t="s">
        <v>983</v>
      </c>
      <c r="C144" s="25" t="s">
        <v>494</v>
      </c>
      <c r="D144" s="25" t="n">
        <v>20251201</v>
      </c>
      <c r="E144" s="25" t="n">
        <v>7</v>
      </c>
      <c r="F144" s="25" t="n">
        <v>35</v>
      </c>
      <c r="G144" s="25" t="s">
        <v>115</v>
      </c>
      <c r="H144" s="25" t="s">
        <v>2269</v>
      </c>
      <c r="I144" s="25" t="s">
        <v>83</v>
      </c>
      <c r="J144" s="25" t="s">
        <v>269</v>
      </c>
      <c r="K144" s="25" t="n">
        <v>2</v>
      </c>
      <c r="L144" s="25" t="n">
        <v>1741.05</v>
      </c>
      <c r="M144" s="25" t="n">
        <v>5</v>
      </c>
      <c r="N144" s="25" t="n">
        <v>3482.1</v>
      </c>
      <c r="O144" s="25" t="n">
        <v>174.1</v>
      </c>
      <c r="P144" s="25" t="n">
        <v>3308</v>
      </c>
      <c r="Q144" s="27" t="b">
        <f aca="false">FALSE()</f>
        <v>0</v>
      </c>
      <c r="R144" s="27" t="b">
        <f aca="false">FALSE()</f>
        <v>0</v>
      </c>
      <c r="S144" s="27" t="b">
        <f aca="false">FALSE()</f>
        <v>0</v>
      </c>
    </row>
    <row r="145" customFormat="false" ht="15" hidden="false" customHeight="false" outlineLevel="0" collapsed="false">
      <c r="A145" s="25" t="n">
        <v>144</v>
      </c>
      <c r="B145" s="25" t="s">
        <v>984</v>
      </c>
      <c r="C145" s="25" t="s">
        <v>494</v>
      </c>
      <c r="D145" s="25" t="n">
        <v>20251201</v>
      </c>
      <c r="E145" s="25" t="n">
        <v>7</v>
      </c>
      <c r="F145" s="25" t="n">
        <v>46</v>
      </c>
      <c r="G145" s="25" t="s">
        <v>115</v>
      </c>
      <c r="H145" s="25" t="s">
        <v>2269</v>
      </c>
      <c r="I145" s="25" t="s">
        <v>83</v>
      </c>
      <c r="J145" s="25" t="s">
        <v>269</v>
      </c>
      <c r="K145" s="25" t="n">
        <v>1</v>
      </c>
      <c r="L145" s="25" t="n">
        <v>15383.27</v>
      </c>
      <c r="M145" s="25" t="n">
        <v>0</v>
      </c>
      <c r="N145" s="25" t="n">
        <v>15383.27</v>
      </c>
      <c r="O145" s="25" t="n">
        <v>0</v>
      </c>
      <c r="P145" s="25" t="n">
        <v>15383.27</v>
      </c>
      <c r="Q145" s="27" t="b">
        <f aca="false">FALSE()</f>
        <v>0</v>
      </c>
      <c r="R145" s="27" t="b">
        <f aca="false">FALSE()</f>
        <v>0</v>
      </c>
      <c r="S145" s="27" t="b">
        <f aca="false">FALSE()</f>
        <v>0</v>
      </c>
    </row>
    <row r="146" customFormat="false" ht="15" hidden="false" customHeight="false" outlineLevel="0" collapsed="false">
      <c r="A146" s="25" t="n">
        <v>145</v>
      </c>
      <c r="B146" s="25" t="s">
        <v>985</v>
      </c>
      <c r="C146" s="25" t="s">
        <v>356</v>
      </c>
      <c r="D146" s="25" t="n">
        <v>20240920</v>
      </c>
      <c r="E146" s="25" t="n">
        <v>111</v>
      </c>
      <c r="F146" s="25" t="n">
        <v>66</v>
      </c>
      <c r="G146" s="25" t="s">
        <v>114</v>
      </c>
      <c r="H146" s="25" t="s">
        <v>2259</v>
      </c>
      <c r="I146" s="25" t="s">
        <v>86</v>
      </c>
      <c r="J146" s="25" t="s">
        <v>242</v>
      </c>
      <c r="K146" s="25" t="n">
        <v>4</v>
      </c>
      <c r="L146" s="25" t="n">
        <v>19639.31</v>
      </c>
      <c r="M146" s="25" t="n">
        <v>15</v>
      </c>
      <c r="N146" s="25" t="n">
        <v>78557.24</v>
      </c>
      <c r="O146" s="25" t="n">
        <v>11783.59</v>
      </c>
      <c r="P146" s="25" t="n">
        <v>66773.65</v>
      </c>
      <c r="Q146" s="27" t="b">
        <f aca="false">FALSE()</f>
        <v>0</v>
      </c>
      <c r="R146" s="27" t="b">
        <f aca="false">FALSE()</f>
        <v>0</v>
      </c>
      <c r="S146" s="27" t="b">
        <f aca="false">FALSE()</f>
        <v>0</v>
      </c>
    </row>
    <row r="147" customFormat="false" ht="15" hidden="false" customHeight="false" outlineLevel="0" collapsed="false">
      <c r="A147" s="25" t="n">
        <v>146</v>
      </c>
      <c r="B147" s="25" t="s">
        <v>987</v>
      </c>
      <c r="C147" s="25" t="s">
        <v>356</v>
      </c>
      <c r="D147" s="25" t="n">
        <v>20240920</v>
      </c>
      <c r="E147" s="25" t="n">
        <v>111</v>
      </c>
      <c r="F147" s="25" t="n">
        <v>6</v>
      </c>
      <c r="G147" s="25" t="s">
        <v>114</v>
      </c>
      <c r="H147" s="25" t="s">
        <v>2259</v>
      </c>
      <c r="I147" s="25" t="s">
        <v>86</v>
      </c>
      <c r="J147" s="25" t="s">
        <v>242</v>
      </c>
      <c r="K147" s="25" t="n">
        <v>4</v>
      </c>
      <c r="L147" s="25" t="n">
        <v>2863.09</v>
      </c>
      <c r="M147" s="25" t="n">
        <v>0</v>
      </c>
      <c r="N147" s="25" t="n">
        <v>11452.36</v>
      </c>
      <c r="O147" s="25" t="n">
        <v>0</v>
      </c>
      <c r="P147" s="25" t="n">
        <v>11452.36</v>
      </c>
      <c r="Q147" s="27" t="b">
        <f aca="false">FALSE()</f>
        <v>0</v>
      </c>
      <c r="R147" s="27" t="b">
        <f aca="false">FALSE()</f>
        <v>0</v>
      </c>
      <c r="S147" s="27" t="b">
        <f aca="false">FALSE()</f>
        <v>0</v>
      </c>
    </row>
    <row r="148" customFormat="false" ht="15" hidden="false" customHeight="false" outlineLevel="0" collapsed="false">
      <c r="A148" s="25" t="n">
        <v>147</v>
      </c>
      <c r="B148" s="25" t="s">
        <v>988</v>
      </c>
      <c r="C148" s="25" t="s">
        <v>356</v>
      </c>
      <c r="D148" s="25" t="n">
        <v>20240920</v>
      </c>
      <c r="E148" s="25" t="n">
        <v>111</v>
      </c>
      <c r="F148" s="25" t="n">
        <v>2</v>
      </c>
      <c r="G148" s="25" t="s">
        <v>114</v>
      </c>
      <c r="H148" s="25" t="s">
        <v>2259</v>
      </c>
      <c r="I148" s="25" t="s">
        <v>86</v>
      </c>
      <c r="J148" s="25" t="s">
        <v>242</v>
      </c>
      <c r="K148" s="25" t="n">
        <v>3</v>
      </c>
      <c r="L148" s="25" t="n">
        <v>9953.59</v>
      </c>
      <c r="M148" s="25" t="n">
        <v>20</v>
      </c>
      <c r="N148" s="25" t="n">
        <v>29860.77</v>
      </c>
      <c r="O148" s="25" t="n">
        <v>5972.15</v>
      </c>
      <c r="P148" s="25" t="n">
        <v>23888.62</v>
      </c>
      <c r="Q148" s="27" t="b">
        <f aca="false">FALSE()</f>
        <v>0</v>
      </c>
      <c r="R148" s="27" t="b">
        <f aca="false">FALSE()</f>
        <v>0</v>
      </c>
      <c r="S148" s="27" t="b">
        <f aca="false">FALSE()</f>
        <v>0</v>
      </c>
    </row>
    <row r="149" customFormat="false" ht="15" hidden="false" customHeight="false" outlineLevel="0" collapsed="false">
      <c r="A149" s="25" t="n">
        <v>148</v>
      </c>
      <c r="B149" s="25" t="s">
        <v>989</v>
      </c>
      <c r="C149" s="25" t="s">
        <v>500</v>
      </c>
      <c r="D149" s="25" t="n">
        <v>20250622</v>
      </c>
      <c r="E149" s="25" t="n">
        <v>91</v>
      </c>
      <c r="F149" s="25" t="n">
        <v>41</v>
      </c>
      <c r="G149" s="25" t="s">
        <v>114</v>
      </c>
      <c r="H149" s="25" t="s">
        <v>25</v>
      </c>
      <c r="I149" s="25" t="s">
        <v>1770</v>
      </c>
      <c r="J149" s="25" t="s">
        <v>242</v>
      </c>
      <c r="K149" s="25" t="n">
        <v>3</v>
      </c>
      <c r="L149" s="25" t="n">
        <v>11992.92</v>
      </c>
      <c r="M149" s="25" t="n">
        <v>15</v>
      </c>
      <c r="N149" s="25" t="n">
        <v>35978.76</v>
      </c>
      <c r="O149" s="25" t="n">
        <v>5396.81</v>
      </c>
      <c r="P149" s="25" t="n">
        <v>30581.95</v>
      </c>
      <c r="Q149" s="27" t="b">
        <f aca="false">FALSE()</f>
        <v>0</v>
      </c>
      <c r="R149" s="27" t="b">
        <f aca="false">FALSE()</f>
        <v>0</v>
      </c>
      <c r="S149" s="27" t="b">
        <f aca="false">FALSE()</f>
        <v>0</v>
      </c>
    </row>
    <row r="150" customFormat="false" ht="15" hidden="false" customHeight="false" outlineLevel="0" collapsed="false">
      <c r="A150" s="25" t="n">
        <v>149</v>
      </c>
      <c r="B150" s="25" t="s">
        <v>991</v>
      </c>
      <c r="C150" s="25" t="s">
        <v>333</v>
      </c>
      <c r="D150" s="25" t="n">
        <v>20250328</v>
      </c>
      <c r="E150" s="25" t="n">
        <v>117</v>
      </c>
      <c r="F150" s="25" t="n">
        <v>46</v>
      </c>
      <c r="G150" s="25" t="s">
        <v>114</v>
      </c>
      <c r="H150" s="25" t="s">
        <v>2263</v>
      </c>
      <c r="I150" s="25" t="s">
        <v>71</v>
      </c>
      <c r="J150" s="25" t="s">
        <v>242</v>
      </c>
      <c r="K150" s="25" t="n">
        <v>3</v>
      </c>
      <c r="L150" s="25" t="n">
        <v>15383.27</v>
      </c>
      <c r="M150" s="25" t="n">
        <v>20</v>
      </c>
      <c r="N150" s="25" t="n">
        <v>46149.81</v>
      </c>
      <c r="O150" s="25" t="n">
        <v>9229.96</v>
      </c>
      <c r="P150" s="25" t="n">
        <v>36919.85</v>
      </c>
      <c r="Q150" s="27" t="b">
        <f aca="false">FALSE()</f>
        <v>0</v>
      </c>
      <c r="R150" s="27" t="b">
        <f aca="false">FALSE()</f>
        <v>0</v>
      </c>
      <c r="S150" s="27" t="b">
        <f aca="false">FALSE()</f>
        <v>0</v>
      </c>
    </row>
    <row r="151" customFormat="false" ht="15" hidden="false" customHeight="false" outlineLevel="0" collapsed="false">
      <c r="A151" s="25" t="n">
        <v>150</v>
      </c>
      <c r="B151" s="25" t="s">
        <v>992</v>
      </c>
      <c r="C151" s="25" t="s">
        <v>378</v>
      </c>
      <c r="D151" s="25" t="n">
        <v>20250725</v>
      </c>
      <c r="E151" s="25" t="n">
        <v>19</v>
      </c>
      <c r="F151" s="25" t="n">
        <v>29</v>
      </c>
      <c r="G151" s="25" t="s">
        <v>115</v>
      </c>
      <c r="H151" s="25" t="s">
        <v>25</v>
      </c>
      <c r="I151" s="25" t="s">
        <v>89</v>
      </c>
      <c r="J151" s="25" t="s">
        <v>242</v>
      </c>
      <c r="K151" s="25" t="n">
        <v>3</v>
      </c>
      <c r="L151" s="25" t="n">
        <v>7855.79</v>
      </c>
      <c r="M151" s="25" t="n">
        <v>20</v>
      </c>
      <c r="N151" s="25" t="n">
        <v>23567.37</v>
      </c>
      <c r="O151" s="25" t="n">
        <v>4713.47</v>
      </c>
      <c r="P151" s="25" t="n">
        <v>18853.9</v>
      </c>
      <c r="Q151" s="27" t="b">
        <f aca="false">TRUE()</f>
        <v>1</v>
      </c>
      <c r="R151" s="27" t="b">
        <f aca="false">FALSE()</f>
        <v>0</v>
      </c>
      <c r="S151" s="27" t="b">
        <f aca="false">FALSE()</f>
        <v>0</v>
      </c>
    </row>
    <row r="152" customFormat="false" ht="15" hidden="false" customHeight="false" outlineLevel="0" collapsed="false">
      <c r="A152" s="25" t="n">
        <v>151</v>
      </c>
      <c r="B152" s="25" t="s">
        <v>994</v>
      </c>
      <c r="C152" s="25" t="s">
        <v>378</v>
      </c>
      <c r="D152" s="25" t="n">
        <v>20250725</v>
      </c>
      <c r="E152" s="25" t="n">
        <v>19</v>
      </c>
      <c r="F152" s="25" t="n">
        <v>33</v>
      </c>
      <c r="G152" s="25" t="s">
        <v>115</v>
      </c>
      <c r="H152" s="25" t="s">
        <v>25</v>
      </c>
      <c r="I152" s="25" t="s">
        <v>89</v>
      </c>
      <c r="J152" s="25" t="s">
        <v>242</v>
      </c>
      <c r="K152" s="25" t="n">
        <v>3</v>
      </c>
      <c r="L152" s="25" t="n">
        <v>11865.75</v>
      </c>
      <c r="M152" s="25" t="n">
        <v>0</v>
      </c>
      <c r="N152" s="25" t="n">
        <v>35597.25</v>
      </c>
      <c r="O152" s="25" t="n">
        <v>0</v>
      </c>
      <c r="P152" s="25" t="n">
        <v>35597.25</v>
      </c>
      <c r="Q152" s="27" t="b">
        <f aca="false">FALSE()</f>
        <v>0</v>
      </c>
      <c r="R152" s="27" t="b">
        <f aca="false">FALSE()</f>
        <v>0</v>
      </c>
      <c r="S152" s="27" t="b">
        <f aca="false">FALSE()</f>
        <v>0</v>
      </c>
    </row>
    <row r="153" customFormat="false" ht="15" hidden="false" customHeight="false" outlineLevel="0" collapsed="false">
      <c r="A153" s="25" t="n">
        <v>152</v>
      </c>
      <c r="B153" s="25" t="s">
        <v>996</v>
      </c>
      <c r="C153" s="25" t="s">
        <v>477</v>
      </c>
      <c r="D153" s="25" t="n">
        <v>20240328</v>
      </c>
      <c r="E153" s="25" t="n">
        <v>136</v>
      </c>
      <c r="F153" s="25" t="n">
        <v>41</v>
      </c>
      <c r="G153" s="25" t="s">
        <v>113</v>
      </c>
      <c r="H153" s="25" t="s">
        <v>25</v>
      </c>
      <c r="I153" s="25" t="s">
        <v>71</v>
      </c>
      <c r="J153" s="25" t="s">
        <v>269</v>
      </c>
      <c r="K153" s="25" t="n">
        <v>5</v>
      </c>
      <c r="L153" s="25" t="n">
        <v>11992.92</v>
      </c>
      <c r="M153" s="25" t="n">
        <v>0</v>
      </c>
      <c r="N153" s="25" t="n">
        <v>59964.6</v>
      </c>
      <c r="O153" s="25" t="n">
        <v>0</v>
      </c>
      <c r="P153" s="25" t="n">
        <v>59964.6</v>
      </c>
      <c r="Q153" s="27" t="b">
        <f aca="false">FALSE()</f>
        <v>0</v>
      </c>
      <c r="R153" s="27" t="b">
        <f aca="false">FALSE()</f>
        <v>0</v>
      </c>
      <c r="S153" s="27" t="b">
        <f aca="false">FALSE()</f>
        <v>0</v>
      </c>
    </row>
    <row r="154" customFormat="false" ht="15" hidden="false" customHeight="false" outlineLevel="0" collapsed="false">
      <c r="A154" s="25" t="n">
        <v>153</v>
      </c>
      <c r="B154" s="25" t="s">
        <v>998</v>
      </c>
      <c r="C154" s="25" t="s">
        <v>462</v>
      </c>
      <c r="D154" s="25" t="n">
        <v>20240212</v>
      </c>
      <c r="E154" s="25" t="n">
        <v>-1</v>
      </c>
      <c r="F154" s="25" t="n">
        <v>31</v>
      </c>
      <c r="G154" s="25" t="s">
        <v>113</v>
      </c>
      <c r="H154" s="25" t="s">
        <v>2268</v>
      </c>
      <c r="I154" s="25" t="s">
        <v>1770</v>
      </c>
      <c r="J154" s="25" t="s">
        <v>269</v>
      </c>
      <c r="K154" s="25" t="n">
        <v>5</v>
      </c>
      <c r="L154" s="25" t="n">
        <v>20098.63</v>
      </c>
      <c r="M154" s="25" t="n">
        <v>20</v>
      </c>
      <c r="N154" s="25" t="n">
        <v>100493.15</v>
      </c>
      <c r="O154" s="25" t="n">
        <v>20098.63</v>
      </c>
      <c r="P154" s="25" t="n">
        <v>80394.52</v>
      </c>
      <c r="Q154" s="27" t="b">
        <f aca="false">FALSE()</f>
        <v>0</v>
      </c>
      <c r="R154" s="27" t="b">
        <f aca="false">FALSE()</f>
        <v>0</v>
      </c>
      <c r="S154" s="27" t="b">
        <f aca="false">FALSE()</f>
        <v>0</v>
      </c>
    </row>
    <row r="155" customFormat="false" ht="15" hidden="false" customHeight="false" outlineLevel="0" collapsed="false">
      <c r="A155" s="25" t="n">
        <v>154</v>
      </c>
      <c r="B155" s="25" t="s">
        <v>999</v>
      </c>
      <c r="C155" s="25" t="s">
        <v>462</v>
      </c>
      <c r="D155" s="25" t="n">
        <v>20240212</v>
      </c>
      <c r="E155" s="25" t="n">
        <v>-1</v>
      </c>
      <c r="F155" s="25" t="n">
        <v>49</v>
      </c>
      <c r="G155" s="25" t="s">
        <v>113</v>
      </c>
      <c r="H155" s="25" t="s">
        <v>2268</v>
      </c>
      <c r="I155" s="25" t="s">
        <v>1770</v>
      </c>
      <c r="J155" s="25" t="s">
        <v>269</v>
      </c>
      <c r="K155" s="25" t="n">
        <v>2</v>
      </c>
      <c r="L155" s="25" t="n">
        <v>12393.99</v>
      </c>
      <c r="M155" s="25" t="n">
        <v>0</v>
      </c>
      <c r="N155" s="25" t="n">
        <v>24787.98</v>
      </c>
      <c r="O155" s="25" t="n">
        <v>0</v>
      </c>
      <c r="P155" s="25" t="n">
        <v>24787.98</v>
      </c>
      <c r="Q155" s="27" t="b">
        <f aca="false">FALSE()</f>
        <v>0</v>
      </c>
      <c r="R155" s="27" t="b">
        <f aca="false">FALSE()</f>
        <v>0</v>
      </c>
      <c r="S155" s="27" t="b">
        <f aca="false">FALSE()</f>
        <v>0</v>
      </c>
    </row>
    <row r="156" customFormat="false" ht="15" hidden="false" customHeight="false" outlineLevel="0" collapsed="false">
      <c r="A156" s="25" t="n">
        <v>155</v>
      </c>
      <c r="B156" s="25" t="s">
        <v>1000</v>
      </c>
      <c r="C156" s="25" t="s">
        <v>462</v>
      </c>
      <c r="D156" s="25" t="n">
        <v>20240212</v>
      </c>
      <c r="E156" s="25" t="n">
        <v>-1</v>
      </c>
      <c r="F156" s="25" t="n">
        <v>16</v>
      </c>
      <c r="G156" s="25" t="s">
        <v>113</v>
      </c>
      <c r="H156" s="25" t="s">
        <v>2268</v>
      </c>
      <c r="I156" s="25" t="s">
        <v>1770</v>
      </c>
      <c r="J156" s="25" t="s">
        <v>269</v>
      </c>
      <c r="K156" s="25" t="n">
        <v>1</v>
      </c>
      <c r="L156" s="25" t="n">
        <v>2260.53</v>
      </c>
      <c r="M156" s="25" t="n">
        <v>20</v>
      </c>
      <c r="N156" s="25" t="n">
        <v>2260.53</v>
      </c>
      <c r="O156" s="25" t="n">
        <v>452.11</v>
      </c>
      <c r="P156" s="25" t="n">
        <v>1808.42</v>
      </c>
      <c r="Q156" s="27" t="b">
        <f aca="false">FALSE()</f>
        <v>0</v>
      </c>
      <c r="R156" s="27" t="b">
        <f aca="false">FALSE()</f>
        <v>0</v>
      </c>
      <c r="S156" s="27" t="b">
        <f aca="false">FALSE()</f>
        <v>0</v>
      </c>
    </row>
    <row r="157" customFormat="false" ht="15" hidden="false" customHeight="false" outlineLevel="0" collapsed="false">
      <c r="A157" s="25" t="n">
        <v>156</v>
      </c>
      <c r="B157" s="25" t="s">
        <v>1001</v>
      </c>
      <c r="C157" s="25" t="s">
        <v>469</v>
      </c>
      <c r="D157" s="25" t="n">
        <v>20240624</v>
      </c>
      <c r="E157" s="25" t="n">
        <v>29</v>
      </c>
      <c r="F157" s="25" t="n">
        <v>43</v>
      </c>
      <c r="G157" s="25" t="s">
        <v>113</v>
      </c>
      <c r="H157" s="25" t="s">
        <v>25</v>
      </c>
      <c r="I157" s="25" t="s">
        <v>1770</v>
      </c>
      <c r="J157" s="25" t="s">
        <v>242</v>
      </c>
      <c r="K157" s="25" t="n">
        <v>5</v>
      </c>
      <c r="L157" s="25" t="n">
        <v>4511.74</v>
      </c>
      <c r="M157" s="25" t="n">
        <v>20</v>
      </c>
      <c r="N157" s="25" t="n">
        <v>22558.7</v>
      </c>
      <c r="O157" s="25" t="n">
        <v>4511.74</v>
      </c>
      <c r="P157" s="25" t="n">
        <v>18046.96</v>
      </c>
      <c r="Q157" s="27" t="b">
        <f aca="false">FALSE()</f>
        <v>0</v>
      </c>
      <c r="R157" s="27" t="b">
        <f aca="false">FALSE()</f>
        <v>0</v>
      </c>
      <c r="S157" s="27" t="b">
        <f aca="false">FALSE()</f>
        <v>0</v>
      </c>
    </row>
    <row r="158" customFormat="false" ht="15" hidden="false" customHeight="false" outlineLevel="0" collapsed="false">
      <c r="A158" s="25" t="n">
        <v>157</v>
      </c>
      <c r="B158" s="25" t="s">
        <v>1002</v>
      </c>
      <c r="C158" s="25" t="s">
        <v>469</v>
      </c>
      <c r="D158" s="25" t="n">
        <v>20240624</v>
      </c>
      <c r="E158" s="25" t="n">
        <v>29</v>
      </c>
      <c r="F158" s="25" t="n">
        <v>37</v>
      </c>
      <c r="G158" s="25" t="s">
        <v>113</v>
      </c>
      <c r="H158" s="25" t="s">
        <v>25</v>
      </c>
      <c r="I158" s="25" t="s">
        <v>1770</v>
      </c>
      <c r="J158" s="25" t="s">
        <v>242</v>
      </c>
      <c r="K158" s="25" t="n">
        <v>1</v>
      </c>
      <c r="L158" s="25" t="n">
        <v>16084.14</v>
      </c>
      <c r="M158" s="25" t="n">
        <v>5</v>
      </c>
      <c r="N158" s="25" t="n">
        <v>16084.14</v>
      </c>
      <c r="O158" s="25" t="n">
        <v>804.21</v>
      </c>
      <c r="P158" s="25" t="n">
        <v>15279.93</v>
      </c>
      <c r="Q158" s="27" t="b">
        <f aca="false">FALSE()</f>
        <v>0</v>
      </c>
      <c r="R158" s="27" t="b">
        <f aca="false">FALSE()</f>
        <v>0</v>
      </c>
      <c r="S158" s="27" t="b">
        <f aca="false">FALSE()</f>
        <v>0</v>
      </c>
    </row>
    <row r="159" customFormat="false" ht="15" hidden="false" customHeight="false" outlineLevel="0" collapsed="false">
      <c r="A159" s="25" t="n">
        <v>158</v>
      </c>
      <c r="B159" s="25" t="s">
        <v>1003</v>
      </c>
      <c r="C159" s="25" t="s">
        <v>469</v>
      </c>
      <c r="D159" s="25" t="n">
        <v>20240624</v>
      </c>
      <c r="E159" s="25" t="n">
        <v>29</v>
      </c>
      <c r="F159" s="25" t="n">
        <v>52</v>
      </c>
      <c r="G159" s="25" t="s">
        <v>113</v>
      </c>
      <c r="H159" s="25" t="s">
        <v>25</v>
      </c>
      <c r="I159" s="25" t="s">
        <v>1770</v>
      </c>
      <c r="J159" s="25" t="s">
        <v>242</v>
      </c>
      <c r="K159" s="25" t="n">
        <v>5</v>
      </c>
      <c r="L159" s="25" t="n">
        <v>17637.28</v>
      </c>
      <c r="M159" s="25" t="n">
        <v>15</v>
      </c>
      <c r="N159" s="25" t="n">
        <v>88186.4</v>
      </c>
      <c r="O159" s="25" t="n">
        <v>13227.96</v>
      </c>
      <c r="P159" s="25" t="n">
        <v>74958.44</v>
      </c>
      <c r="Q159" s="27" t="b">
        <f aca="false">FALSE()</f>
        <v>0</v>
      </c>
      <c r="R159" s="27" t="b">
        <f aca="false">FALSE()</f>
        <v>0</v>
      </c>
      <c r="S159" s="27" t="b">
        <f aca="false">FALSE()</f>
        <v>0</v>
      </c>
    </row>
    <row r="160" customFormat="false" ht="15" hidden="false" customHeight="false" outlineLevel="0" collapsed="false">
      <c r="A160" s="25" t="n">
        <v>159</v>
      </c>
      <c r="B160" s="25" t="s">
        <v>1004</v>
      </c>
      <c r="C160" s="25" t="s">
        <v>254</v>
      </c>
      <c r="D160" s="25" t="n">
        <v>20250805</v>
      </c>
      <c r="E160" s="25" t="n">
        <v>142</v>
      </c>
      <c r="F160" s="25" t="n">
        <v>68</v>
      </c>
      <c r="G160" s="25" t="s">
        <v>113</v>
      </c>
      <c r="H160" s="25" t="s">
        <v>25</v>
      </c>
      <c r="I160" s="25" t="s">
        <v>1743</v>
      </c>
      <c r="J160" s="25" t="s">
        <v>242</v>
      </c>
      <c r="K160" s="25" t="n">
        <v>5</v>
      </c>
      <c r="L160" s="25" t="n">
        <v>21978.46</v>
      </c>
      <c r="M160" s="25" t="n">
        <v>5</v>
      </c>
      <c r="N160" s="25" t="n">
        <v>109892.3</v>
      </c>
      <c r="O160" s="25" t="n">
        <v>5494.62</v>
      </c>
      <c r="P160" s="25" t="n">
        <v>104397.68</v>
      </c>
      <c r="Q160" s="27" t="b">
        <f aca="false">FALSE()</f>
        <v>0</v>
      </c>
      <c r="R160" s="27" t="b">
        <f aca="false">FALSE()</f>
        <v>0</v>
      </c>
      <c r="S160" s="27" t="b">
        <f aca="false">FALSE()</f>
        <v>0</v>
      </c>
    </row>
    <row r="161" customFormat="false" ht="15" hidden="false" customHeight="false" outlineLevel="0" collapsed="false">
      <c r="A161" s="25" t="n">
        <v>160</v>
      </c>
      <c r="B161" s="25" t="s">
        <v>1005</v>
      </c>
      <c r="C161" s="25" t="s">
        <v>579</v>
      </c>
      <c r="D161" s="25" t="n">
        <v>20241023</v>
      </c>
      <c r="E161" s="25" t="n">
        <v>99</v>
      </c>
      <c r="F161" s="25" t="n">
        <v>34</v>
      </c>
      <c r="G161" s="25" t="s">
        <v>115</v>
      </c>
      <c r="H161" s="25" t="s">
        <v>25</v>
      </c>
      <c r="I161" s="25" t="s">
        <v>1743</v>
      </c>
      <c r="J161" s="25" t="s">
        <v>269</v>
      </c>
      <c r="K161" s="25" t="n">
        <v>1</v>
      </c>
      <c r="L161" s="25" t="n">
        <v>11932.31</v>
      </c>
      <c r="M161" s="25" t="n">
        <v>0</v>
      </c>
      <c r="N161" s="25" t="n">
        <v>11932.31</v>
      </c>
      <c r="O161" s="25" t="n">
        <v>0</v>
      </c>
      <c r="P161" s="25" t="n">
        <v>11932.31</v>
      </c>
      <c r="Q161" s="27" t="b">
        <f aca="false">FALSE()</f>
        <v>0</v>
      </c>
      <c r="R161" s="27" t="b">
        <f aca="false">FALSE()</f>
        <v>0</v>
      </c>
      <c r="S161" s="27" t="b">
        <f aca="false">FALSE()</f>
        <v>0</v>
      </c>
    </row>
    <row r="162" customFormat="false" ht="15" hidden="false" customHeight="false" outlineLevel="0" collapsed="false">
      <c r="A162" s="25" t="n">
        <v>161</v>
      </c>
      <c r="B162" s="25" t="s">
        <v>1007</v>
      </c>
      <c r="C162" s="25" t="s">
        <v>579</v>
      </c>
      <c r="D162" s="25" t="n">
        <v>20241023</v>
      </c>
      <c r="E162" s="25" t="n">
        <v>99</v>
      </c>
      <c r="F162" s="25" t="n">
        <v>55</v>
      </c>
      <c r="G162" s="25" t="s">
        <v>115</v>
      </c>
      <c r="H162" s="25" t="s">
        <v>25</v>
      </c>
      <c r="I162" s="25" t="s">
        <v>1743</v>
      </c>
      <c r="J162" s="25" t="s">
        <v>269</v>
      </c>
      <c r="K162" s="25" t="n">
        <v>4</v>
      </c>
      <c r="L162" s="25" t="n">
        <v>5471.28</v>
      </c>
      <c r="M162" s="25" t="n">
        <v>0</v>
      </c>
      <c r="N162" s="25" t="n">
        <v>21885.12</v>
      </c>
      <c r="O162" s="25" t="n">
        <v>0</v>
      </c>
      <c r="P162" s="25" t="n">
        <v>21885.12</v>
      </c>
      <c r="Q162" s="27" t="b">
        <f aca="false">FALSE()</f>
        <v>0</v>
      </c>
      <c r="R162" s="27" t="b">
        <f aca="false">FALSE()</f>
        <v>0</v>
      </c>
      <c r="S162" s="27" t="b">
        <f aca="false">FALSE()</f>
        <v>0</v>
      </c>
    </row>
    <row r="163" customFormat="false" ht="15" hidden="false" customHeight="false" outlineLevel="0" collapsed="false">
      <c r="A163" s="25" t="n">
        <v>162</v>
      </c>
      <c r="B163" s="25" t="s">
        <v>1008</v>
      </c>
      <c r="C163" s="25" t="s">
        <v>579</v>
      </c>
      <c r="D163" s="25" t="n">
        <v>20241023</v>
      </c>
      <c r="E163" s="25" t="n">
        <v>99</v>
      </c>
      <c r="F163" s="25" t="n">
        <v>28</v>
      </c>
      <c r="G163" s="25" t="s">
        <v>115</v>
      </c>
      <c r="H163" s="25" t="s">
        <v>25</v>
      </c>
      <c r="I163" s="25" t="s">
        <v>1743</v>
      </c>
      <c r="J163" s="25" t="s">
        <v>269</v>
      </c>
      <c r="K163" s="25" t="n">
        <v>1</v>
      </c>
      <c r="L163" s="25" t="n">
        <v>7218.53</v>
      </c>
      <c r="M163" s="25" t="n">
        <v>0</v>
      </c>
      <c r="N163" s="25" t="n">
        <v>7218.53</v>
      </c>
      <c r="O163" s="25" t="n">
        <v>0</v>
      </c>
      <c r="P163" s="25" t="n">
        <v>7218.53</v>
      </c>
      <c r="Q163" s="27" t="b">
        <f aca="false">FALSE()</f>
        <v>0</v>
      </c>
      <c r="R163" s="27" t="b">
        <f aca="false">FALSE()</f>
        <v>0</v>
      </c>
      <c r="S163" s="27" t="b">
        <f aca="false">FALSE()</f>
        <v>0</v>
      </c>
    </row>
    <row r="164" customFormat="false" ht="15" hidden="false" customHeight="false" outlineLevel="0" collapsed="false">
      <c r="A164" s="25" t="n">
        <v>163</v>
      </c>
      <c r="B164" s="25" t="s">
        <v>1009</v>
      </c>
      <c r="C164" s="25" t="s">
        <v>579</v>
      </c>
      <c r="D164" s="25" t="n">
        <v>20241023</v>
      </c>
      <c r="E164" s="25" t="n">
        <v>99</v>
      </c>
      <c r="F164" s="25" t="n">
        <v>12</v>
      </c>
      <c r="G164" s="25" t="s">
        <v>115</v>
      </c>
      <c r="H164" s="25" t="s">
        <v>25</v>
      </c>
      <c r="I164" s="25" t="s">
        <v>1743</v>
      </c>
      <c r="J164" s="25" t="s">
        <v>269</v>
      </c>
      <c r="K164" s="25" t="n">
        <v>2</v>
      </c>
      <c r="L164" s="25" t="n">
        <v>11434.02</v>
      </c>
      <c r="M164" s="25" t="n">
        <v>10</v>
      </c>
      <c r="N164" s="25" t="n">
        <v>22868.04</v>
      </c>
      <c r="O164" s="25" t="n">
        <v>2286.8</v>
      </c>
      <c r="P164" s="25" t="n">
        <v>20581.24</v>
      </c>
      <c r="Q164" s="27" t="b">
        <f aca="false">FALSE()</f>
        <v>0</v>
      </c>
      <c r="R164" s="27" t="b">
        <f aca="false">FALSE()</f>
        <v>0</v>
      </c>
      <c r="S164" s="27" t="b">
        <f aca="false">FALSE()</f>
        <v>0</v>
      </c>
    </row>
    <row r="165" customFormat="false" ht="15" hidden="false" customHeight="false" outlineLevel="0" collapsed="false">
      <c r="A165" s="25" t="n">
        <v>164</v>
      </c>
      <c r="B165" s="25" t="s">
        <v>1010</v>
      </c>
      <c r="C165" s="25" t="s">
        <v>434</v>
      </c>
      <c r="D165" s="25" t="n">
        <v>20250624</v>
      </c>
      <c r="E165" s="25" t="n">
        <v>121</v>
      </c>
      <c r="F165" s="25" t="n">
        <v>53</v>
      </c>
      <c r="G165" s="25" t="s">
        <v>115</v>
      </c>
      <c r="H165" s="25" t="s">
        <v>25</v>
      </c>
      <c r="I165" s="25" t="s">
        <v>75</v>
      </c>
      <c r="J165" s="25" t="s">
        <v>250</v>
      </c>
      <c r="K165" s="25" t="n">
        <v>5</v>
      </c>
      <c r="L165" s="25" t="n">
        <v>7313.65</v>
      </c>
      <c r="M165" s="25" t="n">
        <v>0</v>
      </c>
      <c r="N165" s="25" t="n">
        <v>36568.25</v>
      </c>
      <c r="O165" s="25" t="n">
        <v>0</v>
      </c>
      <c r="P165" s="25" t="n">
        <v>36568.25</v>
      </c>
      <c r="Q165" s="27" t="b">
        <f aca="false">FALSE()</f>
        <v>0</v>
      </c>
      <c r="R165" s="27" t="b">
        <f aca="false">FALSE()</f>
        <v>0</v>
      </c>
      <c r="S165" s="27" t="b">
        <f aca="false">FALSE()</f>
        <v>0</v>
      </c>
    </row>
    <row r="166" customFormat="false" ht="15" hidden="false" customHeight="false" outlineLevel="0" collapsed="false">
      <c r="A166" s="25" t="n">
        <v>165</v>
      </c>
      <c r="B166" s="25" t="s">
        <v>1011</v>
      </c>
      <c r="C166" s="25" t="s">
        <v>310</v>
      </c>
      <c r="D166" s="25" t="n">
        <v>20240303</v>
      </c>
      <c r="E166" s="25" t="n">
        <v>138</v>
      </c>
      <c r="F166" s="25" t="n">
        <v>52</v>
      </c>
      <c r="G166" s="25" t="s">
        <v>113</v>
      </c>
      <c r="H166" s="25" t="s">
        <v>25</v>
      </c>
      <c r="I166" s="25" t="s">
        <v>94</v>
      </c>
      <c r="J166" s="25" t="s">
        <v>242</v>
      </c>
      <c r="K166" s="25" t="n">
        <v>1</v>
      </c>
      <c r="L166" s="25" t="n">
        <v>17637.28</v>
      </c>
      <c r="M166" s="25" t="n">
        <v>5</v>
      </c>
      <c r="N166" s="25" t="n">
        <v>17637.28</v>
      </c>
      <c r="O166" s="25" t="n">
        <v>881.86</v>
      </c>
      <c r="P166" s="25" t="n">
        <v>16755.42</v>
      </c>
      <c r="Q166" s="27" t="b">
        <f aca="false">FALSE()</f>
        <v>0</v>
      </c>
      <c r="R166" s="27" t="b">
        <f aca="false">FALSE()</f>
        <v>0</v>
      </c>
      <c r="S166" s="27" t="b">
        <f aca="false">FALSE()</f>
        <v>0</v>
      </c>
    </row>
    <row r="167" customFormat="false" ht="15" hidden="false" customHeight="false" outlineLevel="0" collapsed="false">
      <c r="A167" s="25" t="n">
        <v>166</v>
      </c>
      <c r="B167" s="25" t="s">
        <v>1013</v>
      </c>
      <c r="C167" s="25" t="s">
        <v>310</v>
      </c>
      <c r="D167" s="25" t="n">
        <v>20240303</v>
      </c>
      <c r="E167" s="25" t="n">
        <v>138</v>
      </c>
      <c r="F167" s="25" t="n">
        <v>16</v>
      </c>
      <c r="G167" s="25" t="s">
        <v>113</v>
      </c>
      <c r="H167" s="25" t="s">
        <v>25</v>
      </c>
      <c r="I167" s="25" t="s">
        <v>94</v>
      </c>
      <c r="J167" s="25" t="s">
        <v>242</v>
      </c>
      <c r="K167" s="25" t="n">
        <v>3</v>
      </c>
      <c r="L167" s="25" t="n">
        <v>2260.53</v>
      </c>
      <c r="M167" s="25" t="n">
        <v>20</v>
      </c>
      <c r="N167" s="25" t="n">
        <v>6781.59</v>
      </c>
      <c r="O167" s="25" t="n">
        <v>1356.32</v>
      </c>
      <c r="P167" s="25" t="n">
        <v>5425.27</v>
      </c>
      <c r="Q167" s="27" t="b">
        <f aca="false">FALSE()</f>
        <v>0</v>
      </c>
      <c r="R167" s="27" t="b">
        <f aca="false">FALSE()</f>
        <v>0</v>
      </c>
      <c r="S167" s="27" t="b">
        <f aca="false">FALSE()</f>
        <v>0</v>
      </c>
    </row>
    <row r="168" customFormat="false" ht="15" hidden="false" customHeight="false" outlineLevel="0" collapsed="false">
      <c r="A168" s="25" t="n">
        <v>167</v>
      </c>
      <c r="B168" s="25" t="s">
        <v>1014</v>
      </c>
      <c r="C168" s="25" t="s">
        <v>310</v>
      </c>
      <c r="D168" s="25" t="n">
        <v>20240303</v>
      </c>
      <c r="E168" s="25" t="n">
        <v>138</v>
      </c>
      <c r="F168" s="25" t="n">
        <v>57</v>
      </c>
      <c r="G168" s="25" t="s">
        <v>113</v>
      </c>
      <c r="H168" s="25" t="s">
        <v>25</v>
      </c>
      <c r="I168" s="25" t="s">
        <v>94</v>
      </c>
      <c r="J168" s="25" t="s">
        <v>242</v>
      </c>
      <c r="K168" s="25" t="n">
        <v>5</v>
      </c>
      <c r="L168" s="25" t="n">
        <v>11518.86</v>
      </c>
      <c r="M168" s="25" t="n">
        <v>15</v>
      </c>
      <c r="N168" s="25" t="n">
        <v>57594.3</v>
      </c>
      <c r="O168" s="25" t="n">
        <v>8639.14</v>
      </c>
      <c r="P168" s="25" t="n">
        <v>48955.16</v>
      </c>
      <c r="Q168" s="27" t="b">
        <f aca="false">TRUE()</f>
        <v>1</v>
      </c>
      <c r="R168" s="27" t="b">
        <f aca="false">FALSE()</f>
        <v>0</v>
      </c>
      <c r="S168" s="27" t="b">
        <f aca="false">FALSE()</f>
        <v>0</v>
      </c>
    </row>
    <row r="169" customFormat="false" ht="15" hidden="false" customHeight="false" outlineLevel="0" collapsed="false">
      <c r="A169" s="25" t="n">
        <v>168</v>
      </c>
      <c r="B169" s="25" t="s">
        <v>1015</v>
      </c>
      <c r="C169" s="25" t="s">
        <v>329</v>
      </c>
      <c r="D169" s="25" t="n">
        <v>20250217</v>
      </c>
      <c r="E169" s="25" t="n">
        <v>-1</v>
      </c>
      <c r="F169" s="25" t="n">
        <v>55</v>
      </c>
      <c r="G169" s="25" t="s">
        <v>113</v>
      </c>
      <c r="H169" s="25" t="s">
        <v>25</v>
      </c>
      <c r="I169" s="25" t="s">
        <v>94</v>
      </c>
      <c r="J169" s="25" t="s">
        <v>242</v>
      </c>
      <c r="K169" s="25" t="n">
        <v>2</v>
      </c>
      <c r="L169" s="25" t="n">
        <v>5471.28</v>
      </c>
      <c r="M169" s="25" t="n">
        <v>5</v>
      </c>
      <c r="N169" s="25" t="n">
        <v>10942.56</v>
      </c>
      <c r="O169" s="25" t="n">
        <v>547.13</v>
      </c>
      <c r="P169" s="25" t="n">
        <v>10395.43</v>
      </c>
      <c r="Q169" s="27" t="b">
        <f aca="false">FALSE()</f>
        <v>0</v>
      </c>
      <c r="R169" s="27" t="b">
        <f aca="false">FALSE()</f>
        <v>0</v>
      </c>
      <c r="S169" s="27" t="b">
        <f aca="false">FALSE()</f>
        <v>0</v>
      </c>
    </row>
    <row r="170" customFormat="false" ht="15" hidden="false" customHeight="false" outlineLevel="0" collapsed="false">
      <c r="A170" s="25" t="n">
        <v>169</v>
      </c>
      <c r="B170" s="25" t="s">
        <v>1016</v>
      </c>
      <c r="C170" s="25" t="s">
        <v>329</v>
      </c>
      <c r="D170" s="25" t="n">
        <v>20250217</v>
      </c>
      <c r="E170" s="25" t="n">
        <v>-1</v>
      </c>
      <c r="F170" s="25" t="n">
        <v>12</v>
      </c>
      <c r="G170" s="25" t="s">
        <v>113</v>
      </c>
      <c r="H170" s="25" t="s">
        <v>25</v>
      </c>
      <c r="I170" s="25" t="s">
        <v>94</v>
      </c>
      <c r="J170" s="25" t="s">
        <v>242</v>
      </c>
      <c r="K170" s="25" t="n">
        <v>2</v>
      </c>
      <c r="L170" s="25" t="n">
        <v>11434.02</v>
      </c>
      <c r="M170" s="25" t="n">
        <v>10</v>
      </c>
      <c r="N170" s="25" t="n">
        <v>22868.04</v>
      </c>
      <c r="O170" s="25" t="n">
        <v>2286.8</v>
      </c>
      <c r="P170" s="25" t="n">
        <v>20581.24</v>
      </c>
      <c r="Q170" s="27" t="b">
        <f aca="false">FALSE()</f>
        <v>0</v>
      </c>
      <c r="R170" s="27" t="b">
        <f aca="false">FALSE()</f>
        <v>0</v>
      </c>
      <c r="S170" s="27" t="b">
        <f aca="false">FALSE()</f>
        <v>0</v>
      </c>
    </row>
    <row r="171" customFormat="false" ht="15" hidden="false" customHeight="false" outlineLevel="0" collapsed="false">
      <c r="A171" s="25" t="n">
        <v>170</v>
      </c>
      <c r="B171" s="25" t="s">
        <v>1017</v>
      </c>
      <c r="C171" s="25" t="s">
        <v>329</v>
      </c>
      <c r="D171" s="25" t="n">
        <v>20250217</v>
      </c>
      <c r="E171" s="25" t="n">
        <v>-1</v>
      </c>
      <c r="F171" s="25" t="n">
        <v>34</v>
      </c>
      <c r="G171" s="25" t="s">
        <v>113</v>
      </c>
      <c r="H171" s="25" t="s">
        <v>25</v>
      </c>
      <c r="I171" s="25" t="s">
        <v>94</v>
      </c>
      <c r="J171" s="25" t="s">
        <v>242</v>
      </c>
      <c r="K171" s="25" t="n">
        <v>1</v>
      </c>
      <c r="L171" s="25" t="n">
        <v>11932.31</v>
      </c>
      <c r="M171" s="25" t="n">
        <v>0</v>
      </c>
      <c r="N171" s="25" t="n">
        <v>11932.31</v>
      </c>
      <c r="O171" s="25" t="n">
        <v>0</v>
      </c>
      <c r="P171" s="25" t="n">
        <v>11932.31</v>
      </c>
      <c r="Q171" s="27" t="b">
        <f aca="false">FALSE()</f>
        <v>0</v>
      </c>
      <c r="R171" s="27" t="b">
        <f aca="false">FALSE()</f>
        <v>0</v>
      </c>
      <c r="S171" s="27" t="b">
        <f aca="false">FALSE()</f>
        <v>0</v>
      </c>
    </row>
    <row r="172" customFormat="false" ht="15" hidden="false" customHeight="false" outlineLevel="0" collapsed="false">
      <c r="A172" s="25" t="n">
        <v>171</v>
      </c>
      <c r="B172" s="25" t="s">
        <v>1018</v>
      </c>
      <c r="C172" s="25" t="s">
        <v>329</v>
      </c>
      <c r="D172" s="25" t="n">
        <v>20250217</v>
      </c>
      <c r="E172" s="25" t="n">
        <v>-1</v>
      </c>
      <c r="F172" s="25" t="n">
        <v>43</v>
      </c>
      <c r="G172" s="25" t="s">
        <v>113</v>
      </c>
      <c r="H172" s="25" t="s">
        <v>25</v>
      </c>
      <c r="I172" s="25" t="s">
        <v>94</v>
      </c>
      <c r="J172" s="25" t="s">
        <v>242</v>
      </c>
      <c r="K172" s="25" t="n">
        <v>2</v>
      </c>
      <c r="L172" s="25" t="n">
        <v>4511.74</v>
      </c>
      <c r="M172" s="25" t="n">
        <v>15</v>
      </c>
      <c r="N172" s="25" t="n">
        <v>9023.48</v>
      </c>
      <c r="O172" s="25" t="n">
        <v>1353.52</v>
      </c>
      <c r="P172" s="25" t="n">
        <v>7669.96</v>
      </c>
      <c r="Q172" s="27" t="b">
        <f aca="false">FALSE()</f>
        <v>0</v>
      </c>
      <c r="R172" s="27" t="b">
        <f aca="false">FALSE()</f>
        <v>0</v>
      </c>
      <c r="S172" s="27" t="b">
        <f aca="false">FALSE()</f>
        <v>0</v>
      </c>
    </row>
    <row r="173" customFormat="false" ht="15" hidden="false" customHeight="false" outlineLevel="0" collapsed="false">
      <c r="A173" s="25" t="n">
        <v>172</v>
      </c>
      <c r="B173" s="25" t="s">
        <v>1019</v>
      </c>
      <c r="C173" s="25" t="s">
        <v>315</v>
      </c>
      <c r="D173" s="25" t="n">
        <v>20241114</v>
      </c>
      <c r="E173" s="25" t="n">
        <v>155</v>
      </c>
      <c r="F173" s="25" t="n">
        <v>23</v>
      </c>
      <c r="G173" s="25" t="s">
        <v>114</v>
      </c>
      <c r="H173" s="25" t="s">
        <v>25</v>
      </c>
      <c r="I173" s="25" t="s">
        <v>79</v>
      </c>
      <c r="J173" s="25" t="s">
        <v>250</v>
      </c>
      <c r="K173" s="25" t="n">
        <v>2</v>
      </c>
      <c r="L173" s="25" t="n">
        <v>3019.36</v>
      </c>
      <c r="M173" s="25" t="n">
        <v>20</v>
      </c>
      <c r="N173" s="25" t="n">
        <v>6038.72</v>
      </c>
      <c r="O173" s="25" t="n">
        <v>1207.74</v>
      </c>
      <c r="P173" s="25" t="n">
        <v>4830.98</v>
      </c>
      <c r="Q173" s="27" t="b">
        <f aca="false">FALSE()</f>
        <v>0</v>
      </c>
      <c r="R173" s="27" t="b">
        <f aca="false">FALSE()</f>
        <v>0</v>
      </c>
      <c r="S173" s="27" t="b">
        <f aca="false">FALSE()</f>
        <v>0</v>
      </c>
    </row>
    <row r="174" customFormat="false" ht="15" hidden="false" customHeight="false" outlineLevel="0" collapsed="false">
      <c r="A174" s="25" t="n">
        <v>173</v>
      </c>
      <c r="B174" s="25" t="s">
        <v>1021</v>
      </c>
      <c r="C174" s="25" t="s">
        <v>315</v>
      </c>
      <c r="D174" s="25" t="n">
        <v>20241114</v>
      </c>
      <c r="E174" s="25" t="n">
        <v>155</v>
      </c>
      <c r="F174" s="25" t="n">
        <v>14</v>
      </c>
      <c r="G174" s="25" t="s">
        <v>114</v>
      </c>
      <c r="H174" s="25" t="s">
        <v>25</v>
      </c>
      <c r="I174" s="25" t="s">
        <v>79</v>
      </c>
      <c r="J174" s="25" t="s">
        <v>250</v>
      </c>
      <c r="K174" s="25" t="n">
        <v>1</v>
      </c>
      <c r="L174" s="25" t="n">
        <v>13809.86</v>
      </c>
      <c r="M174" s="25" t="n">
        <v>0</v>
      </c>
      <c r="N174" s="25" t="n">
        <v>13809.86</v>
      </c>
      <c r="O174" s="25" t="n">
        <v>0</v>
      </c>
      <c r="P174" s="25" t="n">
        <v>13809.86</v>
      </c>
      <c r="Q174" s="27" t="b">
        <f aca="false">FALSE()</f>
        <v>0</v>
      </c>
      <c r="R174" s="27" t="b">
        <f aca="false">FALSE()</f>
        <v>0</v>
      </c>
      <c r="S174" s="27" t="b">
        <f aca="false">FALSE()</f>
        <v>0</v>
      </c>
    </row>
    <row r="175" customFormat="false" ht="15" hidden="false" customHeight="false" outlineLevel="0" collapsed="false">
      <c r="A175" s="25" t="n">
        <v>174</v>
      </c>
      <c r="B175" s="25" t="s">
        <v>1023</v>
      </c>
      <c r="C175" s="25" t="s">
        <v>306</v>
      </c>
      <c r="D175" s="25" t="n">
        <v>20241112</v>
      </c>
      <c r="E175" s="25" t="n">
        <v>143</v>
      </c>
      <c r="F175" s="25" t="n">
        <v>65</v>
      </c>
      <c r="G175" s="25" t="s">
        <v>113</v>
      </c>
      <c r="H175" s="25" t="s">
        <v>25</v>
      </c>
      <c r="I175" s="25" t="s">
        <v>1743</v>
      </c>
      <c r="J175" s="25" t="s">
        <v>242</v>
      </c>
      <c r="K175" s="25" t="n">
        <v>3</v>
      </c>
      <c r="L175" s="25" t="n">
        <v>15706.03</v>
      </c>
      <c r="M175" s="25" t="n">
        <v>0</v>
      </c>
      <c r="N175" s="25" t="n">
        <v>47118.09</v>
      </c>
      <c r="O175" s="25" t="n">
        <v>0</v>
      </c>
      <c r="P175" s="25" t="n">
        <v>47118.09</v>
      </c>
      <c r="Q175" s="27" t="b">
        <f aca="false">FALSE()</f>
        <v>0</v>
      </c>
      <c r="R175" s="27" t="b">
        <f aca="false">FALSE()</f>
        <v>0</v>
      </c>
      <c r="S175" s="27" t="b">
        <f aca="false">FALSE()</f>
        <v>0</v>
      </c>
    </row>
    <row r="176" customFormat="false" ht="15" hidden="false" customHeight="false" outlineLevel="0" collapsed="false">
      <c r="A176" s="25" t="n">
        <v>175</v>
      </c>
      <c r="B176" s="25" t="s">
        <v>1025</v>
      </c>
      <c r="C176" s="25" t="s">
        <v>306</v>
      </c>
      <c r="D176" s="25" t="n">
        <v>20241112</v>
      </c>
      <c r="E176" s="25" t="n">
        <v>143</v>
      </c>
      <c r="F176" s="25" t="n">
        <v>51</v>
      </c>
      <c r="G176" s="25" t="s">
        <v>113</v>
      </c>
      <c r="H176" s="25" t="s">
        <v>25</v>
      </c>
      <c r="I176" s="25" t="s">
        <v>1743</v>
      </c>
      <c r="J176" s="25" t="s">
        <v>242</v>
      </c>
      <c r="K176" s="25" t="n">
        <v>4</v>
      </c>
      <c r="L176" s="25" t="n">
        <v>824.93</v>
      </c>
      <c r="M176" s="25" t="n">
        <v>15</v>
      </c>
      <c r="N176" s="25" t="n">
        <v>3299.72</v>
      </c>
      <c r="O176" s="25" t="n">
        <v>494.96</v>
      </c>
      <c r="P176" s="25" t="n">
        <v>2804.76</v>
      </c>
      <c r="Q176" s="27" t="b">
        <f aca="false">FALSE()</f>
        <v>0</v>
      </c>
      <c r="R176" s="27" t="b">
        <f aca="false">FALSE()</f>
        <v>0</v>
      </c>
      <c r="S176" s="27" t="b">
        <f aca="false">FALSE()</f>
        <v>0</v>
      </c>
    </row>
    <row r="177" customFormat="false" ht="15" hidden="false" customHeight="false" outlineLevel="0" collapsed="false">
      <c r="A177" s="25" t="n">
        <v>176</v>
      </c>
      <c r="B177" s="25" t="s">
        <v>1026</v>
      </c>
      <c r="C177" s="25" t="s">
        <v>391</v>
      </c>
      <c r="D177" s="25" t="n">
        <v>20240410</v>
      </c>
      <c r="E177" s="25" t="n">
        <v>145</v>
      </c>
      <c r="F177" s="25" t="n">
        <v>23</v>
      </c>
      <c r="G177" s="25" t="s">
        <v>115</v>
      </c>
      <c r="H177" s="25" t="s">
        <v>25</v>
      </c>
      <c r="I177" s="25" t="s">
        <v>83</v>
      </c>
      <c r="J177" s="25" t="s">
        <v>269</v>
      </c>
      <c r="K177" s="25" t="n">
        <v>1</v>
      </c>
      <c r="L177" s="25" t="n">
        <v>3019.36</v>
      </c>
      <c r="M177" s="25" t="n">
        <v>10</v>
      </c>
      <c r="N177" s="25" t="n">
        <v>3019.36</v>
      </c>
      <c r="O177" s="25" t="n">
        <v>301.94</v>
      </c>
      <c r="P177" s="25" t="n">
        <v>2717.42</v>
      </c>
      <c r="Q177" s="27" t="b">
        <f aca="false">FALSE()</f>
        <v>0</v>
      </c>
      <c r="R177" s="27" t="b">
        <f aca="false">FALSE()</f>
        <v>0</v>
      </c>
      <c r="S177" s="27" t="b">
        <f aca="false">FALSE()</f>
        <v>0</v>
      </c>
    </row>
    <row r="178" customFormat="false" ht="15" hidden="false" customHeight="false" outlineLevel="0" collapsed="false">
      <c r="A178" s="25" t="n">
        <v>177</v>
      </c>
      <c r="B178" s="25" t="s">
        <v>1028</v>
      </c>
      <c r="C178" s="25" t="s">
        <v>391</v>
      </c>
      <c r="D178" s="25" t="n">
        <v>20240410</v>
      </c>
      <c r="E178" s="25" t="n">
        <v>145</v>
      </c>
      <c r="F178" s="25" t="n">
        <v>7</v>
      </c>
      <c r="G178" s="25" t="s">
        <v>115</v>
      </c>
      <c r="H178" s="25" t="s">
        <v>25</v>
      </c>
      <c r="I178" s="25" t="s">
        <v>83</v>
      </c>
      <c r="J178" s="25" t="s">
        <v>269</v>
      </c>
      <c r="K178" s="25" t="n">
        <v>4</v>
      </c>
      <c r="L178" s="25" t="n">
        <v>20278.89</v>
      </c>
      <c r="M178" s="25" t="n">
        <v>5</v>
      </c>
      <c r="N178" s="25" t="n">
        <v>81115.56</v>
      </c>
      <c r="O178" s="25" t="n">
        <v>4055.78</v>
      </c>
      <c r="P178" s="25" t="n">
        <v>77059.78</v>
      </c>
      <c r="Q178" s="27" t="b">
        <f aca="false">FALSE()</f>
        <v>0</v>
      </c>
      <c r="R178" s="27" t="b">
        <f aca="false">FALSE()</f>
        <v>0</v>
      </c>
      <c r="S178" s="27" t="b">
        <f aca="false">FALSE()</f>
        <v>0</v>
      </c>
    </row>
    <row r="179" customFormat="false" ht="15" hidden="false" customHeight="false" outlineLevel="0" collapsed="false">
      <c r="A179" s="25" t="n">
        <v>178</v>
      </c>
      <c r="B179" s="25" t="s">
        <v>1029</v>
      </c>
      <c r="C179" s="25" t="s">
        <v>457</v>
      </c>
      <c r="D179" s="25" t="n">
        <v>20250921</v>
      </c>
      <c r="E179" s="25" t="n">
        <v>40</v>
      </c>
      <c r="F179" s="25" t="n">
        <v>30</v>
      </c>
      <c r="G179" s="25" t="s">
        <v>113</v>
      </c>
      <c r="H179" s="25" t="s">
        <v>25</v>
      </c>
      <c r="I179" s="25" t="s">
        <v>71</v>
      </c>
      <c r="J179" s="25" t="s">
        <v>242</v>
      </c>
      <c r="K179" s="25" t="n">
        <v>5</v>
      </c>
      <c r="L179" s="25" t="n">
        <v>20253.93</v>
      </c>
      <c r="M179" s="25" t="n">
        <v>15</v>
      </c>
      <c r="N179" s="25" t="n">
        <v>101269.65</v>
      </c>
      <c r="O179" s="25" t="n">
        <v>15190.45</v>
      </c>
      <c r="P179" s="25" t="n">
        <v>86079.2</v>
      </c>
      <c r="Q179" s="27" t="b">
        <f aca="false">FALSE()</f>
        <v>0</v>
      </c>
      <c r="R179" s="27" t="b">
        <f aca="false">FALSE()</f>
        <v>0</v>
      </c>
      <c r="S179" s="27" t="b">
        <f aca="false">FALSE()</f>
        <v>0</v>
      </c>
    </row>
    <row r="180" customFormat="false" ht="15" hidden="false" customHeight="false" outlineLevel="0" collapsed="false">
      <c r="A180" s="25" t="n">
        <v>179</v>
      </c>
      <c r="B180" s="25" t="s">
        <v>1031</v>
      </c>
      <c r="C180" s="25" t="s">
        <v>457</v>
      </c>
      <c r="D180" s="25" t="n">
        <v>20250921</v>
      </c>
      <c r="E180" s="25" t="n">
        <v>40</v>
      </c>
      <c r="F180" s="25" t="n">
        <v>16</v>
      </c>
      <c r="G180" s="25" t="s">
        <v>113</v>
      </c>
      <c r="H180" s="25" t="s">
        <v>25</v>
      </c>
      <c r="I180" s="25" t="s">
        <v>71</v>
      </c>
      <c r="J180" s="25" t="s">
        <v>242</v>
      </c>
      <c r="K180" s="25" t="n">
        <v>3</v>
      </c>
      <c r="L180" s="25" t="n">
        <v>2260.53</v>
      </c>
      <c r="M180" s="25" t="n">
        <v>10</v>
      </c>
      <c r="N180" s="25" t="n">
        <v>6781.59</v>
      </c>
      <c r="O180" s="25" t="n">
        <v>678.16</v>
      </c>
      <c r="P180" s="25" t="n">
        <v>6103.43</v>
      </c>
      <c r="Q180" s="27" t="b">
        <f aca="false">FALSE()</f>
        <v>0</v>
      </c>
      <c r="R180" s="27" t="b">
        <f aca="false">FALSE()</f>
        <v>0</v>
      </c>
      <c r="S180" s="27" t="b">
        <f aca="false">FALSE()</f>
        <v>0</v>
      </c>
    </row>
    <row r="181" customFormat="false" ht="15" hidden="false" customHeight="false" outlineLevel="0" collapsed="false">
      <c r="A181" s="25" t="n">
        <v>180</v>
      </c>
      <c r="B181" s="25" t="s">
        <v>1032</v>
      </c>
      <c r="C181" s="25" t="s">
        <v>287</v>
      </c>
      <c r="D181" s="25" t="n">
        <v>20250810</v>
      </c>
      <c r="E181" s="25" t="n">
        <v>121</v>
      </c>
      <c r="F181" s="25" t="n">
        <v>69</v>
      </c>
      <c r="G181" s="25" t="s">
        <v>113</v>
      </c>
      <c r="H181" s="25" t="s">
        <v>25</v>
      </c>
      <c r="I181" s="25" t="s">
        <v>1743</v>
      </c>
      <c r="J181" s="25" t="s">
        <v>250</v>
      </c>
      <c r="K181" s="25" t="n">
        <v>4</v>
      </c>
      <c r="L181" s="25" t="n">
        <v>25742.49</v>
      </c>
      <c r="M181" s="25" t="n">
        <v>5</v>
      </c>
      <c r="N181" s="25" t="n">
        <v>102969.96</v>
      </c>
      <c r="O181" s="25" t="n">
        <v>5148.5</v>
      </c>
      <c r="P181" s="25" t="n">
        <v>97821.46</v>
      </c>
      <c r="Q181" s="27" t="b">
        <f aca="false">FALSE()</f>
        <v>0</v>
      </c>
      <c r="R181" s="27" t="b">
        <f aca="false">FALSE()</f>
        <v>0</v>
      </c>
      <c r="S181" s="27" t="b">
        <f aca="false">FALSE()</f>
        <v>0</v>
      </c>
    </row>
    <row r="182" customFormat="false" ht="15" hidden="false" customHeight="false" outlineLevel="0" collapsed="false">
      <c r="A182" s="25" t="n">
        <v>181</v>
      </c>
      <c r="B182" s="25" t="s">
        <v>1033</v>
      </c>
      <c r="C182" s="25" t="s">
        <v>287</v>
      </c>
      <c r="D182" s="25" t="n">
        <v>20250810</v>
      </c>
      <c r="E182" s="25" t="n">
        <v>121</v>
      </c>
      <c r="F182" s="25" t="n">
        <v>62</v>
      </c>
      <c r="G182" s="25" t="s">
        <v>113</v>
      </c>
      <c r="H182" s="25" t="s">
        <v>25</v>
      </c>
      <c r="I182" s="25" t="s">
        <v>1743</v>
      </c>
      <c r="J182" s="25" t="s">
        <v>250</v>
      </c>
      <c r="K182" s="25" t="n">
        <v>1</v>
      </c>
      <c r="L182" s="25" t="n">
        <v>8493.72</v>
      </c>
      <c r="M182" s="25" t="n">
        <v>0</v>
      </c>
      <c r="N182" s="25" t="n">
        <v>8493.72</v>
      </c>
      <c r="O182" s="25" t="n">
        <v>0</v>
      </c>
      <c r="P182" s="25" t="n">
        <v>8493.72</v>
      </c>
      <c r="Q182" s="27" t="b">
        <f aca="false">FALSE()</f>
        <v>0</v>
      </c>
      <c r="R182" s="27" t="b">
        <f aca="false">FALSE()</f>
        <v>0</v>
      </c>
      <c r="S182" s="27" t="b">
        <f aca="false">FALSE()</f>
        <v>0</v>
      </c>
    </row>
    <row r="183" customFormat="false" ht="15" hidden="false" customHeight="false" outlineLevel="0" collapsed="false">
      <c r="A183" s="25" t="n">
        <v>182</v>
      </c>
      <c r="B183" s="25" t="s">
        <v>1034</v>
      </c>
      <c r="C183" s="25" t="s">
        <v>287</v>
      </c>
      <c r="D183" s="25" t="n">
        <v>20250810</v>
      </c>
      <c r="E183" s="25" t="n">
        <v>121</v>
      </c>
      <c r="F183" s="25" t="n">
        <v>62</v>
      </c>
      <c r="G183" s="25" t="s">
        <v>113</v>
      </c>
      <c r="H183" s="25" t="s">
        <v>25</v>
      </c>
      <c r="I183" s="25" t="s">
        <v>1743</v>
      </c>
      <c r="J183" s="25" t="s">
        <v>250</v>
      </c>
      <c r="K183" s="25" t="n">
        <v>4</v>
      </c>
      <c r="L183" s="25" t="n">
        <v>8493.72</v>
      </c>
      <c r="M183" s="25" t="n">
        <v>15</v>
      </c>
      <c r="N183" s="25" t="n">
        <v>33974.88</v>
      </c>
      <c r="O183" s="25" t="n">
        <v>5096.23</v>
      </c>
      <c r="P183" s="25" t="n">
        <v>28878.65</v>
      </c>
      <c r="Q183" s="27" t="b">
        <f aca="false">FALSE()</f>
        <v>0</v>
      </c>
      <c r="R183" s="27" t="b">
        <f aca="false">FALSE()</f>
        <v>0</v>
      </c>
      <c r="S183" s="27" t="b">
        <f aca="false">FALSE()</f>
        <v>0</v>
      </c>
    </row>
    <row r="184" customFormat="false" ht="15" hidden="false" customHeight="false" outlineLevel="0" collapsed="false">
      <c r="A184" s="25" t="n">
        <v>183</v>
      </c>
      <c r="B184" s="25" t="s">
        <v>1035</v>
      </c>
      <c r="C184" s="25" t="s">
        <v>279</v>
      </c>
      <c r="D184" s="25" t="n">
        <v>20250925</v>
      </c>
      <c r="E184" s="25" t="n">
        <v>73</v>
      </c>
      <c r="F184" s="25" t="n">
        <v>40</v>
      </c>
      <c r="G184" s="25" t="s">
        <v>114</v>
      </c>
      <c r="H184" s="25" t="s">
        <v>25</v>
      </c>
      <c r="I184" s="25" t="s">
        <v>1770</v>
      </c>
      <c r="J184" s="25" t="s">
        <v>242</v>
      </c>
      <c r="K184" s="25" t="n">
        <v>5</v>
      </c>
      <c r="L184" s="25" t="n">
        <v>1699.2</v>
      </c>
      <c r="M184" s="25" t="n">
        <v>20</v>
      </c>
      <c r="N184" s="25" t="n">
        <v>8496</v>
      </c>
      <c r="O184" s="25" t="n">
        <v>1699.2</v>
      </c>
      <c r="P184" s="25" t="n">
        <v>6796.8</v>
      </c>
      <c r="Q184" s="27" t="b">
        <f aca="false">FALSE()</f>
        <v>0</v>
      </c>
      <c r="R184" s="27" t="b">
        <f aca="false">FALSE()</f>
        <v>0</v>
      </c>
      <c r="S184" s="27" t="b">
        <f aca="false">FALSE()</f>
        <v>0</v>
      </c>
    </row>
    <row r="185" customFormat="false" ht="15" hidden="false" customHeight="false" outlineLevel="0" collapsed="false">
      <c r="A185" s="25" t="n">
        <v>184</v>
      </c>
      <c r="B185" s="25" t="s">
        <v>1037</v>
      </c>
      <c r="C185" s="25" t="s">
        <v>279</v>
      </c>
      <c r="D185" s="25" t="n">
        <v>20250925</v>
      </c>
      <c r="E185" s="25" t="n">
        <v>73</v>
      </c>
      <c r="F185" s="25" t="n">
        <v>61</v>
      </c>
      <c r="G185" s="25" t="s">
        <v>114</v>
      </c>
      <c r="H185" s="25" t="s">
        <v>25</v>
      </c>
      <c r="I185" s="25" t="s">
        <v>1770</v>
      </c>
      <c r="J185" s="25" t="s">
        <v>242</v>
      </c>
      <c r="K185" s="25" t="n">
        <v>2</v>
      </c>
      <c r="L185" s="25" t="n">
        <v>8318.56</v>
      </c>
      <c r="M185" s="25" t="n">
        <v>5</v>
      </c>
      <c r="N185" s="25" t="n">
        <v>16637.12</v>
      </c>
      <c r="O185" s="25" t="n">
        <v>831.86</v>
      </c>
      <c r="P185" s="25" t="n">
        <v>15805.26</v>
      </c>
      <c r="Q185" s="27" t="b">
        <f aca="false">FALSE()</f>
        <v>0</v>
      </c>
      <c r="R185" s="27" t="b">
        <f aca="false">FALSE()</f>
        <v>0</v>
      </c>
      <c r="S185" s="27" t="b">
        <f aca="false">FALSE()</f>
        <v>0</v>
      </c>
    </row>
    <row r="186" customFormat="false" ht="15" hidden="false" customHeight="false" outlineLevel="0" collapsed="false">
      <c r="A186" s="25" t="n">
        <v>185</v>
      </c>
      <c r="B186" s="25" t="s">
        <v>1038</v>
      </c>
      <c r="C186" s="25" t="s">
        <v>399</v>
      </c>
      <c r="D186" s="25" t="n">
        <v>20250906</v>
      </c>
      <c r="E186" s="25" t="n">
        <v>112</v>
      </c>
      <c r="F186" s="25" t="n">
        <v>44</v>
      </c>
      <c r="G186" s="25" t="s">
        <v>115</v>
      </c>
      <c r="H186" s="25" t="s">
        <v>2270</v>
      </c>
      <c r="I186" s="25" t="s">
        <v>79</v>
      </c>
      <c r="J186" s="25" t="s">
        <v>242</v>
      </c>
      <c r="K186" s="25" t="n">
        <v>4</v>
      </c>
      <c r="L186" s="25" t="n">
        <v>22655.14</v>
      </c>
      <c r="M186" s="25" t="n">
        <v>20</v>
      </c>
      <c r="N186" s="25" t="n">
        <v>90620.56</v>
      </c>
      <c r="O186" s="25" t="n">
        <v>18124.11</v>
      </c>
      <c r="P186" s="25" t="n">
        <v>72496.45</v>
      </c>
      <c r="Q186" s="27" t="b">
        <f aca="false">FALSE()</f>
        <v>0</v>
      </c>
      <c r="R186" s="27" t="b">
        <f aca="false">FALSE()</f>
        <v>0</v>
      </c>
      <c r="S186" s="27" t="b">
        <f aca="false">FALSE()</f>
        <v>0</v>
      </c>
    </row>
    <row r="187" customFormat="false" ht="15" hidden="false" customHeight="false" outlineLevel="0" collapsed="false">
      <c r="A187" s="25" t="n">
        <v>186</v>
      </c>
      <c r="B187" s="25" t="s">
        <v>1039</v>
      </c>
      <c r="C187" s="25" t="s">
        <v>399</v>
      </c>
      <c r="D187" s="25" t="n">
        <v>20250906</v>
      </c>
      <c r="E187" s="25" t="n">
        <v>112</v>
      </c>
      <c r="F187" s="25" t="n">
        <v>59</v>
      </c>
      <c r="G187" s="25" t="s">
        <v>115</v>
      </c>
      <c r="H187" s="25" t="s">
        <v>2270</v>
      </c>
      <c r="I187" s="25" t="s">
        <v>79</v>
      </c>
      <c r="J187" s="25" t="s">
        <v>242</v>
      </c>
      <c r="K187" s="25" t="n">
        <v>4</v>
      </c>
      <c r="L187" s="25" t="n">
        <v>18828.5</v>
      </c>
      <c r="M187" s="25" t="n">
        <v>0</v>
      </c>
      <c r="N187" s="25" t="n">
        <v>75314</v>
      </c>
      <c r="O187" s="25" t="n">
        <v>0</v>
      </c>
      <c r="P187" s="25" t="n">
        <v>75314</v>
      </c>
      <c r="Q187" s="27" t="b">
        <f aca="false">FALSE()</f>
        <v>0</v>
      </c>
      <c r="R187" s="27" t="b">
        <f aca="false">FALSE()</f>
        <v>0</v>
      </c>
      <c r="S187" s="27" t="b">
        <f aca="false">FALSE()</f>
        <v>0</v>
      </c>
    </row>
    <row r="188" customFormat="false" ht="15" hidden="false" customHeight="false" outlineLevel="0" collapsed="false">
      <c r="A188" s="25" t="n">
        <v>187</v>
      </c>
      <c r="B188" s="25" t="s">
        <v>1040</v>
      </c>
      <c r="C188" s="25" t="s">
        <v>319</v>
      </c>
      <c r="D188" s="25" t="n">
        <v>20250925</v>
      </c>
      <c r="E188" s="25" t="n">
        <v>118</v>
      </c>
      <c r="F188" s="25" t="n">
        <v>51</v>
      </c>
      <c r="G188" s="25" t="s">
        <v>114</v>
      </c>
      <c r="H188" s="25" t="s">
        <v>25</v>
      </c>
      <c r="I188" s="25" t="s">
        <v>75</v>
      </c>
      <c r="J188" s="25" t="s">
        <v>242</v>
      </c>
      <c r="K188" s="25" t="n">
        <v>1</v>
      </c>
      <c r="L188" s="25" t="n">
        <v>2606.62</v>
      </c>
      <c r="M188" s="25" t="n">
        <v>20</v>
      </c>
      <c r="N188" s="25" t="n">
        <v>2606.62</v>
      </c>
      <c r="O188" s="25" t="n">
        <v>521.32</v>
      </c>
      <c r="P188" s="25" t="n">
        <v>2085.3</v>
      </c>
      <c r="Q188" s="27" t="b">
        <f aca="false">FALSE()</f>
        <v>0</v>
      </c>
      <c r="R188" s="27" t="b">
        <f aca="false">FALSE()</f>
        <v>0</v>
      </c>
      <c r="S188" s="27" t="b">
        <f aca="false">FALSE()</f>
        <v>0</v>
      </c>
    </row>
    <row r="189" customFormat="false" ht="15" hidden="false" customHeight="false" outlineLevel="0" collapsed="false">
      <c r="A189" s="25" t="n">
        <v>188</v>
      </c>
      <c r="B189" s="25" t="s">
        <v>1041</v>
      </c>
      <c r="C189" s="25" t="s">
        <v>319</v>
      </c>
      <c r="D189" s="25" t="n">
        <v>20250925</v>
      </c>
      <c r="E189" s="25" t="n">
        <v>118</v>
      </c>
      <c r="F189" s="25" t="n">
        <v>31</v>
      </c>
      <c r="G189" s="25" t="s">
        <v>114</v>
      </c>
      <c r="H189" s="25" t="s">
        <v>25</v>
      </c>
      <c r="I189" s="25" t="s">
        <v>75</v>
      </c>
      <c r="J189" s="25" t="s">
        <v>242</v>
      </c>
      <c r="K189" s="25" t="n">
        <v>4</v>
      </c>
      <c r="L189" s="25" t="n">
        <v>20098.63</v>
      </c>
      <c r="M189" s="25" t="n">
        <v>5</v>
      </c>
      <c r="N189" s="25" t="n">
        <v>80394.52</v>
      </c>
      <c r="O189" s="25" t="n">
        <v>4019.73</v>
      </c>
      <c r="P189" s="25" t="n">
        <v>76374.79</v>
      </c>
      <c r="Q189" s="27" t="b">
        <f aca="false">FALSE()</f>
        <v>0</v>
      </c>
      <c r="R189" s="27" t="b">
        <f aca="false">FALSE()</f>
        <v>0</v>
      </c>
      <c r="S189" s="27" t="b">
        <f aca="false">FALSE()</f>
        <v>0</v>
      </c>
    </row>
    <row r="190" customFormat="false" ht="15" hidden="false" customHeight="false" outlineLevel="0" collapsed="false">
      <c r="A190" s="25" t="n">
        <v>189</v>
      </c>
      <c r="B190" s="25" t="s">
        <v>1042</v>
      </c>
      <c r="C190" s="25" t="s">
        <v>319</v>
      </c>
      <c r="D190" s="25" t="n">
        <v>20250925</v>
      </c>
      <c r="E190" s="25" t="n">
        <v>118</v>
      </c>
      <c r="F190" s="25" t="n">
        <v>41</v>
      </c>
      <c r="G190" s="25" t="s">
        <v>114</v>
      </c>
      <c r="H190" s="25" t="s">
        <v>25</v>
      </c>
      <c r="I190" s="25" t="s">
        <v>75</v>
      </c>
      <c r="J190" s="25" t="s">
        <v>242</v>
      </c>
      <c r="K190" s="25" t="n">
        <v>3</v>
      </c>
      <c r="L190" s="25" t="n">
        <v>11992.92</v>
      </c>
      <c r="M190" s="25" t="n">
        <v>5</v>
      </c>
      <c r="N190" s="25" t="n">
        <v>35978.76</v>
      </c>
      <c r="O190" s="25" t="n">
        <v>1798.94</v>
      </c>
      <c r="P190" s="25" t="n">
        <v>34179.82</v>
      </c>
      <c r="Q190" s="27" t="b">
        <f aca="false">FALSE()</f>
        <v>0</v>
      </c>
      <c r="R190" s="27" t="b">
        <f aca="false">FALSE()</f>
        <v>0</v>
      </c>
      <c r="S190" s="27" t="b">
        <f aca="false">FALSE()</f>
        <v>0</v>
      </c>
    </row>
    <row r="191" customFormat="false" ht="15" hidden="false" customHeight="false" outlineLevel="0" collapsed="false">
      <c r="A191" s="25" t="n">
        <v>190</v>
      </c>
      <c r="B191" s="25" t="s">
        <v>1043</v>
      </c>
      <c r="C191" s="25" t="s">
        <v>319</v>
      </c>
      <c r="D191" s="25" t="n">
        <v>20250925</v>
      </c>
      <c r="E191" s="25" t="n">
        <v>118</v>
      </c>
      <c r="F191" s="25" t="n">
        <v>52</v>
      </c>
      <c r="G191" s="25" t="s">
        <v>114</v>
      </c>
      <c r="H191" s="25" t="s">
        <v>25</v>
      </c>
      <c r="I191" s="25" t="s">
        <v>75</v>
      </c>
      <c r="J191" s="25" t="s">
        <v>242</v>
      </c>
      <c r="K191" s="25" t="n">
        <v>4</v>
      </c>
      <c r="L191" s="25" t="n">
        <v>17637.28</v>
      </c>
      <c r="M191" s="25" t="n">
        <v>15</v>
      </c>
      <c r="N191" s="25" t="n">
        <v>70549.12</v>
      </c>
      <c r="O191" s="25" t="n">
        <v>10582.37</v>
      </c>
      <c r="P191" s="25" t="n">
        <v>59966.75</v>
      </c>
      <c r="Q191" s="27" t="b">
        <f aca="false">FALSE()</f>
        <v>0</v>
      </c>
      <c r="R191" s="27" t="b">
        <f aca="false">FALSE()</f>
        <v>0</v>
      </c>
      <c r="S191" s="27" t="b">
        <f aca="false">FALSE()</f>
        <v>0</v>
      </c>
    </row>
    <row r="192" customFormat="false" ht="15" hidden="false" customHeight="false" outlineLevel="0" collapsed="false">
      <c r="A192" s="25" t="n">
        <v>191</v>
      </c>
      <c r="B192" s="25" t="s">
        <v>1044</v>
      </c>
      <c r="C192" s="25" t="s">
        <v>387</v>
      </c>
      <c r="D192" s="25" t="n">
        <v>20241016</v>
      </c>
      <c r="E192" s="25" t="n">
        <v>67</v>
      </c>
      <c r="F192" s="25" t="n">
        <v>56</v>
      </c>
      <c r="G192" s="25" t="s">
        <v>114</v>
      </c>
      <c r="H192" s="25" t="s">
        <v>25</v>
      </c>
      <c r="I192" s="25" t="s">
        <v>86</v>
      </c>
      <c r="J192" s="25" t="s">
        <v>242</v>
      </c>
      <c r="K192" s="25" t="n">
        <v>4</v>
      </c>
      <c r="L192" s="25" t="n">
        <v>16535.66</v>
      </c>
      <c r="M192" s="25" t="n">
        <v>20</v>
      </c>
      <c r="N192" s="25" t="n">
        <v>66142.64</v>
      </c>
      <c r="O192" s="25" t="n">
        <v>13228.53</v>
      </c>
      <c r="P192" s="25" t="n">
        <v>52914.11</v>
      </c>
      <c r="Q192" s="27" t="b">
        <f aca="false">FALSE()</f>
        <v>0</v>
      </c>
      <c r="R192" s="27" t="b">
        <f aca="false">FALSE()</f>
        <v>0</v>
      </c>
      <c r="S192" s="27" t="b">
        <f aca="false">FALSE()</f>
        <v>0</v>
      </c>
    </row>
    <row r="193" customFormat="false" ht="15" hidden="false" customHeight="false" outlineLevel="0" collapsed="false">
      <c r="A193" s="25" t="n">
        <v>192</v>
      </c>
      <c r="B193" s="25" t="s">
        <v>1045</v>
      </c>
      <c r="C193" s="25" t="s">
        <v>327</v>
      </c>
      <c r="D193" s="25" t="n">
        <v>20240515</v>
      </c>
      <c r="E193" s="25" t="n">
        <v>25</v>
      </c>
      <c r="F193" s="25" t="n">
        <v>4</v>
      </c>
      <c r="G193" s="25" t="s">
        <v>114</v>
      </c>
      <c r="H193" s="25" t="s">
        <v>2262</v>
      </c>
      <c r="I193" s="25" t="s">
        <v>89</v>
      </c>
      <c r="J193" s="25" t="s">
        <v>250</v>
      </c>
      <c r="K193" s="25" t="n">
        <v>4</v>
      </c>
      <c r="L193" s="25" t="n">
        <v>21122.18</v>
      </c>
      <c r="M193" s="25" t="n">
        <v>20</v>
      </c>
      <c r="N193" s="25" t="n">
        <v>84488.72</v>
      </c>
      <c r="O193" s="25" t="n">
        <v>16897.74</v>
      </c>
      <c r="P193" s="25" t="n">
        <v>67590.98</v>
      </c>
      <c r="Q193" s="27" t="b">
        <f aca="false">FALSE()</f>
        <v>0</v>
      </c>
      <c r="R193" s="27" t="b">
        <f aca="false">FALSE()</f>
        <v>0</v>
      </c>
      <c r="S193" s="27" t="b">
        <f aca="false">FALSE()</f>
        <v>0</v>
      </c>
    </row>
    <row r="194" customFormat="false" ht="15" hidden="false" customHeight="false" outlineLevel="0" collapsed="false">
      <c r="A194" s="25" t="n">
        <v>193</v>
      </c>
      <c r="B194" s="25" t="s">
        <v>1046</v>
      </c>
      <c r="C194" s="25" t="s">
        <v>327</v>
      </c>
      <c r="D194" s="25" t="n">
        <v>20240515</v>
      </c>
      <c r="E194" s="25" t="n">
        <v>25</v>
      </c>
      <c r="F194" s="25" t="n">
        <v>53</v>
      </c>
      <c r="G194" s="25" t="s">
        <v>114</v>
      </c>
      <c r="H194" s="25" t="s">
        <v>2262</v>
      </c>
      <c r="I194" s="25" t="s">
        <v>89</v>
      </c>
      <c r="J194" s="25" t="s">
        <v>250</v>
      </c>
      <c r="K194" s="25" t="n">
        <v>5</v>
      </c>
      <c r="L194" s="25" t="n">
        <v>7313.65</v>
      </c>
      <c r="M194" s="25" t="n">
        <v>15</v>
      </c>
      <c r="N194" s="25" t="n">
        <v>36568.25</v>
      </c>
      <c r="O194" s="25" t="n">
        <v>5485.24</v>
      </c>
      <c r="P194" s="25" t="n">
        <v>31083.01</v>
      </c>
      <c r="Q194" s="27" t="b">
        <f aca="false">FALSE()</f>
        <v>0</v>
      </c>
      <c r="R194" s="27" t="b">
        <f aca="false">FALSE()</f>
        <v>0</v>
      </c>
      <c r="S194" s="27" t="b">
        <f aca="false">FALSE()</f>
        <v>0</v>
      </c>
    </row>
    <row r="195" customFormat="false" ht="15" hidden="false" customHeight="false" outlineLevel="0" collapsed="false">
      <c r="A195" s="25" t="n">
        <v>194</v>
      </c>
      <c r="B195" s="25" t="s">
        <v>1047</v>
      </c>
      <c r="C195" s="25" t="s">
        <v>327</v>
      </c>
      <c r="D195" s="25" t="n">
        <v>20240515</v>
      </c>
      <c r="E195" s="25" t="n">
        <v>25</v>
      </c>
      <c r="F195" s="25" t="n">
        <v>59</v>
      </c>
      <c r="G195" s="25" t="s">
        <v>114</v>
      </c>
      <c r="H195" s="25" t="s">
        <v>2262</v>
      </c>
      <c r="I195" s="25" t="s">
        <v>89</v>
      </c>
      <c r="J195" s="25" t="s">
        <v>250</v>
      </c>
      <c r="K195" s="25" t="n">
        <v>3</v>
      </c>
      <c r="L195" s="25" t="n">
        <v>18828.5</v>
      </c>
      <c r="M195" s="25" t="n">
        <v>10</v>
      </c>
      <c r="N195" s="25" t="n">
        <v>56485.5</v>
      </c>
      <c r="O195" s="25" t="n">
        <v>5648.55</v>
      </c>
      <c r="P195" s="25" t="n">
        <v>50836.95</v>
      </c>
      <c r="Q195" s="27" t="b">
        <f aca="false">FALSE()</f>
        <v>0</v>
      </c>
      <c r="R195" s="27" t="b">
        <f aca="false">FALSE()</f>
        <v>0</v>
      </c>
      <c r="S195" s="27" t="b">
        <f aca="false">FALSE()</f>
        <v>0</v>
      </c>
    </row>
    <row r="196" customFormat="false" ht="15" hidden="false" customHeight="false" outlineLevel="0" collapsed="false">
      <c r="A196" s="25" t="n">
        <v>195</v>
      </c>
      <c r="B196" s="25" t="s">
        <v>1048</v>
      </c>
      <c r="C196" s="25" t="s">
        <v>327</v>
      </c>
      <c r="D196" s="25" t="n">
        <v>20240515</v>
      </c>
      <c r="E196" s="25" t="n">
        <v>25</v>
      </c>
      <c r="F196" s="25" t="n">
        <v>22</v>
      </c>
      <c r="G196" s="25" t="s">
        <v>114</v>
      </c>
      <c r="H196" s="25" t="s">
        <v>2262</v>
      </c>
      <c r="I196" s="25" t="s">
        <v>89</v>
      </c>
      <c r="J196" s="25" t="s">
        <v>250</v>
      </c>
      <c r="K196" s="25" t="n">
        <v>1</v>
      </c>
      <c r="L196" s="25" t="n">
        <v>19552.29</v>
      </c>
      <c r="M196" s="25" t="n">
        <v>15</v>
      </c>
      <c r="N196" s="25" t="n">
        <v>19552.29</v>
      </c>
      <c r="O196" s="25" t="n">
        <v>2932.84</v>
      </c>
      <c r="P196" s="25" t="n">
        <v>16619.45</v>
      </c>
      <c r="Q196" s="27" t="b">
        <f aca="false">FALSE()</f>
        <v>0</v>
      </c>
      <c r="R196" s="27" t="b">
        <f aca="false">FALSE()</f>
        <v>0</v>
      </c>
      <c r="S196" s="27" t="b">
        <f aca="false">FALSE()</f>
        <v>0</v>
      </c>
    </row>
    <row r="197" customFormat="false" ht="15" hidden="false" customHeight="false" outlineLevel="0" collapsed="false">
      <c r="A197" s="25" t="n">
        <v>196</v>
      </c>
      <c r="B197" s="25" t="s">
        <v>1049</v>
      </c>
      <c r="C197" s="25" t="s">
        <v>453</v>
      </c>
      <c r="D197" s="25" t="n">
        <v>20240503</v>
      </c>
      <c r="E197" s="25" t="n">
        <v>10</v>
      </c>
      <c r="F197" s="25" t="n">
        <v>59</v>
      </c>
      <c r="G197" s="25" t="s">
        <v>113</v>
      </c>
      <c r="H197" s="25" t="s">
        <v>25</v>
      </c>
      <c r="I197" s="25" t="s">
        <v>1770</v>
      </c>
      <c r="J197" s="25" t="s">
        <v>246</v>
      </c>
      <c r="K197" s="25" t="n">
        <v>3</v>
      </c>
      <c r="L197" s="25" t="n">
        <v>18828.5</v>
      </c>
      <c r="M197" s="25" t="n">
        <v>10</v>
      </c>
      <c r="N197" s="25" t="n">
        <v>56485.5</v>
      </c>
      <c r="O197" s="25" t="n">
        <v>5648.55</v>
      </c>
      <c r="P197" s="25" t="n">
        <v>50836.95</v>
      </c>
      <c r="Q197" s="27" t="b">
        <f aca="false">FALSE()</f>
        <v>0</v>
      </c>
      <c r="R197" s="27" t="b">
        <f aca="false">FALSE()</f>
        <v>0</v>
      </c>
      <c r="S197" s="27" t="b">
        <f aca="false">FALSE()</f>
        <v>0</v>
      </c>
    </row>
    <row r="198" customFormat="false" ht="15" hidden="false" customHeight="false" outlineLevel="0" collapsed="false">
      <c r="A198" s="25" t="n">
        <v>197</v>
      </c>
      <c r="B198" s="25" t="s">
        <v>1051</v>
      </c>
      <c r="C198" s="25" t="s">
        <v>453</v>
      </c>
      <c r="D198" s="25" t="n">
        <v>20240503</v>
      </c>
      <c r="E198" s="25" t="n">
        <v>10</v>
      </c>
      <c r="F198" s="25" t="n">
        <v>50</v>
      </c>
      <c r="G198" s="25" t="s">
        <v>113</v>
      </c>
      <c r="H198" s="25" t="s">
        <v>25</v>
      </c>
      <c r="I198" s="25" t="s">
        <v>1770</v>
      </c>
      <c r="J198" s="25" t="s">
        <v>246</v>
      </c>
      <c r="K198" s="25" t="n">
        <v>5</v>
      </c>
      <c r="L198" s="25" t="n">
        <v>22582.54</v>
      </c>
      <c r="M198" s="25" t="n">
        <v>0</v>
      </c>
      <c r="N198" s="25" t="n">
        <v>112912.7</v>
      </c>
      <c r="O198" s="25" t="n">
        <v>0</v>
      </c>
      <c r="P198" s="25" t="n">
        <v>112912.7</v>
      </c>
      <c r="Q198" s="27" t="b">
        <f aca="false">FALSE()</f>
        <v>0</v>
      </c>
      <c r="R198" s="27" t="b">
        <f aca="false">FALSE()</f>
        <v>0</v>
      </c>
      <c r="S198" s="27" t="b">
        <f aca="false">FALSE()</f>
        <v>0</v>
      </c>
    </row>
    <row r="199" customFormat="false" ht="15" hidden="false" customHeight="false" outlineLevel="0" collapsed="false">
      <c r="A199" s="25" t="n">
        <v>198</v>
      </c>
      <c r="B199" s="25" t="s">
        <v>1052</v>
      </c>
      <c r="C199" s="25" t="s">
        <v>453</v>
      </c>
      <c r="D199" s="25" t="n">
        <v>20240503</v>
      </c>
      <c r="E199" s="25" t="n">
        <v>10</v>
      </c>
      <c r="F199" s="25" t="n">
        <v>47</v>
      </c>
      <c r="G199" s="25" t="s">
        <v>113</v>
      </c>
      <c r="H199" s="25" t="s">
        <v>25</v>
      </c>
      <c r="I199" s="25" t="s">
        <v>1770</v>
      </c>
      <c r="J199" s="25" t="s">
        <v>246</v>
      </c>
      <c r="K199" s="25" t="n">
        <v>4</v>
      </c>
      <c r="L199" s="25" t="n">
        <v>5145.55</v>
      </c>
      <c r="M199" s="25" t="n">
        <v>5</v>
      </c>
      <c r="N199" s="25" t="n">
        <v>20582.2</v>
      </c>
      <c r="O199" s="25" t="n">
        <v>1029.11</v>
      </c>
      <c r="P199" s="25" t="n">
        <v>19553.09</v>
      </c>
      <c r="Q199" s="27" t="b">
        <f aca="false">FALSE()</f>
        <v>0</v>
      </c>
      <c r="R199" s="27" t="b">
        <f aca="false">FALSE()</f>
        <v>0</v>
      </c>
      <c r="S199" s="27" t="b">
        <f aca="false">FALSE()</f>
        <v>0</v>
      </c>
    </row>
    <row r="200" customFormat="false" ht="15" hidden="false" customHeight="false" outlineLevel="0" collapsed="false">
      <c r="A200" s="25" t="n">
        <v>199</v>
      </c>
      <c r="B200" s="25" t="s">
        <v>1053</v>
      </c>
      <c r="C200" s="25" t="s">
        <v>453</v>
      </c>
      <c r="D200" s="25" t="n">
        <v>20240503</v>
      </c>
      <c r="E200" s="25" t="n">
        <v>10</v>
      </c>
      <c r="F200" s="25" t="n">
        <v>25</v>
      </c>
      <c r="G200" s="25" t="s">
        <v>113</v>
      </c>
      <c r="H200" s="25" t="s">
        <v>25</v>
      </c>
      <c r="I200" s="25" t="s">
        <v>1770</v>
      </c>
      <c r="J200" s="25" t="s">
        <v>246</v>
      </c>
      <c r="K200" s="25" t="n">
        <v>3</v>
      </c>
      <c r="L200" s="25" t="n">
        <v>19632.52</v>
      </c>
      <c r="M200" s="25" t="n">
        <v>15</v>
      </c>
      <c r="N200" s="25" t="n">
        <v>58897.56</v>
      </c>
      <c r="O200" s="25" t="n">
        <v>8834.63</v>
      </c>
      <c r="P200" s="25" t="n">
        <v>50062.93</v>
      </c>
      <c r="Q200" s="27" t="b">
        <f aca="false">FALSE()</f>
        <v>0</v>
      </c>
      <c r="R200" s="27" t="b">
        <f aca="false">FALSE()</f>
        <v>0</v>
      </c>
      <c r="S200" s="27" t="b">
        <f aca="false">FALSE()</f>
        <v>0</v>
      </c>
    </row>
    <row r="201" customFormat="false" ht="15" hidden="false" customHeight="false" outlineLevel="0" collapsed="false">
      <c r="A201" s="25" t="n">
        <v>200</v>
      </c>
      <c r="B201" s="25" t="s">
        <v>1055</v>
      </c>
      <c r="C201" s="25" t="s">
        <v>561</v>
      </c>
      <c r="D201" s="25" t="n">
        <v>20251029</v>
      </c>
      <c r="E201" s="25" t="n">
        <v>92</v>
      </c>
      <c r="F201" s="25" t="n">
        <v>7</v>
      </c>
      <c r="G201" s="25" t="s">
        <v>114</v>
      </c>
      <c r="H201" s="25" t="s">
        <v>25</v>
      </c>
      <c r="I201" s="25" t="s">
        <v>71</v>
      </c>
      <c r="J201" s="25" t="s">
        <v>250</v>
      </c>
      <c r="K201" s="25" t="n">
        <v>4</v>
      </c>
      <c r="L201" s="25" t="n">
        <v>20278.89</v>
      </c>
      <c r="M201" s="25" t="n">
        <v>0</v>
      </c>
      <c r="N201" s="25" t="n">
        <v>81115.56</v>
      </c>
      <c r="O201" s="25" t="n">
        <v>0</v>
      </c>
      <c r="P201" s="25" t="n">
        <v>81115.56</v>
      </c>
      <c r="Q201" s="27" t="b">
        <f aca="false">FALSE()</f>
        <v>0</v>
      </c>
      <c r="R201" s="27" t="b">
        <f aca="false">FALSE()</f>
        <v>0</v>
      </c>
      <c r="S201" s="27" t="b">
        <f aca="false">FALSE()</f>
        <v>0</v>
      </c>
    </row>
    <row r="202" customFormat="false" ht="15" hidden="false" customHeight="false" outlineLevel="0" collapsed="false">
      <c r="A202" s="25" t="n">
        <v>201</v>
      </c>
      <c r="B202" s="25" t="s">
        <v>1057</v>
      </c>
      <c r="C202" s="25" t="s">
        <v>561</v>
      </c>
      <c r="D202" s="25" t="n">
        <v>20251029</v>
      </c>
      <c r="E202" s="25" t="n">
        <v>92</v>
      </c>
      <c r="F202" s="25" t="n">
        <v>6</v>
      </c>
      <c r="G202" s="25" t="s">
        <v>114</v>
      </c>
      <c r="H202" s="25" t="s">
        <v>25</v>
      </c>
      <c r="I202" s="25" t="s">
        <v>71</v>
      </c>
      <c r="J202" s="25" t="s">
        <v>250</v>
      </c>
      <c r="K202" s="25" t="n">
        <v>2</v>
      </c>
      <c r="L202" s="25" t="n">
        <v>2863.09</v>
      </c>
      <c r="M202" s="25" t="n">
        <v>5</v>
      </c>
      <c r="N202" s="25" t="n">
        <v>5726.18</v>
      </c>
      <c r="O202" s="25" t="n">
        <v>286.31</v>
      </c>
      <c r="P202" s="25" t="n">
        <v>5439.87</v>
      </c>
      <c r="Q202" s="27" t="b">
        <f aca="false">FALSE()</f>
        <v>0</v>
      </c>
      <c r="R202" s="27" t="b">
        <f aca="false">FALSE()</f>
        <v>0</v>
      </c>
      <c r="S202" s="27" t="b">
        <f aca="false">FALSE()</f>
        <v>0</v>
      </c>
    </row>
    <row r="203" customFormat="false" ht="15" hidden="false" customHeight="false" outlineLevel="0" collapsed="false">
      <c r="A203" s="25" t="n">
        <v>202</v>
      </c>
      <c r="B203" s="25" t="s">
        <v>1058</v>
      </c>
      <c r="C203" s="25" t="s">
        <v>561</v>
      </c>
      <c r="D203" s="25" t="n">
        <v>20251029</v>
      </c>
      <c r="E203" s="25" t="n">
        <v>92</v>
      </c>
      <c r="F203" s="25" t="n">
        <v>21</v>
      </c>
      <c r="G203" s="25" t="s">
        <v>114</v>
      </c>
      <c r="H203" s="25" t="s">
        <v>25</v>
      </c>
      <c r="I203" s="25" t="s">
        <v>71</v>
      </c>
      <c r="J203" s="25" t="s">
        <v>250</v>
      </c>
      <c r="K203" s="25" t="n">
        <v>4</v>
      </c>
      <c r="L203" s="25" t="n">
        <v>3184.81</v>
      </c>
      <c r="M203" s="25" t="n">
        <v>0</v>
      </c>
      <c r="N203" s="25" t="n">
        <v>12739.24</v>
      </c>
      <c r="O203" s="25" t="n">
        <v>0</v>
      </c>
      <c r="P203" s="25" t="n">
        <v>12739.24</v>
      </c>
      <c r="Q203" s="27" t="b">
        <f aca="false">FALSE()</f>
        <v>0</v>
      </c>
      <c r="R203" s="27" t="b">
        <f aca="false">FALSE()</f>
        <v>0</v>
      </c>
      <c r="S203" s="27" t="b">
        <f aca="false">FALSE()</f>
        <v>0</v>
      </c>
    </row>
    <row r="204" customFormat="false" ht="15" hidden="false" customHeight="false" outlineLevel="0" collapsed="false">
      <c r="A204" s="25" t="n">
        <v>203</v>
      </c>
      <c r="B204" s="25" t="s">
        <v>1059</v>
      </c>
      <c r="C204" s="25" t="s">
        <v>519</v>
      </c>
      <c r="D204" s="25" t="n">
        <v>20240906</v>
      </c>
      <c r="E204" s="25" t="n">
        <v>23</v>
      </c>
      <c r="F204" s="25" t="n">
        <v>53</v>
      </c>
      <c r="G204" s="25" t="s">
        <v>114</v>
      </c>
      <c r="H204" s="25" t="s">
        <v>2265</v>
      </c>
      <c r="I204" s="25" t="s">
        <v>94</v>
      </c>
      <c r="J204" s="25" t="s">
        <v>269</v>
      </c>
      <c r="K204" s="25" t="n">
        <v>2</v>
      </c>
      <c r="L204" s="25" t="n">
        <v>7313.65</v>
      </c>
      <c r="M204" s="25" t="n">
        <v>0</v>
      </c>
      <c r="N204" s="25" t="n">
        <v>14627.3</v>
      </c>
      <c r="O204" s="25" t="n">
        <v>0</v>
      </c>
      <c r="P204" s="25" t="n">
        <v>14627.3</v>
      </c>
      <c r="Q204" s="27" t="b">
        <f aca="false">FALSE()</f>
        <v>0</v>
      </c>
      <c r="R204" s="27" t="b">
        <f aca="false">FALSE()</f>
        <v>0</v>
      </c>
      <c r="S204" s="27" t="b">
        <f aca="false">FALSE()</f>
        <v>0</v>
      </c>
    </row>
    <row r="205" customFormat="false" ht="15" hidden="false" customHeight="false" outlineLevel="0" collapsed="false">
      <c r="A205" s="25" t="n">
        <v>204</v>
      </c>
      <c r="B205" s="25" t="s">
        <v>1061</v>
      </c>
      <c r="C205" s="25" t="s">
        <v>519</v>
      </c>
      <c r="D205" s="25" t="n">
        <v>20240906</v>
      </c>
      <c r="E205" s="25" t="n">
        <v>23</v>
      </c>
      <c r="F205" s="25" t="n">
        <v>20</v>
      </c>
      <c r="G205" s="25" t="s">
        <v>114</v>
      </c>
      <c r="H205" s="25" t="s">
        <v>2265</v>
      </c>
      <c r="I205" s="25" t="s">
        <v>94</v>
      </c>
      <c r="J205" s="25" t="s">
        <v>269</v>
      </c>
      <c r="K205" s="25" t="n">
        <v>4</v>
      </c>
      <c r="L205" s="25" t="n">
        <v>3634.57</v>
      </c>
      <c r="M205" s="25" t="n">
        <v>0</v>
      </c>
      <c r="N205" s="25" t="n">
        <v>14538.28</v>
      </c>
      <c r="O205" s="25" t="n">
        <v>0</v>
      </c>
      <c r="P205" s="25" t="n">
        <v>14538.28</v>
      </c>
      <c r="Q205" s="27" t="b">
        <f aca="false">FALSE()</f>
        <v>0</v>
      </c>
      <c r="R205" s="27" t="b">
        <f aca="false">FALSE()</f>
        <v>0</v>
      </c>
      <c r="S205" s="27" t="b">
        <f aca="false">FALSE()</f>
        <v>0</v>
      </c>
    </row>
    <row r="206" customFormat="false" ht="15" hidden="false" customHeight="false" outlineLevel="0" collapsed="false">
      <c r="A206" s="25" t="n">
        <v>205</v>
      </c>
      <c r="B206" s="25" t="s">
        <v>1062</v>
      </c>
      <c r="C206" s="25" t="s">
        <v>519</v>
      </c>
      <c r="D206" s="25" t="n">
        <v>20240906</v>
      </c>
      <c r="E206" s="25" t="n">
        <v>23</v>
      </c>
      <c r="F206" s="25" t="n">
        <v>31</v>
      </c>
      <c r="G206" s="25" t="s">
        <v>114</v>
      </c>
      <c r="H206" s="25" t="s">
        <v>2265</v>
      </c>
      <c r="I206" s="25" t="s">
        <v>94</v>
      </c>
      <c r="J206" s="25" t="s">
        <v>269</v>
      </c>
      <c r="K206" s="25" t="n">
        <v>5</v>
      </c>
      <c r="L206" s="25" t="n">
        <v>20098.63</v>
      </c>
      <c r="M206" s="25" t="n">
        <v>10</v>
      </c>
      <c r="N206" s="25" t="n">
        <v>100493.15</v>
      </c>
      <c r="O206" s="25" t="n">
        <v>10049.32</v>
      </c>
      <c r="P206" s="25" t="n">
        <v>90443.83</v>
      </c>
      <c r="Q206" s="27" t="b">
        <f aca="false">FALSE()</f>
        <v>0</v>
      </c>
      <c r="R206" s="27" t="b">
        <f aca="false">FALSE()</f>
        <v>0</v>
      </c>
      <c r="S206" s="27" t="b">
        <f aca="false">FALSE()</f>
        <v>0</v>
      </c>
    </row>
    <row r="207" customFormat="false" ht="15" hidden="false" customHeight="false" outlineLevel="0" collapsed="false">
      <c r="A207" s="25" t="n">
        <v>206</v>
      </c>
      <c r="B207" s="25" t="s">
        <v>1063</v>
      </c>
      <c r="C207" s="25" t="s">
        <v>516</v>
      </c>
      <c r="D207" s="25" t="n">
        <v>20240714</v>
      </c>
      <c r="E207" s="25" t="n">
        <v>125</v>
      </c>
      <c r="F207" s="25" t="n">
        <v>68</v>
      </c>
      <c r="G207" s="25" t="s">
        <v>115</v>
      </c>
      <c r="H207" s="25" t="s">
        <v>25</v>
      </c>
      <c r="I207" s="25" t="s">
        <v>83</v>
      </c>
      <c r="J207" s="25" t="s">
        <v>250</v>
      </c>
      <c r="K207" s="25" t="n">
        <v>1</v>
      </c>
      <c r="L207" s="25" t="n">
        <v>21978.46</v>
      </c>
      <c r="M207" s="25" t="n">
        <v>5</v>
      </c>
      <c r="N207" s="25" t="n">
        <v>21978.46</v>
      </c>
      <c r="O207" s="25" t="n">
        <v>1098.92</v>
      </c>
      <c r="P207" s="25" t="n">
        <v>20879.54</v>
      </c>
      <c r="Q207" s="27" t="b">
        <f aca="false">FALSE()</f>
        <v>0</v>
      </c>
      <c r="R207" s="27" t="b">
        <f aca="false">FALSE()</f>
        <v>0</v>
      </c>
      <c r="S207" s="27" t="b">
        <f aca="false">FALSE()</f>
        <v>0</v>
      </c>
    </row>
    <row r="208" customFormat="false" ht="15" hidden="false" customHeight="false" outlineLevel="0" collapsed="false">
      <c r="A208" s="25" t="n">
        <v>207</v>
      </c>
      <c r="B208" s="25" t="s">
        <v>1065</v>
      </c>
      <c r="C208" s="25" t="s">
        <v>516</v>
      </c>
      <c r="D208" s="25" t="n">
        <v>20240714</v>
      </c>
      <c r="E208" s="25" t="n">
        <v>125</v>
      </c>
      <c r="F208" s="25" t="n">
        <v>19</v>
      </c>
      <c r="G208" s="25" t="s">
        <v>115</v>
      </c>
      <c r="H208" s="25" t="s">
        <v>25</v>
      </c>
      <c r="I208" s="25" t="s">
        <v>83</v>
      </c>
      <c r="J208" s="25" t="s">
        <v>250</v>
      </c>
      <c r="K208" s="25" t="n">
        <v>1</v>
      </c>
      <c r="L208" s="25" t="n">
        <v>7877.61</v>
      </c>
      <c r="M208" s="25" t="n">
        <v>5</v>
      </c>
      <c r="N208" s="25" t="n">
        <v>7877.61</v>
      </c>
      <c r="O208" s="25" t="n">
        <v>393.88</v>
      </c>
      <c r="P208" s="25" t="n">
        <v>7483.73</v>
      </c>
      <c r="Q208" s="27" t="b">
        <f aca="false">FALSE()</f>
        <v>0</v>
      </c>
      <c r="R208" s="27" t="b">
        <f aca="false">FALSE()</f>
        <v>0</v>
      </c>
      <c r="S208" s="27" t="b">
        <f aca="false">FALSE()</f>
        <v>0</v>
      </c>
    </row>
    <row r="209" customFormat="false" ht="15" hidden="false" customHeight="false" outlineLevel="0" collapsed="false">
      <c r="A209" s="25" t="n">
        <v>208</v>
      </c>
      <c r="B209" s="25" t="s">
        <v>1066</v>
      </c>
      <c r="C209" s="25" t="s">
        <v>516</v>
      </c>
      <c r="D209" s="25" t="n">
        <v>20240714</v>
      </c>
      <c r="E209" s="25" t="n">
        <v>125</v>
      </c>
      <c r="F209" s="25" t="n">
        <v>36</v>
      </c>
      <c r="G209" s="25" t="s">
        <v>115</v>
      </c>
      <c r="H209" s="25" t="s">
        <v>25</v>
      </c>
      <c r="I209" s="25" t="s">
        <v>83</v>
      </c>
      <c r="J209" s="25" t="s">
        <v>250</v>
      </c>
      <c r="K209" s="25" t="n">
        <v>2</v>
      </c>
      <c r="L209" s="25" t="n">
        <v>4574.41</v>
      </c>
      <c r="M209" s="25" t="n">
        <v>5</v>
      </c>
      <c r="N209" s="25" t="n">
        <v>9148.82</v>
      </c>
      <c r="O209" s="25" t="n">
        <v>457.44</v>
      </c>
      <c r="P209" s="25" t="n">
        <v>8691.38</v>
      </c>
      <c r="Q209" s="27" t="b">
        <f aca="false">FALSE()</f>
        <v>0</v>
      </c>
      <c r="R209" s="27" t="b">
        <f aca="false">FALSE()</f>
        <v>0</v>
      </c>
      <c r="S209" s="27" t="b">
        <f aca="false">FALSE()</f>
        <v>0</v>
      </c>
    </row>
    <row r="210" customFormat="false" ht="15" hidden="false" customHeight="false" outlineLevel="0" collapsed="false">
      <c r="A210" s="25" t="n">
        <v>209</v>
      </c>
      <c r="B210" s="25" t="s">
        <v>1067</v>
      </c>
      <c r="C210" s="25" t="s">
        <v>534</v>
      </c>
      <c r="D210" s="25" t="n">
        <v>20240907</v>
      </c>
      <c r="E210" s="25" t="n">
        <v>90</v>
      </c>
      <c r="F210" s="25" t="n">
        <v>54</v>
      </c>
      <c r="G210" s="25" t="s">
        <v>114</v>
      </c>
      <c r="H210" s="25" t="s">
        <v>25</v>
      </c>
      <c r="I210" s="25" t="s">
        <v>71</v>
      </c>
      <c r="J210" s="25" t="s">
        <v>269</v>
      </c>
      <c r="K210" s="25" t="n">
        <v>1</v>
      </c>
      <c r="L210" s="25" t="n">
        <v>20481.04</v>
      </c>
      <c r="M210" s="25" t="n">
        <v>5</v>
      </c>
      <c r="N210" s="25" t="n">
        <v>20481.04</v>
      </c>
      <c r="O210" s="25" t="n">
        <v>1024.05</v>
      </c>
      <c r="P210" s="25" t="n">
        <v>19456.99</v>
      </c>
      <c r="Q210" s="27" t="b">
        <f aca="false">FALSE()</f>
        <v>0</v>
      </c>
      <c r="R210" s="27" t="b">
        <f aca="false">FALSE()</f>
        <v>0</v>
      </c>
      <c r="S210" s="27" t="b">
        <f aca="false">FALSE()</f>
        <v>0</v>
      </c>
    </row>
    <row r="211" customFormat="false" ht="15" hidden="false" customHeight="false" outlineLevel="0" collapsed="false">
      <c r="A211" s="25" t="n">
        <v>210</v>
      </c>
      <c r="B211" s="25" t="s">
        <v>1069</v>
      </c>
      <c r="C211" s="25" t="s">
        <v>534</v>
      </c>
      <c r="D211" s="25" t="n">
        <v>20240907</v>
      </c>
      <c r="E211" s="25" t="n">
        <v>90</v>
      </c>
      <c r="F211" s="25" t="n">
        <v>31</v>
      </c>
      <c r="G211" s="25" t="s">
        <v>114</v>
      </c>
      <c r="H211" s="25" t="s">
        <v>25</v>
      </c>
      <c r="I211" s="25" t="s">
        <v>71</v>
      </c>
      <c r="J211" s="25" t="s">
        <v>269</v>
      </c>
      <c r="K211" s="25" t="n">
        <v>3</v>
      </c>
      <c r="L211" s="25" t="n">
        <v>20098.63</v>
      </c>
      <c r="M211" s="25" t="n">
        <v>0</v>
      </c>
      <c r="N211" s="25" t="n">
        <v>60295.89</v>
      </c>
      <c r="O211" s="25" t="n">
        <v>0</v>
      </c>
      <c r="P211" s="25" t="n">
        <v>60295.89</v>
      </c>
      <c r="Q211" s="27" t="b">
        <f aca="false">FALSE()</f>
        <v>0</v>
      </c>
      <c r="R211" s="27" t="b">
        <f aca="false">FALSE()</f>
        <v>0</v>
      </c>
      <c r="S211" s="27" t="b">
        <f aca="false">FALSE()</f>
        <v>0</v>
      </c>
    </row>
    <row r="212" customFormat="false" ht="15" hidden="false" customHeight="false" outlineLevel="0" collapsed="false">
      <c r="A212" s="25" t="n">
        <v>211</v>
      </c>
      <c r="B212" s="25" t="s">
        <v>1070</v>
      </c>
      <c r="C212" s="25" t="s">
        <v>534</v>
      </c>
      <c r="D212" s="25" t="n">
        <v>20240907</v>
      </c>
      <c r="E212" s="25" t="n">
        <v>90</v>
      </c>
      <c r="F212" s="25" t="n">
        <v>46</v>
      </c>
      <c r="G212" s="25" t="s">
        <v>114</v>
      </c>
      <c r="H212" s="25" t="s">
        <v>25</v>
      </c>
      <c r="I212" s="25" t="s">
        <v>71</v>
      </c>
      <c r="J212" s="25" t="s">
        <v>269</v>
      </c>
      <c r="K212" s="25" t="n">
        <v>1</v>
      </c>
      <c r="L212" s="25" t="n">
        <v>15383.27</v>
      </c>
      <c r="M212" s="25" t="n">
        <v>15</v>
      </c>
      <c r="N212" s="25" t="n">
        <v>15383.27</v>
      </c>
      <c r="O212" s="25" t="n">
        <v>2307.49</v>
      </c>
      <c r="P212" s="25" t="n">
        <v>13075.78</v>
      </c>
      <c r="Q212" s="27" t="b">
        <f aca="false">FALSE()</f>
        <v>0</v>
      </c>
      <c r="R212" s="27" t="b">
        <f aca="false">FALSE()</f>
        <v>0</v>
      </c>
      <c r="S212" s="27" t="b">
        <f aca="false">FALSE()</f>
        <v>0</v>
      </c>
    </row>
    <row r="213" customFormat="false" ht="15" hidden="false" customHeight="false" outlineLevel="0" collapsed="false">
      <c r="A213" s="25" t="n">
        <v>212</v>
      </c>
      <c r="B213" s="25" t="s">
        <v>1071</v>
      </c>
      <c r="C213" s="25" t="s">
        <v>534</v>
      </c>
      <c r="D213" s="25" t="n">
        <v>20240907</v>
      </c>
      <c r="E213" s="25" t="n">
        <v>90</v>
      </c>
      <c r="F213" s="25" t="n">
        <v>61</v>
      </c>
      <c r="G213" s="25" t="s">
        <v>114</v>
      </c>
      <c r="H213" s="25" t="s">
        <v>25</v>
      </c>
      <c r="I213" s="25" t="s">
        <v>71</v>
      </c>
      <c r="J213" s="25" t="s">
        <v>269</v>
      </c>
      <c r="K213" s="25" t="n">
        <v>2</v>
      </c>
      <c r="L213" s="25" t="n">
        <v>8318.56</v>
      </c>
      <c r="M213" s="25" t="n">
        <v>0</v>
      </c>
      <c r="N213" s="25" t="n">
        <v>16637.12</v>
      </c>
      <c r="O213" s="25" t="n">
        <v>0</v>
      </c>
      <c r="P213" s="25" t="n">
        <v>16637.12</v>
      </c>
      <c r="Q213" s="27" t="b">
        <f aca="false">FALSE()</f>
        <v>0</v>
      </c>
      <c r="R213" s="27" t="b">
        <f aca="false">FALSE()</f>
        <v>0</v>
      </c>
      <c r="S213" s="27" t="b">
        <f aca="false">FALSE()</f>
        <v>0</v>
      </c>
    </row>
    <row r="214" customFormat="false" ht="15" hidden="false" customHeight="false" outlineLevel="0" collapsed="false">
      <c r="A214" s="25" t="n">
        <v>213</v>
      </c>
      <c r="B214" s="25" t="s">
        <v>1072</v>
      </c>
      <c r="C214" s="25" t="s">
        <v>393</v>
      </c>
      <c r="D214" s="25" t="n">
        <v>20240428</v>
      </c>
      <c r="E214" s="25" t="n">
        <v>18</v>
      </c>
      <c r="F214" s="25" t="n">
        <v>67</v>
      </c>
      <c r="G214" s="25" t="s">
        <v>115</v>
      </c>
      <c r="H214" s="25" t="s">
        <v>25</v>
      </c>
      <c r="I214" s="25" t="s">
        <v>1738</v>
      </c>
      <c r="J214" s="25" t="s">
        <v>246</v>
      </c>
      <c r="K214" s="25" t="n">
        <v>3</v>
      </c>
      <c r="L214" s="25" t="n">
        <v>14595.44</v>
      </c>
      <c r="M214" s="25" t="n">
        <v>20</v>
      </c>
      <c r="N214" s="25" t="n">
        <v>43786.32</v>
      </c>
      <c r="O214" s="25" t="n">
        <v>8757.26</v>
      </c>
      <c r="P214" s="25" t="n">
        <v>35029.06</v>
      </c>
      <c r="Q214" s="27" t="b">
        <f aca="false">FALSE()</f>
        <v>0</v>
      </c>
      <c r="R214" s="27" t="b">
        <f aca="false">FALSE()</f>
        <v>0</v>
      </c>
      <c r="S214" s="27" t="b">
        <f aca="false">FALSE()</f>
        <v>0</v>
      </c>
    </row>
    <row r="215" customFormat="false" ht="15" hidden="false" customHeight="false" outlineLevel="0" collapsed="false">
      <c r="A215" s="25" t="n">
        <v>214</v>
      </c>
      <c r="B215" s="25" t="s">
        <v>1074</v>
      </c>
      <c r="C215" s="25" t="s">
        <v>393</v>
      </c>
      <c r="D215" s="25" t="n">
        <v>20240428</v>
      </c>
      <c r="E215" s="25" t="n">
        <v>18</v>
      </c>
      <c r="F215" s="25" t="n">
        <v>21</v>
      </c>
      <c r="G215" s="25" t="s">
        <v>115</v>
      </c>
      <c r="H215" s="25" t="s">
        <v>25</v>
      </c>
      <c r="I215" s="25" t="s">
        <v>1738</v>
      </c>
      <c r="J215" s="25" t="s">
        <v>246</v>
      </c>
      <c r="K215" s="25" t="n">
        <v>3</v>
      </c>
      <c r="L215" s="25" t="n">
        <v>3184.81</v>
      </c>
      <c r="M215" s="25" t="n">
        <v>0</v>
      </c>
      <c r="N215" s="25" t="n">
        <v>9554.43</v>
      </c>
      <c r="O215" s="25" t="n">
        <v>0</v>
      </c>
      <c r="P215" s="25" t="n">
        <v>9554.43</v>
      </c>
      <c r="Q215" s="27" t="b">
        <f aca="false">FALSE()</f>
        <v>0</v>
      </c>
      <c r="R215" s="27" t="b">
        <f aca="false">FALSE()</f>
        <v>0</v>
      </c>
      <c r="S215" s="27" t="b">
        <f aca="false">FALSE()</f>
        <v>0</v>
      </c>
    </row>
    <row r="216" customFormat="false" ht="15" hidden="false" customHeight="false" outlineLevel="0" collapsed="false">
      <c r="A216" s="25" t="n">
        <v>215</v>
      </c>
      <c r="B216" s="25" t="s">
        <v>1075</v>
      </c>
      <c r="C216" s="25" t="s">
        <v>289</v>
      </c>
      <c r="D216" s="25" t="n">
        <v>20250530</v>
      </c>
      <c r="E216" s="25" t="n">
        <v>61</v>
      </c>
      <c r="F216" s="25" t="n">
        <v>69</v>
      </c>
      <c r="G216" s="25" t="s">
        <v>113</v>
      </c>
      <c r="H216" s="25" t="s">
        <v>25</v>
      </c>
      <c r="I216" s="25" t="s">
        <v>79</v>
      </c>
      <c r="J216" s="25" t="s">
        <v>250</v>
      </c>
      <c r="K216" s="25" t="n">
        <v>5</v>
      </c>
      <c r="L216" s="25" t="n">
        <v>25742.49</v>
      </c>
      <c r="M216" s="25" t="n">
        <v>5</v>
      </c>
      <c r="N216" s="25" t="n">
        <v>128712.45</v>
      </c>
      <c r="O216" s="25" t="n">
        <v>6435.62</v>
      </c>
      <c r="P216" s="25" t="n">
        <v>122276.83</v>
      </c>
      <c r="Q216" s="27" t="b">
        <f aca="false">FALSE()</f>
        <v>0</v>
      </c>
      <c r="R216" s="27" t="b">
        <f aca="false">FALSE()</f>
        <v>0</v>
      </c>
      <c r="S216" s="27" t="b">
        <f aca="false">FALSE()</f>
        <v>0</v>
      </c>
    </row>
    <row r="217" customFormat="false" ht="15" hidden="false" customHeight="false" outlineLevel="0" collapsed="false">
      <c r="A217" s="25" t="n">
        <v>216</v>
      </c>
      <c r="B217" s="25" t="s">
        <v>1076</v>
      </c>
      <c r="C217" s="25" t="s">
        <v>289</v>
      </c>
      <c r="D217" s="25" t="n">
        <v>20250530</v>
      </c>
      <c r="E217" s="25" t="n">
        <v>61</v>
      </c>
      <c r="F217" s="25" t="n">
        <v>34</v>
      </c>
      <c r="G217" s="25" t="s">
        <v>113</v>
      </c>
      <c r="H217" s="25" t="s">
        <v>25</v>
      </c>
      <c r="I217" s="25" t="s">
        <v>79</v>
      </c>
      <c r="J217" s="25" t="s">
        <v>250</v>
      </c>
      <c r="K217" s="25" t="n">
        <v>4</v>
      </c>
      <c r="L217" s="25" t="n">
        <v>11932.31</v>
      </c>
      <c r="M217" s="25" t="n">
        <v>5</v>
      </c>
      <c r="N217" s="25" t="n">
        <v>47729.24</v>
      </c>
      <c r="O217" s="25" t="n">
        <v>2386.46</v>
      </c>
      <c r="P217" s="25" t="n">
        <v>45342.78</v>
      </c>
      <c r="Q217" s="27" t="b">
        <f aca="false">FALSE()</f>
        <v>0</v>
      </c>
      <c r="R217" s="27" t="b">
        <f aca="false">FALSE()</f>
        <v>0</v>
      </c>
      <c r="S217" s="27" t="b">
        <f aca="false">FALSE()</f>
        <v>0</v>
      </c>
    </row>
    <row r="218" customFormat="false" ht="15" hidden="false" customHeight="false" outlineLevel="0" collapsed="false">
      <c r="A218" s="25" t="n">
        <v>217</v>
      </c>
      <c r="B218" s="25" t="s">
        <v>1077</v>
      </c>
      <c r="C218" s="25" t="s">
        <v>289</v>
      </c>
      <c r="D218" s="25" t="n">
        <v>20250530</v>
      </c>
      <c r="E218" s="25" t="n">
        <v>61</v>
      </c>
      <c r="F218" s="25" t="n">
        <v>36</v>
      </c>
      <c r="G218" s="25" t="s">
        <v>113</v>
      </c>
      <c r="H218" s="25" t="s">
        <v>25</v>
      </c>
      <c r="I218" s="25" t="s">
        <v>79</v>
      </c>
      <c r="J218" s="25" t="s">
        <v>250</v>
      </c>
      <c r="K218" s="25" t="n">
        <v>2</v>
      </c>
      <c r="L218" s="25" t="n">
        <v>4574.41</v>
      </c>
      <c r="M218" s="25" t="n">
        <v>15</v>
      </c>
      <c r="N218" s="25" t="n">
        <v>9148.82</v>
      </c>
      <c r="O218" s="25" t="n">
        <v>1372.32</v>
      </c>
      <c r="P218" s="25" t="n">
        <v>7776.5</v>
      </c>
      <c r="Q218" s="27" t="b">
        <f aca="false">FALSE()</f>
        <v>0</v>
      </c>
      <c r="R218" s="27" t="b">
        <f aca="false">FALSE()</f>
        <v>0</v>
      </c>
      <c r="S218" s="27" t="b">
        <f aca="false">FALSE()</f>
        <v>0</v>
      </c>
    </row>
    <row r="219" customFormat="false" ht="15" hidden="false" customHeight="false" outlineLevel="0" collapsed="false">
      <c r="A219" s="25" t="n">
        <v>218</v>
      </c>
      <c r="B219" s="25" t="s">
        <v>1078</v>
      </c>
      <c r="C219" s="25" t="s">
        <v>514</v>
      </c>
      <c r="D219" s="25" t="n">
        <v>20240701</v>
      </c>
      <c r="E219" s="25" t="n">
        <v>64</v>
      </c>
      <c r="F219" s="25" t="n">
        <v>61</v>
      </c>
      <c r="G219" s="25" t="s">
        <v>113</v>
      </c>
      <c r="H219" s="25" t="s">
        <v>25</v>
      </c>
      <c r="I219" s="25" t="s">
        <v>89</v>
      </c>
      <c r="J219" s="25" t="s">
        <v>242</v>
      </c>
      <c r="K219" s="25" t="n">
        <v>5</v>
      </c>
      <c r="L219" s="25" t="n">
        <v>8318.56</v>
      </c>
      <c r="M219" s="25" t="n">
        <v>15</v>
      </c>
      <c r="N219" s="25" t="n">
        <v>41592.8</v>
      </c>
      <c r="O219" s="25" t="n">
        <v>6238.92</v>
      </c>
      <c r="P219" s="25" t="n">
        <v>35353.88</v>
      </c>
      <c r="Q219" s="27" t="b">
        <f aca="false">FALSE()</f>
        <v>0</v>
      </c>
      <c r="R219" s="27" t="b">
        <f aca="false">FALSE()</f>
        <v>0</v>
      </c>
      <c r="S219" s="27" t="b">
        <f aca="false">FALSE()</f>
        <v>0</v>
      </c>
    </row>
    <row r="220" customFormat="false" ht="15" hidden="false" customHeight="false" outlineLevel="0" collapsed="false">
      <c r="A220" s="25" t="n">
        <v>219</v>
      </c>
      <c r="B220" s="25" t="s">
        <v>1080</v>
      </c>
      <c r="C220" s="25" t="s">
        <v>514</v>
      </c>
      <c r="D220" s="25" t="n">
        <v>20240701</v>
      </c>
      <c r="E220" s="25" t="n">
        <v>64</v>
      </c>
      <c r="F220" s="25" t="n">
        <v>22</v>
      </c>
      <c r="G220" s="25" t="s">
        <v>113</v>
      </c>
      <c r="H220" s="25" t="s">
        <v>25</v>
      </c>
      <c r="I220" s="25" t="s">
        <v>89</v>
      </c>
      <c r="J220" s="25" t="s">
        <v>242</v>
      </c>
      <c r="K220" s="25" t="n">
        <v>5</v>
      </c>
      <c r="L220" s="25" t="n">
        <v>19552.29</v>
      </c>
      <c r="M220" s="25" t="n">
        <v>20</v>
      </c>
      <c r="N220" s="25" t="n">
        <v>97761.45</v>
      </c>
      <c r="O220" s="25" t="n">
        <v>19552.29</v>
      </c>
      <c r="P220" s="25" t="n">
        <v>78209.16</v>
      </c>
      <c r="Q220" s="27" t="b">
        <f aca="false">FALSE()</f>
        <v>0</v>
      </c>
      <c r="R220" s="27" t="b">
        <f aca="false">FALSE()</f>
        <v>0</v>
      </c>
      <c r="S220" s="27" t="b">
        <f aca="false">FALSE()</f>
        <v>0</v>
      </c>
    </row>
    <row r="221" customFormat="false" ht="15" hidden="false" customHeight="false" outlineLevel="0" collapsed="false">
      <c r="A221" s="25" t="n">
        <v>220</v>
      </c>
      <c r="B221" s="25" t="s">
        <v>1081</v>
      </c>
      <c r="C221" s="25" t="s">
        <v>525</v>
      </c>
      <c r="D221" s="25" t="n">
        <v>20240917</v>
      </c>
      <c r="E221" s="25" t="n">
        <v>156</v>
      </c>
      <c r="F221" s="25" t="n">
        <v>53</v>
      </c>
      <c r="G221" s="25" t="s">
        <v>114</v>
      </c>
      <c r="H221" s="25" t="s">
        <v>25</v>
      </c>
      <c r="I221" s="25" t="s">
        <v>83</v>
      </c>
      <c r="J221" s="25" t="s">
        <v>242</v>
      </c>
      <c r="K221" s="25" t="n">
        <v>1</v>
      </c>
      <c r="L221" s="25" t="n">
        <v>7313.65</v>
      </c>
      <c r="M221" s="25" t="n">
        <v>0</v>
      </c>
      <c r="N221" s="25" t="n">
        <v>7313.65</v>
      </c>
      <c r="O221" s="25" t="n">
        <v>0</v>
      </c>
      <c r="P221" s="25" t="n">
        <v>7313.65</v>
      </c>
      <c r="Q221" s="27" t="b">
        <f aca="false">FALSE()</f>
        <v>0</v>
      </c>
      <c r="R221" s="27" t="b">
        <f aca="false">FALSE()</f>
        <v>0</v>
      </c>
      <c r="S221" s="27" t="b">
        <f aca="false">FALSE()</f>
        <v>0</v>
      </c>
    </row>
    <row r="222" customFormat="false" ht="15" hidden="false" customHeight="false" outlineLevel="0" collapsed="false">
      <c r="A222" s="25" t="n">
        <v>221</v>
      </c>
      <c r="B222" s="25" t="s">
        <v>1083</v>
      </c>
      <c r="C222" s="25" t="s">
        <v>383</v>
      </c>
      <c r="D222" s="25" t="n">
        <v>20240106</v>
      </c>
      <c r="E222" s="25" t="n">
        <v>44</v>
      </c>
      <c r="F222" s="25" t="n">
        <v>44</v>
      </c>
      <c r="G222" s="25" t="s">
        <v>115</v>
      </c>
      <c r="H222" s="25" t="s">
        <v>2266</v>
      </c>
      <c r="I222" s="25" t="s">
        <v>89</v>
      </c>
      <c r="J222" s="25" t="s">
        <v>242</v>
      </c>
      <c r="K222" s="25" t="n">
        <v>3</v>
      </c>
      <c r="L222" s="25" t="n">
        <v>22655.14</v>
      </c>
      <c r="M222" s="25" t="n">
        <v>20</v>
      </c>
      <c r="N222" s="25" t="n">
        <v>67965.42</v>
      </c>
      <c r="O222" s="25" t="n">
        <v>13593.08</v>
      </c>
      <c r="P222" s="25" t="n">
        <v>54372.34</v>
      </c>
      <c r="Q222" s="27" t="b">
        <f aca="false">FALSE()</f>
        <v>0</v>
      </c>
      <c r="R222" s="27" t="b">
        <f aca="false">FALSE()</f>
        <v>0</v>
      </c>
      <c r="S222" s="27" t="b">
        <f aca="false">FALSE()</f>
        <v>0</v>
      </c>
    </row>
    <row r="223" customFormat="false" ht="15" hidden="false" customHeight="false" outlineLevel="0" collapsed="false">
      <c r="A223" s="25" t="n">
        <v>222</v>
      </c>
      <c r="B223" s="25" t="s">
        <v>1085</v>
      </c>
      <c r="C223" s="25" t="s">
        <v>383</v>
      </c>
      <c r="D223" s="25" t="n">
        <v>20240106</v>
      </c>
      <c r="E223" s="25" t="n">
        <v>44</v>
      </c>
      <c r="F223" s="25" t="n">
        <v>31</v>
      </c>
      <c r="G223" s="25" t="s">
        <v>115</v>
      </c>
      <c r="H223" s="25" t="s">
        <v>2266</v>
      </c>
      <c r="I223" s="25" t="s">
        <v>89</v>
      </c>
      <c r="J223" s="25" t="s">
        <v>242</v>
      </c>
      <c r="K223" s="25" t="n">
        <v>4</v>
      </c>
      <c r="L223" s="25" t="n">
        <v>20098.63</v>
      </c>
      <c r="M223" s="25" t="n">
        <v>15</v>
      </c>
      <c r="N223" s="25" t="n">
        <v>80394.52</v>
      </c>
      <c r="O223" s="25" t="n">
        <v>12059.18</v>
      </c>
      <c r="P223" s="25" t="n">
        <v>68335.34</v>
      </c>
      <c r="Q223" s="27" t="b">
        <f aca="false">FALSE()</f>
        <v>0</v>
      </c>
      <c r="R223" s="27" t="b">
        <f aca="false">FALSE()</f>
        <v>0</v>
      </c>
      <c r="S223" s="27" t="b">
        <f aca="false">FALSE()</f>
        <v>0</v>
      </c>
    </row>
    <row r="224" customFormat="false" ht="15" hidden="false" customHeight="false" outlineLevel="0" collapsed="false">
      <c r="A224" s="25" t="n">
        <v>223</v>
      </c>
      <c r="B224" s="25" t="s">
        <v>1086</v>
      </c>
      <c r="C224" s="25" t="s">
        <v>409</v>
      </c>
      <c r="D224" s="25" t="n">
        <v>20241027</v>
      </c>
      <c r="E224" s="25" t="n">
        <v>102</v>
      </c>
      <c r="F224" s="25" t="n">
        <v>50</v>
      </c>
      <c r="G224" s="25" t="s">
        <v>113</v>
      </c>
      <c r="H224" s="25" t="s">
        <v>25</v>
      </c>
      <c r="I224" s="25" t="s">
        <v>1738</v>
      </c>
      <c r="J224" s="25" t="s">
        <v>269</v>
      </c>
      <c r="K224" s="25" t="n">
        <v>1</v>
      </c>
      <c r="L224" s="25" t="n">
        <v>22582.54</v>
      </c>
      <c r="M224" s="25" t="n">
        <v>20</v>
      </c>
      <c r="N224" s="25" t="n">
        <v>22582.54</v>
      </c>
      <c r="O224" s="25" t="n">
        <v>4516.51</v>
      </c>
      <c r="P224" s="25" t="n">
        <v>18066.03</v>
      </c>
      <c r="Q224" s="27" t="b">
        <f aca="false">FALSE()</f>
        <v>0</v>
      </c>
      <c r="R224" s="27" t="b">
        <f aca="false">FALSE()</f>
        <v>0</v>
      </c>
      <c r="S224" s="27" t="b">
        <f aca="false">FALSE()</f>
        <v>0</v>
      </c>
    </row>
    <row r="225" customFormat="false" ht="15" hidden="false" customHeight="false" outlineLevel="0" collapsed="false">
      <c r="A225" s="25" t="n">
        <v>224</v>
      </c>
      <c r="B225" s="25" t="s">
        <v>1088</v>
      </c>
      <c r="C225" s="25" t="s">
        <v>409</v>
      </c>
      <c r="D225" s="25" t="n">
        <v>20241027</v>
      </c>
      <c r="E225" s="25" t="n">
        <v>102</v>
      </c>
      <c r="F225" s="25" t="n">
        <v>20</v>
      </c>
      <c r="G225" s="25" t="s">
        <v>113</v>
      </c>
      <c r="H225" s="25" t="s">
        <v>25</v>
      </c>
      <c r="I225" s="25" t="s">
        <v>1738</v>
      </c>
      <c r="J225" s="25" t="s">
        <v>269</v>
      </c>
      <c r="K225" s="25" t="n">
        <v>2</v>
      </c>
      <c r="L225" s="25" t="n">
        <v>3634.57</v>
      </c>
      <c r="M225" s="25" t="n">
        <v>20</v>
      </c>
      <c r="N225" s="25" t="n">
        <v>7269.14</v>
      </c>
      <c r="O225" s="25" t="n">
        <v>1453.83</v>
      </c>
      <c r="P225" s="25" t="n">
        <v>5815.31</v>
      </c>
      <c r="Q225" s="27" t="b">
        <f aca="false">FALSE()</f>
        <v>0</v>
      </c>
      <c r="R225" s="27" t="b">
        <f aca="false">FALSE()</f>
        <v>0</v>
      </c>
      <c r="S225" s="27" t="b">
        <f aca="false">FALSE()</f>
        <v>0</v>
      </c>
    </row>
    <row r="226" customFormat="false" ht="15" hidden="false" customHeight="false" outlineLevel="0" collapsed="false">
      <c r="A226" s="25" t="n">
        <v>225</v>
      </c>
      <c r="B226" s="25" t="s">
        <v>1089</v>
      </c>
      <c r="C226" s="25" t="s">
        <v>409</v>
      </c>
      <c r="D226" s="25" t="n">
        <v>20241027</v>
      </c>
      <c r="E226" s="25" t="n">
        <v>102</v>
      </c>
      <c r="F226" s="25" t="n">
        <v>60</v>
      </c>
      <c r="G226" s="25" t="s">
        <v>113</v>
      </c>
      <c r="H226" s="25" t="s">
        <v>25</v>
      </c>
      <c r="I226" s="25" t="s">
        <v>1738</v>
      </c>
      <c r="J226" s="25" t="s">
        <v>269</v>
      </c>
      <c r="K226" s="25" t="n">
        <v>2</v>
      </c>
      <c r="L226" s="25" t="n">
        <v>11569.57</v>
      </c>
      <c r="M226" s="25" t="n">
        <v>0</v>
      </c>
      <c r="N226" s="25" t="n">
        <v>23139.14</v>
      </c>
      <c r="O226" s="25" t="n">
        <v>0</v>
      </c>
      <c r="P226" s="25" t="n">
        <v>23139.14</v>
      </c>
      <c r="Q226" s="27" t="b">
        <f aca="false">FALSE()</f>
        <v>0</v>
      </c>
      <c r="R226" s="27" t="b">
        <f aca="false">FALSE()</f>
        <v>0</v>
      </c>
      <c r="S226" s="27" t="b">
        <f aca="false">FALSE()</f>
        <v>0</v>
      </c>
    </row>
    <row r="227" customFormat="false" ht="15" hidden="false" customHeight="false" outlineLevel="0" collapsed="false">
      <c r="A227" s="25" t="n">
        <v>226</v>
      </c>
      <c r="B227" s="25" t="s">
        <v>1090</v>
      </c>
      <c r="C227" s="25" t="s">
        <v>375</v>
      </c>
      <c r="D227" s="25" t="n">
        <v>20240520</v>
      </c>
      <c r="E227" s="25" t="n">
        <v>62</v>
      </c>
      <c r="F227" s="25" t="n">
        <v>37</v>
      </c>
      <c r="G227" s="25" t="s">
        <v>114</v>
      </c>
      <c r="H227" s="25" t="s">
        <v>25</v>
      </c>
      <c r="I227" s="25" t="s">
        <v>79</v>
      </c>
      <c r="J227" s="25" t="s">
        <v>269</v>
      </c>
      <c r="K227" s="25" t="n">
        <v>1</v>
      </c>
      <c r="L227" s="25" t="n">
        <v>16084.14</v>
      </c>
      <c r="M227" s="25" t="n">
        <v>0</v>
      </c>
      <c r="N227" s="25" t="n">
        <v>16084.14</v>
      </c>
      <c r="O227" s="25" t="n">
        <v>0</v>
      </c>
      <c r="P227" s="25" t="n">
        <v>16084.14</v>
      </c>
      <c r="Q227" s="27" t="b">
        <f aca="false">FALSE()</f>
        <v>0</v>
      </c>
      <c r="R227" s="27" t="b">
        <f aca="false">FALSE()</f>
        <v>0</v>
      </c>
      <c r="S227" s="27" t="b">
        <f aca="false">FALSE()</f>
        <v>0</v>
      </c>
    </row>
    <row r="228" customFormat="false" ht="15" hidden="false" customHeight="false" outlineLevel="0" collapsed="false">
      <c r="A228" s="25" t="n">
        <v>227</v>
      </c>
      <c r="B228" s="25" t="s">
        <v>1092</v>
      </c>
      <c r="C228" s="25" t="s">
        <v>339</v>
      </c>
      <c r="D228" s="25" t="n">
        <v>20241118</v>
      </c>
      <c r="E228" s="25" t="n">
        <v>23</v>
      </c>
      <c r="F228" s="25" t="n">
        <v>26</v>
      </c>
      <c r="G228" s="25" t="s">
        <v>114</v>
      </c>
      <c r="H228" s="25" t="s">
        <v>25</v>
      </c>
      <c r="I228" s="25" t="s">
        <v>83</v>
      </c>
      <c r="J228" s="25" t="s">
        <v>242</v>
      </c>
      <c r="K228" s="25" t="n">
        <v>1</v>
      </c>
      <c r="L228" s="25" t="n">
        <v>13038.96</v>
      </c>
      <c r="M228" s="25" t="n">
        <v>0</v>
      </c>
      <c r="N228" s="25" t="n">
        <v>13038.96</v>
      </c>
      <c r="O228" s="25" t="n">
        <v>0</v>
      </c>
      <c r="P228" s="25" t="n">
        <v>13038.96</v>
      </c>
      <c r="Q228" s="27" t="b">
        <f aca="false">FALSE()</f>
        <v>0</v>
      </c>
      <c r="R228" s="27" t="b">
        <f aca="false">FALSE()</f>
        <v>0</v>
      </c>
      <c r="S228" s="27" t="b">
        <f aca="false">FALSE()</f>
        <v>0</v>
      </c>
    </row>
    <row r="229" customFormat="false" ht="15" hidden="false" customHeight="false" outlineLevel="0" collapsed="false">
      <c r="A229" s="25" t="n">
        <v>228</v>
      </c>
      <c r="B229" s="25" t="s">
        <v>1094</v>
      </c>
      <c r="C229" s="25" t="s">
        <v>509</v>
      </c>
      <c r="D229" s="25" t="n">
        <v>20240911</v>
      </c>
      <c r="E229" s="25" t="n">
        <v>-1</v>
      </c>
      <c r="F229" s="25" t="n">
        <v>39</v>
      </c>
      <c r="G229" s="25" t="s">
        <v>114</v>
      </c>
      <c r="H229" s="25" t="s">
        <v>25</v>
      </c>
      <c r="I229" s="25" t="s">
        <v>71</v>
      </c>
      <c r="J229" s="25" t="s">
        <v>242</v>
      </c>
      <c r="K229" s="25" t="n">
        <v>5</v>
      </c>
      <c r="L229" s="25" t="n">
        <v>5818.64</v>
      </c>
      <c r="M229" s="25" t="n">
        <v>15</v>
      </c>
      <c r="N229" s="25" t="n">
        <v>29093.2</v>
      </c>
      <c r="O229" s="25" t="n">
        <v>4363.98</v>
      </c>
      <c r="P229" s="25" t="n">
        <v>24729.22</v>
      </c>
      <c r="Q229" s="27" t="b">
        <f aca="false">FALSE()</f>
        <v>0</v>
      </c>
      <c r="R229" s="27" t="b">
        <f aca="false">FALSE()</f>
        <v>0</v>
      </c>
      <c r="S229" s="27" t="b">
        <f aca="false">FALSE()</f>
        <v>0</v>
      </c>
    </row>
    <row r="230" customFormat="false" ht="15" hidden="false" customHeight="false" outlineLevel="0" collapsed="false">
      <c r="A230" s="25" t="n">
        <v>229</v>
      </c>
      <c r="B230" s="25" t="s">
        <v>1095</v>
      </c>
      <c r="C230" s="25" t="s">
        <v>467</v>
      </c>
      <c r="D230" s="25" t="n">
        <v>20250526</v>
      </c>
      <c r="E230" s="25" t="n">
        <v>144</v>
      </c>
      <c r="F230" s="25" t="n">
        <v>68</v>
      </c>
      <c r="G230" s="25" t="s">
        <v>114</v>
      </c>
      <c r="H230" s="25" t="s">
        <v>2271</v>
      </c>
      <c r="I230" s="25" t="s">
        <v>1770</v>
      </c>
      <c r="J230" s="25" t="s">
        <v>242</v>
      </c>
      <c r="K230" s="25" t="n">
        <v>3</v>
      </c>
      <c r="L230" s="25" t="n">
        <v>21978.46</v>
      </c>
      <c r="M230" s="25" t="n">
        <v>0</v>
      </c>
      <c r="N230" s="25" t="n">
        <v>65935.38</v>
      </c>
      <c r="O230" s="25" t="n">
        <v>0</v>
      </c>
      <c r="P230" s="25" t="n">
        <v>65935.38</v>
      </c>
      <c r="Q230" s="27" t="b">
        <f aca="false">FALSE()</f>
        <v>0</v>
      </c>
      <c r="R230" s="27" t="b">
        <f aca="false">FALSE()</f>
        <v>0</v>
      </c>
      <c r="S230" s="27" t="b">
        <f aca="false">FALSE()</f>
        <v>0</v>
      </c>
    </row>
    <row r="231" customFormat="false" ht="15" hidden="false" customHeight="false" outlineLevel="0" collapsed="false">
      <c r="A231" s="25" t="n">
        <v>230</v>
      </c>
      <c r="B231" s="25" t="s">
        <v>1097</v>
      </c>
      <c r="C231" s="25" t="s">
        <v>414</v>
      </c>
      <c r="D231" s="25" t="n">
        <v>20240621</v>
      </c>
      <c r="E231" s="25" t="n">
        <v>122</v>
      </c>
      <c r="F231" s="25" t="n">
        <v>21</v>
      </c>
      <c r="G231" s="25" t="s">
        <v>115</v>
      </c>
      <c r="H231" s="25" t="s">
        <v>25</v>
      </c>
      <c r="I231" s="25" t="s">
        <v>1743</v>
      </c>
      <c r="J231" s="25" t="s">
        <v>242</v>
      </c>
      <c r="K231" s="25" t="n">
        <v>1</v>
      </c>
      <c r="L231" s="25" t="n">
        <v>3184.81</v>
      </c>
      <c r="M231" s="25" t="n">
        <v>0</v>
      </c>
      <c r="N231" s="25" t="n">
        <v>3184.81</v>
      </c>
      <c r="O231" s="25" t="n">
        <v>0</v>
      </c>
      <c r="P231" s="25" t="n">
        <v>3184.81</v>
      </c>
      <c r="Q231" s="27" t="b">
        <f aca="false">FALSE()</f>
        <v>0</v>
      </c>
      <c r="R231" s="27" t="b">
        <f aca="false">FALSE()</f>
        <v>0</v>
      </c>
      <c r="S231" s="27" t="b">
        <f aca="false">FALSE()</f>
        <v>0</v>
      </c>
    </row>
    <row r="232" customFormat="false" ht="15" hidden="false" customHeight="false" outlineLevel="0" collapsed="false">
      <c r="A232" s="25" t="n">
        <v>231</v>
      </c>
      <c r="B232" s="25" t="s">
        <v>1099</v>
      </c>
      <c r="C232" s="25" t="s">
        <v>532</v>
      </c>
      <c r="D232" s="25" t="n">
        <v>20250624</v>
      </c>
      <c r="E232" s="25" t="n">
        <v>151</v>
      </c>
      <c r="F232" s="25" t="n">
        <v>47</v>
      </c>
      <c r="G232" s="25" t="s">
        <v>115</v>
      </c>
      <c r="H232" s="25" t="s">
        <v>2272</v>
      </c>
      <c r="I232" s="25" t="s">
        <v>1738</v>
      </c>
      <c r="J232" s="25" t="s">
        <v>242</v>
      </c>
      <c r="K232" s="25" t="n">
        <v>3</v>
      </c>
      <c r="L232" s="25" t="n">
        <v>5145.55</v>
      </c>
      <c r="M232" s="25" t="n">
        <v>0</v>
      </c>
      <c r="N232" s="25" t="n">
        <v>15436.65</v>
      </c>
      <c r="O232" s="25" t="n">
        <v>0</v>
      </c>
      <c r="P232" s="25" t="n">
        <v>15436.65</v>
      </c>
      <c r="Q232" s="27" t="b">
        <f aca="false">FALSE()</f>
        <v>0</v>
      </c>
      <c r="R232" s="27" t="b">
        <f aca="false">FALSE()</f>
        <v>0</v>
      </c>
      <c r="S232" s="27" t="b">
        <f aca="false">FALSE()</f>
        <v>0</v>
      </c>
    </row>
    <row r="233" customFormat="false" ht="15" hidden="false" customHeight="false" outlineLevel="0" collapsed="false">
      <c r="A233" s="25" t="n">
        <v>232</v>
      </c>
      <c r="B233" s="25" t="s">
        <v>1101</v>
      </c>
      <c r="C233" s="25" t="s">
        <v>532</v>
      </c>
      <c r="D233" s="25" t="n">
        <v>20250624</v>
      </c>
      <c r="E233" s="25" t="n">
        <v>151</v>
      </c>
      <c r="F233" s="25" t="n">
        <v>59</v>
      </c>
      <c r="G233" s="25" t="s">
        <v>115</v>
      </c>
      <c r="H233" s="25" t="s">
        <v>2272</v>
      </c>
      <c r="I233" s="25" t="s">
        <v>1738</v>
      </c>
      <c r="J233" s="25" t="s">
        <v>242</v>
      </c>
      <c r="K233" s="25" t="n">
        <v>3</v>
      </c>
      <c r="L233" s="25" t="n">
        <v>18828.5</v>
      </c>
      <c r="M233" s="25" t="n">
        <v>15</v>
      </c>
      <c r="N233" s="25" t="n">
        <v>56485.5</v>
      </c>
      <c r="O233" s="25" t="n">
        <v>8472.83</v>
      </c>
      <c r="P233" s="25" t="n">
        <v>48012.67</v>
      </c>
      <c r="Q233" s="27" t="b">
        <f aca="false">FALSE()</f>
        <v>0</v>
      </c>
      <c r="R233" s="27" t="b">
        <f aca="false">FALSE()</f>
        <v>0</v>
      </c>
      <c r="S233" s="27" t="b">
        <f aca="false">FALSE()</f>
        <v>0</v>
      </c>
    </row>
    <row r="234" customFormat="false" ht="15" hidden="false" customHeight="false" outlineLevel="0" collapsed="false">
      <c r="A234" s="25" t="n">
        <v>233</v>
      </c>
      <c r="B234" s="25" t="s">
        <v>1102</v>
      </c>
      <c r="C234" s="25" t="s">
        <v>371</v>
      </c>
      <c r="D234" s="25" t="n">
        <v>20241111</v>
      </c>
      <c r="E234" s="25" t="n">
        <v>114</v>
      </c>
      <c r="F234" s="25" t="n">
        <v>43</v>
      </c>
      <c r="G234" s="25" t="s">
        <v>114</v>
      </c>
      <c r="H234" s="25" t="s">
        <v>2270</v>
      </c>
      <c r="I234" s="25" t="s">
        <v>1743</v>
      </c>
      <c r="J234" s="25" t="s">
        <v>269</v>
      </c>
      <c r="K234" s="25" t="n">
        <v>5</v>
      </c>
      <c r="L234" s="25" t="n">
        <v>4511.74</v>
      </c>
      <c r="M234" s="25" t="n">
        <v>20</v>
      </c>
      <c r="N234" s="25" t="n">
        <v>22558.7</v>
      </c>
      <c r="O234" s="25" t="n">
        <v>4511.74</v>
      </c>
      <c r="P234" s="25" t="n">
        <v>18046.96</v>
      </c>
      <c r="Q234" s="27" t="b">
        <f aca="false">FALSE()</f>
        <v>0</v>
      </c>
      <c r="R234" s="27" t="b">
        <f aca="false">FALSE()</f>
        <v>0</v>
      </c>
      <c r="S234" s="27" t="b">
        <f aca="false">FALSE()</f>
        <v>0</v>
      </c>
    </row>
    <row r="235" customFormat="false" ht="15" hidden="false" customHeight="false" outlineLevel="0" collapsed="false">
      <c r="A235" s="25" t="n">
        <v>234</v>
      </c>
      <c r="B235" s="25" t="s">
        <v>1104</v>
      </c>
      <c r="C235" s="25" t="s">
        <v>371</v>
      </c>
      <c r="D235" s="25" t="n">
        <v>20241111</v>
      </c>
      <c r="E235" s="25" t="n">
        <v>114</v>
      </c>
      <c r="F235" s="25" t="n">
        <v>48</v>
      </c>
      <c r="G235" s="25" t="s">
        <v>114</v>
      </c>
      <c r="H235" s="25" t="s">
        <v>2270</v>
      </c>
      <c r="I235" s="25" t="s">
        <v>1743</v>
      </c>
      <c r="J235" s="25" t="s">
        <v>269</v>
      </c>
      <c r="K235" s="25" t="n">
        <v>1</v>
      </c>
      <c r="L235" s="25" t="n">
        <v>25643.17</v>
      </c>
      <c r="M235" s="25" t="n">
        <v>0</v>
      </c>
      <c r="N235" s="25" t="n">
        <v>25643.17</v>
      </c>
      <c r="O235" s="25" t="n">
        <v>0</v>
      </c>
      <c r="P235" s="25" t="n">
        <v>25643.17</v>
      </c>
      <c r="Q235" s="27" t="b">
        <f aca="false">FALSE()</f>
        <v>0</v>
      </c>
      <c r="R235" s="27" t="b">
        <f aca="false">FALSE()</f>
        <v>0</v>
      </c>
      <c r="S235" s="27" t="b">
        <f aca="false">FALSE()</f>
        <v>0</v>
      </c>
    </row>
    <row r="236" customFormat="false" ht="15" hidden="false" customHeight="false" outlineLevel="0" collapsed="false">
      <c r="A236" s="25" t="n">
        <v>235</v>
      </c>
      <c r="B236" s="25" t="s">
        <v>1105</v>
      </c>
      <c r="C236" s="25" t="s">
        <v>371</v>
      </c>
      <c r="D236" s="25" t="n">
        <v>20241111</v>
      </c>
      <c r="E236" s="25" t="n">
        <v>114</v>
      </c>
      <c r="F236" s="25" t="n">
        <v>42</v>
      </c>
      <c r="G236" s="25" t="s">
        <v>114</v>
      </c>
      <c r="H236" s="25" t="s">
        <v>2270</v>
      </c>
      <c r="I236" s="25" t="s">
        <v>1743</v>
      </c>
      <c r="J236" s="25" t="s">
        <v>269</v>
      </c>
      <c r="K236" s="25" t="n">
        <v>2</v>
      </c>
      <c r="L236" s="25" t="n">
        <v>11284.39</v>
      </c>
      <c r="M236" s="25" t="n">
        <v>5</v>
      </c>
      <c r="N236" s="25" t="n">
        <v>22568.78</v>
      </c>
      <c r="O236" s="25" t="n">
        <v>1128.44</v>
      </c>
      <c r="P236" s="25" t="n">
        <v>21440.34</v>
      </c>
      <c r="Q236" s="27" t="b">
        <f aca="false">FALSE()</f>
        <v>0</v>
      </c>
      <c r="R236" s="27" t="b">
        <f aca="false">FALSE()</f>
        <v>0</v>
      </c>
      <c r="S236" s="27" t="b">
        <f aca="false">FALSE()</f>
        <v>0</v>
      </c>
    </row>
    <row r="237" customFormat="false" ht="15" hidden="false" customHeight="false" outlineLevel="0" collapsed="false">
      <c r="A237" s="25" t="n">
        <v>236</v>
      </c>
      <c r="B237" s="25" t="s">
        <v>1106</v>
      </c>
      <c r="C237" s="25" t="s">
        <v>452</v>
      </c>
      <c r="D237" s="25" t="n">
        <v>20240310</v>
      </c>
      <c r="E237" s="25" t="n">
        <v>27</v>
      </c>
      <c r="F237" s="25" t="n">
        <v>23</v>
      </c>
      <c r="G237" s="25" t="s">
        <v>113</v>
      </c>
      <c r="H237" s="25" t="s">
        <v>2263</v>
      </c>
      <c r="I237" s="25" t="s">
        <v>71</v>
      </c>
      <c r="J237" s="25" t="s">
        <v>246</v>
      </c>
      <c r="K237" s="25" t="n">
        <v>1</v>
      </c>
      <c r="L237" s="25" t="n">
        <v>3019.36</v>
      </c>
      <c r="M237" s="25" t="n">
        <v>0</v>
      </c>
      <c r="N237" s="25" t="n">
        <v>3019.36</v>
      </c>
      <c r="O237" s="25" t="n">
        <v>0</v>
      </c>
      <c r="P237" s="25" t="n">
        <v>3019.36</v>
      </c>
      <c r="Q237" s="27" t="b">
        <f aca="false">FALSE()</f>
        <v>0</v>
      </c>
      <c r="R237" s="27" t="b">
        <f aca="false">FALSE()</f>
        <v>0</v>
      </c>
      <c r="S237" s="27" t="b">
        <f aca="false">FALSE()</f>
        <v>0</v>
      </c>
    </row>
    <row r="238" customFormat="false" ht="15" hidden="false" customHeight="false" outlineLevel="0" collapsed="false">
      <c r="A238" s="25" t="n">
        <v>237</v>
      </c>
      <c r="B238" s="25" t="s">
        <v>1108</v>
      </c>
      <c r="C238" s="25" t="s">
        <v>452</v>
      </c>
      <c r="D238" s="25" t="n">
        <v>20240310</v>
      </c>
      <c r="E238" s="25" t="n">
        <v>27</v>
      </c>
      <c r="F238" s="25" t="n">
        <v>64</v>
      </c>
      <c r="G238" s="25" t="s">
        <v>113</v>
      </c>
      <c r="H238" s="25" t="s">
        <v>2263</v>
      </c>
      <c r="I238" s="25" t="s">
        <v>71</v>
      </c>
      <c r="J238" s="25" t="s">
        <v>246</v>
      </c>
      <c r="K238" s="25" t="n">
        <v>4</v>
      </c>
      <c r="L238" s="25" t="n">
        <v>11089.19</v>
      </c>
      <c r="M238" s="25" t="n">
        <v>5</v>
      </c>
      <c r="N238" s="25" t="n">
        <v>44356.76</v>
      </c>
      <c r="O238" s="25" t="n">
        <v>2217.84</v>
      </c>
      <c r="P238" s="25" t="n">
        <v>42138.92</v>
      </c>
      <c r="Q238" s="27" t="b">
        <f aca="false">FALSE()</f>
        <v>0</v>
      </c>
      <c r="R238" s="27" t="b">
        <f aca="false">FALSE()</f>
        <v>0</v>
      </c>
      <c r="S238" s="27" t="b">
        <f aca="false">FALSE()</f>
        <v>0</v>
      </c>
    </row>
    <row r="239" customFormat="false" ht="15" hidden="false" customHeight="false" outlineLevel="0" collapsed="false">
      <c r="A239" s="25" t="n">
        <v>238</v>
      </c>
      <c r="B239" s="25" t="s">
        <v>1109</v>
      </c>
      <c r="C239" s="25" t="s">
        <v>447</v>
      </c>
      <c r="D239" s="25" t="n">
        <v>20241024</v>
      </c>
      <c r="E239" s="25" t="n">
        <v>82</v>
      </c>
      <c r="F239" s="25" t="n">
        <v>-1</v>
      </c>
      <c r="G239" s="25" t="s">
        <v>113</v>
      </c>
      <c r="H239" s="25" t="s">
        <v>25</v>
      </c>
      <c r="I239" s="25" t="s">
        <v>71</v>
      </c>
      <c r="J239" s="25" t="s">
        <v>250</v>
      </c>
      <c r="K239" s="25" t="n">
        <v>1</v>
      </c>
      <c r="L239" s="25" t="n">
        <v>21122.18</v>
      </c>
      <c r="M239" s="25" t="n">
        <v>0</v>
      </c>
      <c r="N239" s="25" t="n">
        <v>21122.18</v>
      </c>
      <c r="O239" s="25" t="n">
        <v>0</v>
      </c>
      <c r="P239" s="25" t="n">
        <v>21122.18</v>
      </c>
      <c r="Q239" s="27" t="b">
        <f aca="false">FALSE()</f>
        <v>0</v>
      </c>
      <c r="R239" s="27" t="b">
        <f aca="false">FALSE()</f>
        <v>0</v>
      </c>
      <c r="S239" s="27" t="b">
        <f aca="false">FALSE()</f>
        <v>0</v>
      </c>
    </row>
    <row r="240" customFormat="false" ht="15" hidden="false" customHeight="false" outlineLevel="0" collapsed="false">
      <c r="A240" s="25" t="n">
        <v>239</v>
      </c>
      <c r="B240" s="25" t="s">
        <v>1111</v>
      </c>
      <c r="C240" s="25" t="s">
        <v>447</v>
      </c>
      <c r="D240" s="25" t="n">
        <v>20241024</v>
      </c>
      <c r="E240" s="25" t="n">
        <v>82</v>
      </c>
      <c r="F240" s="25" t="n">
        <v>43</v>
      </c>
      <c r="G240" s="25" t="s">
        <v>113</v>
      </c>
      <c r="H240" s="25" t="s">
        <v>25</v>
      </c>
      <c r="I240" s="25" t="s">
        <v>71</v>
      </c>
      <c r="J240" s="25" t="s">
        <v>250</v>
      </c>
      <c r="K240" s="25" t="n">
        <v>4</v>
      </c>
      <c r="L240" s="25" t="n">
        <v>4511.74</v>
      </c>
      <c r="M240" s="25" t="n">
        <v>0</v>
      </c>
      <c r="N240" s="25" t="n">
        <v>18046.96</v>
      </c>
      <c r="O240" s="25" t="n">
        <v>0</v>
      </c>
      <c r="P240" s="25" t="n">
        <v>18046.96</v>
      </c>
      <c r="Q240" s="27" t="b">
        <f aca="false">FALSE()</f>
        <v>0</v>
      </c>
      <c r="R240" s="27" t="b">
        <f aca="false">FALSE()</f>
        <v>0</v>
      </c>
      <c r="S240" s="27" t="b">
        <f aca="false">FALSE()</f>
        <v>0</v>
      </c>
    </row>
    <row r="241" customFormat="false" ht="15" hidden="false" customHeight="false" outlineLevel="0" collapsed="false">
      <c r="A241" s="25" t="n">
        <v>240</v>
      </c>
      <c r="B241" s="25" t="s">
        <v>1112</v>
      </c>
      <c r="C241" s="25" t="s">
        <v>474</v>
      </c>
      <c r="D241" s="25" t="n">
        <v>20240614</v>
      </c>
      <c r="E241" s="25" t="n">
        <v>62</v>
      </c>
      <c r="F241" s="25" t="n">
        <v>35</v>
      </c>
      <c r="G241" s="25" t="s">
        <v>115</v>
      </c>
      <c r="H241" s="25" t="s">
        <v>25</v>
      </c>
      <c r="I241" s="25" t="s">
        <v>89</v>
      </c>
      <c r="J241" s="25" t="s">
        <v>242</v>
      </c>
      <c r="K241" s="25" t="n">
        <v>3</v>
      </c>
      <c r="L241" s="25" t="n">
        <v>1741.05</v>
      </c>
      <c r="M241" s="25" t="n">
        <v>0</v>
      </c>
      <c r="N241" s="25" t="n">
        <v>5223.15</v>
      </c>
      <c r="O241" s="25" t="n">
        <v>0</v>
      </c>
      <c r="P241" s="25" t="n">
        <v>5223.15</v>
      </c>
      <c r="Q241" s="27" t="b">
        <f aca="false">FALSE()</f>
        <v>0</v>
      </c>
      <c r="R241" s="27" t="b">
        <f aca="false">FALSE()</f>
        <v>0</v>
      </c>
      <c r="S241" s="27" t="b">
        <f aca="false">FALSE()</f>
        <v>0</v>
      </c>
    </row>
    <row r="242" customFormat="false" ht="15" hidden="false" customHeight="false" outlineLevel="0" collapsed="false">
      <c r="A242" s="25" t="n">
        <v>241</v>
      </c>
      <c r="B242" s="25" t="s">
        <v>1113</v>
      </c>
      <c r="C242" s="25" t="s">
        <v>474</v>
      </c>
      <c r="D242" s="25" t="n">
        <v>20240614</v>
      </c>
      <c r="E242" s="25" t="n">
        <v>62</v>
      </c>
      <c r="F242" s="25" t="n">
        <v>9</v>
      </c>
      <c r="G242" s="25" t="s">
        <v>115</v>
      </c>
      <c r="H242" s="25" t="s">
        <v>25</v>
      </c>
      <c r="I242" s="25" t="s">
        <v>89</v>
      </c>
      <c r="J242" s="25" t="s">
        <v>242</v>
      </c>
      <c r="K242" s="25" t="n">
        <v>2</v>
      </c>
      <c r="L242" s="25" t="n">
        <v>26274.11</v>
      </c>
      <c r="M242" s="25" t="n">
        <v>10</v>
      </c>
      <c r="N242" s="25" t="n">
        <v>52548.22</v>
      </c>
      <c r="O242" s="25" t="n">
        <v>5254.82</v>
      </c>
      <c r="P242" s="25" t="n">
        <v>47293.4</v>
      </c>
      <c r="Q242" s="27" t="b">
        <f aca="false">FALSE()</f>
        <v>0</v>
      </c>
      <c r="R242" s="27" t="b">
        <f aca="false">FALSE()</f>
        <v>0</v>
      </c>
      <c r="S242" s="27" t="b">
        <f aca="false">FALSE()</f>
        <v>0</v>
      </c>
    </row>
    <row r="243" customFormat="false" ht="15" hidden="false" customHeight="false" outlineLevel="0" collapsed="false">
      <c r="A243" s="25" t="n">
        <v>242</v>
      </c>
      <c r="B243" s="25" t="s">
        <v>1114</v>
      </c>
      <c r="C243" s="25" t="s">
        <v>311</v>
      </c>
      <c r="D243" s="25" t="n">
        <v>20250326</v>
      </c>
      <c r="E243" s="25" t="n">
        <v>72</v>
      </c>
      <c r="F243" s="25" t="n">
        <v>28</v>
      </c>
      <c r="G243" s="25" t="s">
        <v>113</v>
      </c>
      <c r="H243" s="25" t="s">
        <v>2259</v>
      </c>
      <c r="I243" s="25" t="s">
        <v>86</v>
      </c>
      <c r="J243" s="25" t="s">
        <v>250</v>
      </c>
      <c r="K243" s="25" t="n">
        <v>1</v>
      </c>
      <c r="L243" s="25" t="n">
        <v>7218.53</v>
      </c>
      <c r="M243" s="25" t="n">
        <v>0</v>
      </c>
      <c r="N243" s="25" t="n">
        <v>7218.53</v>
      </c>
      <c r="O243" s="25" t="n">
        <v>0</v>
      </c>
      <c r="P243" s="25" t="n">
        <v>7218.53</v>
      </c>
      <c r="Q243" s="27" t="b">
        <f aca="false">FALSE()</f>
        <v>0</v>
      </c>
      <c r="R243" s="27" t="b">
        <f aca="false">FALSE()</f>
        <v>0</v>
      </c>
      <c r="S243" s="27" t="b">
        <f aca="false">FALSE()</f>
        <v>0</v>
      </c>
    </row>
    <row r="244" customFormat="false" ht="15" hidden="false" customHeight="false" outlineLevel="0" collapsed="false">
      <c r="A244" s="25" t="n">
        <v>243</v>
      </c>
      <c r="B244" s="25" t="s">
        <v>1116</v>
      </c>
      <c r="C244" s="25" t="s">
        <v>311</v>
      </c>
      <c r="D244" s="25" t="n">
        <v>20250326</v>
      </c>
      <c r="E244" s="25" t="n">
        <v>72</v>
      </c>
      <c r="F244" s="25" t="n">
        <v>57</v>
      </c>
      <c r="G244" s="25" t="s">
        <v>113</v>
      </c>
      <c r="H244" s="25" t="s">
        <v>2259</v>
      </c>
      <c r="I244" s="25" t="s">
        <v>86</v>
      </c>
      <c r="J244" s="25" t="s">
        <v>250</v>
      </c>
      <c r="K244" s="25" t="n">
        <v>4</v>
      </c>
      <c r="L244" s="25" t="n">
        <v>11518.86</v>
      </c>
      <c r="M244" s="25" t="n">
        <v>5</v>
      </c>
      <c r="N244" s="25" t="n">
        <v>46075.44</v>
      </c>
      <c r="O244" s="25" t="n">
        <v>2303.77</v>
      </c>
      <c r="P244" s="25" t="n">
        <v>43771.67</v>
      </c>
      <c r="Q244" s="27" t="b">
        <f aca="false">FALSE()</f>
        <v>0</v>
      </c>
      <c r="R244" s="27" t="b">
        <f aca="false">FALSE()</f>
        <v>0</v>
      </c>
      <c r="S244" s="27" t="b">
        <f aca="false">FALSE()</f>
        <v>0</v>
      </c>
    </row>
    <row r="245" customFormat="false" ht="15" hidden="false" customHeight="false" outlineLevel="0" collapsed="false">
      <c r="A245" s="25" t="n">
        <v>244</v>
      </c>
      <c r="B245" s="25" t="s">
        <v>1117</v>
      </c>
      <c r="C245" s="25" t="s">
        <v>311</v>
      </c>
      <c r="D245" s="25" t="n">
        <v>20250326</v>
      </c>
      <c r="E245" s="25" t="n">
        <v>72</v>
      </c>
      <c r="F245" s="25" t="n">
        <v>55</v>
      </c>
      <c r="G245" s="25" t="s">
        <v>113</v>
      </c>
      <c r="H245" s="25" t="s">
        <v>2259</v>
      </c>
      <c r="I245" s="25" t="s">
        <v>86</v>
      </c>
      <c r="J245" s="25" t="s">
        <v>250</v>
      </c>
      <c r="K245" s="25" t="n">
        <v>3</v>
      </c>
      <c r="L245" s="25" t="n">
        <v>5471.28</v>
      </c>
      <c r="M245" s="25" t="n">
        <v>20</v>
      </c>
      <c r="N245" s="25" t="n">
        <v>16413.84</v>
      </c>
      <c r="O245" s="25" t="n">
        <v>3282.77</v>
      </c>
      <c r="P245" s="25" t="n">
        <v>13131.07</v>
      </c>
      <c r="Q245" s="27" t="b">
        <f aca="false">FALSE()</f>
        <v>0</v>
      </c>
      <c r="R245" s="27" t="b">
        <f aca="false">FALSE()</f>
        <v>0</v>
      </c>
      <c r="S245" s="27" t="b">
        <f aca="false">FALSE()</f>
        <v>0</v>
      </c>
    </row>
    <row r="246" customFormat="false" ht="15" hidden="false" customHeight="false" outlineLevel="0" collapsed="false">
      <c r="A246" s="25" t="n">
        <v>245</v>
      </c>
      <c r="B246" s="25" t="s">
        <v>1118</v>
      </c>
      <c r="C246" s="25" t="s">
        <v>379</v>
      </c>
      <c r="D246" s="25" t="n">
        <v>20240607</v>
      </c>
      <c r="E246" s="25" t="n">
        <v>25</v>
      </c>
      <c r="F246" s="25" t="n">
        <v>10</v>
      </c>
      <c r="G246" s="25" t="s">
        <v>115</v>
      </c>
      <c r="H246" s="25" t="s">
        <v>25</v>
      </c>
      <c r="I246" s="25" t="s">
        <v>94</v>
      </c>
      <c r="J246" s="25" t="s">
        <v>242</v>
      </c>
      <c r="K246" s="25" t="n">
        <v>3</v>
      </c>
      <c r="L246" s="25" t="n">
        <v>1165.83</v>
      </c>
      <c r="M246" s="25" t="n">
        <v>10</v>
      </c>
      <c r="N246" s="25" t="n">
        <v>3497.49</v>
      </c>
      <c r="O246" s="25" t="n">
        <v>349.75</v>
      </c>
      <c r="P246" s="25" t="n">
        <v>3147.74</v>
      </c>
      <c r="Q246" s="27" t="b">
        <f aca="false">FALSE()</f>
        <v>0</v>
      </c>
      <c r="R246" s="27" t="b">
        <f aca="false">FALSE()</f>
        <v>0</v>
      </c>
      <c r="S246" s="27" t="b">
        <f aca="false">FALSE()</f>
        <v>0</v>
      </c>
    </row>
    <row r="247" customFormat="false" ht="15" hidden="false" customHeight="false" outlineLevel="0" collapsed="false">
      <c r="A247" s="25" t="n">
        <v>246</v>
      </c>
      <c r="B247" s="25" t="s">
        <v>1119</v>
      </c>
      <c r="C247" s="25" t="s">
        <v>379</v>
      </c>
      <c r="D247" s="25" t="n">
        <v>20240607</v>
      </c>
      <c r="E247" s="25" t="n">
        <v>25</v>
      </c>
      <c r="F247" s="25" t="n">
        <v>61</v>
      </c>
      <c r="G247" s="25" t="s">
        <v>115</v>
      </c>
      <c r="H247" s="25" t="s">
        <v>25</v>
      </c>
      <c r="I247" s="25" t="s">
        <v>94</v>
      </c>
      <c r="J247" s="25" t="s">
        <v>242</v>
      </c>
      <c r="K247" s="25" t="n">
        <v>4</v>
      </c>
      <c r="L247" s="25" t="n">
        <v>8318.56</v>
      </c>
      <c r="M247" s="25" t="n">
        <v>20</v>
      </c>
      <c r="N247" s="25" t="n">
        <v>33274.24</v>
      </c>
      <c r="O247" s="25" t="n">
        <v>6654.85</v>
      </c>
      <c r="P247" s="25" t="n">
        <v>26619.39</v>
      </c>
      <c r="Q247" s="27" t="b">
        <f aca="false">FALSE()</f>
        <v>0</v>
      </c>
      <c r="R247" s="27" t="b">
        <f aca="false">FALSE()</f>
        <v>0</v>
      </c>
      <c r="S247" s="27" t="b">
        <f aca="false">FALSE()</f>
        <v>0</v>
      </c>
    </row>
    <row r="248" customFormat="false" ht="15" hidden="false" customHeight="false" outlineLevel="0" collapsed="false">
      <c r="A248" s="25" t="n">
        <v>247</v>
      </c>
      <c r="B248" s="25" t="s">
        <v>1120</v>
      </c>
      <c r="C248" s="25" t="s">
        <v>379</v>
      </c>
      <c r="D248" s="25" t="n">
        <v>20240607</v>
      </c>
      <c r="E248" s="25" t="n">
        <v>25</v>
      </c>
      <c r="F248" s="25" t="n">
        <v>34</v>
      </c>
      <c r="G248" s="25" t="s">
        <v>115</v>
      </c>
      <c r="H248" s="25" t="s">
        <v>25</v>
      </c>
      <c r="I248" s="25" t="s">
        <v>94</v>
      </c>
      <c r="J248" s="25" t="s">
        <v>242</v>
      </c>
      <c r="K248" s="25" t="n">
        <v>4</v>
      </c>
      <c r="L248" s="25" t="n">
        <v>11932.31</v>
      </c>
      <c r="M248" s="25" t="n">
        <v>20</v>
      </c>
      <c r="N248" s="25" t="n">
        <v>47729.24</v>
      </c>
      <c r="O248" s="25" t="n">
        <v>9545.85</v>
      </c>
      <c r="P248" s="25" t="n">
        <v>38183.39</v>
      </c>
      <c r="Q248" s="27" t="b">
        <f aca="false">FALSE()</f>
        <v>0</v>
      </c>
      <c r="R248" s="27" t="b">
        <f aca="false">FALSE()</f>
        <v>0</v>
      </c>
      <c r="S248" s="27" t="b">
        <f aca="false">FALSE()</f>
        <v>0</v>
      </c>
    </row>
    <row r="249" customFormat="false" ht="15" hidden="false" customHeight="false" outlineLevel="0" collapsed="false">
      <c r="A249" s="25" t="n">
        <v>248</v>
      </c>
      <c r="B249" s="25" t="s">
        <v>1121</v>
      </c>
      <c r="C249" s="25" t="s">
        <v>379</v>
      </c>
      <c r="D249" s="25" t="n">
        <v>20240607</v>
      </c>
      <c r="E249" s="25" t="n">
        <v>25</v>
      </c>
      <c r="F249" s="25" t="n">
        <v>15</v>
      </c>
      <c r="G249" s="25" t="s">
        <v>115</v>
      </c>
      <c r="H249" s="25" t="s">
        <v>25</v>
      </c>
      <c r="I249" s="25" t="s">
        <v>94</v>
      </c>
      <c r="J249" s="25" t="s">
        <v>242</v>
      </c>
      <c r="K249" s="25" t="n">
        <v>5</v>
      </c>
      <c r="L249" s="25" t="n">
        <v>4516.1</v>
      </c>
      <c r="M249" s="25" t="n">
        <v>20</v>
      </c>
      <c r="N249" s="25" t="n">
        <v>22580.5</v>
      </c>
      <c r="O249" s="25" t="n">
        <v>4516.1</v>
      </c>
      <c r="P249" s="25" t="n">
        <v>18064.4</v>
      </c>
      <c r="Q249" s="27" t="b">
        <f aca="false">FALSE()</f>
        <v>0</v>
      </c>
      <c r="R249" s="27" t="b">
        <f aca="false">FALSE()</f>
        <v>0</v>
      </c>
      <c r="S249" s="27" t="b">
        <f aca="false">FALSE()</f>
        <v>0</v>
      </c>
    </row>
    <row r="250" customFormat="false" ht="15" hidden="false" customHeight="false" outlineLevel="0" collapsed="false">
      <c r="A250" s="25" t="n">
        <v>249</v>
      </c>
      <c r="B250" s="25" t="s">
        <v>1122</v>
      </c>
      <c r="C250" s="25" t="s">
        <v>431</v>
      </c>
      <c r="D250" s="25" t="n">
        <v>20250226</v>
      </c>
      <c r="E250" s="25" t="n">
        <v>6</v>
      </c>
      <c r="F250" s="25" t="n">
        <v>20</v>
      </c>
      <c r="G250" s="25" t="s">
        <v>114</v>
      </c>
      <c r="H250" s="25" t="s">
        <v>25</v>
      </c>
      <c r="I250" s="25" t="s">
        <v>89</v>
      </c>
      <c r="J250" s="25" t="s">
        <v>242</v>
      </c>
      <c r="K250" s="25" t="n">
        <v>4</v>
      </c>
      <c r="L250" s="25" t="n">
        <v>3634.57</v>
      </c>
      <c r="M250" s="25" t="n">
        <v>20</v>
      </c>
      <c r="N250" s="25" t="n">
        <v>14538.28</v>
      </c>
      <c r="O250" s="25" t="n">
        <v>2907.66</v>
      </c>
      <c r="P250" s="25" t="n">
        <v>11630.62</v>
      </c>
      <c r="Q250" s="27" t="b">
        <f aca="false">FALSE()</f>
        <v>0</v>
      </c>
      <c r="R250" s="27" t="b">
        <f aca="false">FALSE()</f>
        <v>0</v>
      </c>
      <c r="S250" s="27" t="b">
        <f aca="false">FALSE()</f>
        <v>0</v>
      </c>
    </row>
    <row r="251" customFormat="false" ht="15" hidden="false" customHeight="false" outlineLevel="0" collapsed="false">
      <c r="A251" s="25" t="n">
        <v>250</v>
      </c>
      <c r="B251" s="25" t="s">
        <v>1124</v>
      </c>
      <c r="C251" s="25" t="s">
        <v>245</v>
      </c>
      <c r="D251" s="25" t="n">
        <v>20240921</v>
      </c>
      <c r="E251" s="25" t="n">
        <v>47</v>
      </c>
      <c r="F251" s="25" t="n">
        <v>12</v>
      </c>
      <c r="G251" s="25" t="s">
        <v>115</v>
      </c>
      <c r="H251" s="25" t="s">
        <v>25</v>
      </c>
      <c r="I251" s="25" t="s">
        <v>79</v>
      </c>
      <c r="J251" s="25" t="s">
        <v>246</v>
      </c>
      <c r="K251" s="25" t="n">
        <v>2</v>
      </c>
      <c r="L251" s="25" t="n">
        <v>11434.02</v>
      </c>
      <c r="M251" s="25" t="n">
        <v>5</v>
      </c>
      <c r="N251" s="25" t="n">
        <v>22868.04</v>
      </c>
      <c r="O251" s="25" t="n">
        <v>1143.4</v>
      </c>
      <c r="P251" s="25" t="n">
        <v>21724.64</v>
      </c>
      <c r="Q251" s="27" t="b">
        <f aca="false">FALSE()</f>
        <v>0</v>
      </c>
      <c r="R251" s="27" t="b">
        <f aca="false">FALSE()</f>
        <v>0</v>
      </c>
      <c r="S251" s="27" t="b">
        <f aca="false">FALSE()</f>
        <v>0</v>
      </c>
    </row>
    <row r="252" customFormat="false" ht="15" hidden="false" customHeight="false" outlineLevel="0" collapsed="false">
      <c r="A252" s="25" t="n">
        <v>251</v>
      </c>
      <c r="B252" s="25" t="s">
        <v>1125</v>
      </c>
      <c r="C252" s="25" t="s">
        <v>324</v>
      </c>
      <c r="D252" s="25" t="n">
        <v>20250705</v>
      </c>
      <c r="E252" s="25" t="n">
        <v>46</v>
      </c>
      <c r="F252" s="25" t="n">
        <v>2</v>
      </c>
      <c r="G252" s="25" t="s">
        <v>115</v>
      </c>
      <c r="H252" s="25" t="s">
        <v>25</v>
      </c>
      <c r="I252" s="25" t="s">
        <v>71</v>
      </c>
      <c r="J252" s="25" t="s">
        <v>269</v>
      </c>
      <c r="K252" s="25" t="n">
        <v>4</v>
      </c>
      <c r="L252" s="25" t="n">
        <v>9953.59</v>
      </c>
      <c r="M252" s="25" t="n">
        <v>20</v>
      </c>
      <c r="N252" s="25" t="n">
        <v>39814.36</v>
      </c>
      <c r="O252" s="25" t="n">
        <v>7962.87</v>
      </c>
      <c r="P252" s="25" t="n">
        <v>31851.49</v>
      </c>
      <c r="Q252" s="27" t="b">
        <f aca="false">FALSE()</f>
        <v>0</v>
      </c>
      <c r="R252" s="27" t="b">
        <f aca="false">FALSE()</f>
        <v>0</v>
      </c>
      <c r="S252" s="27" t="b">
        <f aca="false">FALSE()</f>
        <v>0</v>
      </c>
    </row>
    <row r="253" customFormat="false" ht="15" hidden="false" customHeight="false" outlineLevel="0" collapsed="false">
      <c r="A253" s="25" t="n">
        <v>252</v>
      </c>
      <c r="B253" s="25" t="s">
        <v>1127</v>
      </c>
      <c r="C253" s="25" t="s">
        <v>324</v>
      </c>
      <c r="D253" s="25" t="n">
        <v>20250705</v>
      </c>
      <c r="E253" s="25" t="n">
        <v>46</v>
      </c>
      <c r="F253" s="25" t="n">
        <v>7</v>
      </c>
      <c r="G253" s="25" t="s">
        <v>115</v>
      </c>
      <c r="H253" s="25" t="s">
        <v>25</v>
      </c>
      <c r="I253" s="25" t="s">
        <v>71</v>
      </c>
      <c r="J253" s="25" t="s">
        <v>269</v>
      </c>
      <c r="K253" s="25" t="n">
        <v>5</v>
      </c>
      <c r="L253" s="25" t="n">
        <v>20278.89</v>
      </c>
      <c r="M253" s="25" t="n">
        <v>15</v>
      </c>
      <c r="N253" s="25" t="n">
        <v>101394.45</v>
      </c>
      <c r="O253" s="25" t="n">
        <v>15209.17</v>
      </c>
      <c r="P253" s="25" t="n">
        <v>86185.28</v>
      </c>
      <c r="Q253" s="27" t="b">
        <f aca="false">FALSE()</f>
        <v>0</v>
      </c>
      <c r="R253" s="27" t="b">
        <f aca="false">FALSE()</f>
        <v>0</v>
      </c>
      <c r="S253" s="27" t="b">
        <f aca="false">FALSE()</f>
        <v>0</v>
      </c>
    </row>
    <row r="254" customFormat="false" ht="15" hidden="false" customHeight="false" outlineLevel="0" collapsed="false">
      <c r="A254" s="25" t="n">
        <v>253</v>
      </c>
      <c r="B254" s="25" t="s">
        <v>1128</v>
      </c>
      <c r="C254" s="25" t="s">
        <v>445</v>
      </c>
      <c r="D254" s="25" t="n">
        <v>20250307</v>
      </c>
      <c r="E254" s="25" t="n">
        <v>148</v>
      </c>
      <c r="F254" s="25" t="n">
        <v>2</v>
      </c>
      <c r="G254" s="25" t="s">
        <v>113</v>
      </c>
      <c r="H254" s="25" t="s">
        <v>2261</v>
      </c>
      <c r="I254" s="25" t="s">
        <v>75</v>
      </c>
      <c r="J254" s="25" t="s">
        <v>242</v>
      </c>
      <c r="K254" s="25" t="n">
        <v>5</v>
      </c>
      <c r="L254" s="25" t="n">
        <v>9953.59</v>
      </c>
      <c r="M254" s="25" t="n">
        <v>10</v>
      </c>
      <c r="N254" s="25" t="n">
        <v>49767.95</v>
      </c>
      <c r="O254" s="25" t="n">
        <v>4976.8</v>
      </c>
      <c r="P254" s="25" t="n">
        <v>44791.15</v>
      </c>
      <c r="Q254" s="27" t="b">
        <f aca="false">FALSE()</f>
        <v>0</v>
      </c>
      <c r="R254" s="27" t="b">
        <f aca="false">FALSE()</f>
        <v>0</v>
      </c>
      <c r="S254" s="27" t="b">
        <f aca="false">FALSE()</f>
        <v>0</v>
      </c>
    </row>
    <row r="255" customFormat="false" ht="15" hidden="false" customHeight="false" outlineLevel="0" collapsed="false">
      <c r="A255" s="25" t="n">
        <v>254</v>
      </c>
      <c r="B255" s="25" t="s">
        <v>1129</v>
      </c>
      <c r="C255" s="25" t="s">
        <v>445</v>
      </c>
      <c r="D255" s="25" t="n">
        <v>20250307</v>
      </c>
      <c r="E255" s="25" t="n">
        <v>148</v>
      </c>
      <c r="F255" s="25" t="n">
        <v>25</v>
      </c>
      <c r="G255" s="25" t="s">
        <v>113</v>
      </c>
      <c r="H255" s="25" t="s">
        <v>2261</v>
      </c>
      <c r="I255" s="25" t="s">
        <v>75</v>
      </c>
      <c r="J255" s="25" t="s">
        <v>242</v>
      </c>
      <c r="K255" s="25" t="n">
        <v>2</v>
      </c>
      <c r="L255" s="25" t="n">
        <v>19632.52</v>
      </c>
      <c r="M255" s="25" t="n">
        <v>10</v>
      </c>
      <c r="N255" s="25" t="n">
        <v>39265.04</v>
      </c>
      <c r="O255" s="25" t="n">
        <v>3926.5</v>
      </c>
      <c r="P255" s="25" t="n">
        <v>35338.54</v>
      </c>
      <c r="Q255" s="27" t="b">
        <f aca="false">FALSE()</f>
        <v>0</v>
      </c>
      <c r="R255" s="27" t="b">
        <f aca="false">FALSE()</f>
        <v>0</v>
      </c>
      <c r="S255" s="27" t="b">
        <f aca="false">FALSE()</f>
        <v>0</v>
      </c>
    </row>
    <row r="256" customFormat="false" ht="15" hidden="false" customHeight="false" outlineLevel="0" collapsed="false">
      <c r="A256" s="25" t="n">
        <v>255</v>
      </c>
      <c r="B256" s="25" t="s">
        <v>1130</v>
      </c>
      <c r="C256" s="25" t="s">
        <v>445</v>
      </c>
      <c r="D256" s="25" t="n">
        <v>20250307</v>
      </c>
      <c r="E256" s="25" t="n">
        <v>148</v>
      </c>
      <c r="F256" s="25" t="n">
        <v>15</v>
      </c>
      <c r="G256" s="25" t="s">
        <v>113</v>
      </c>
      <c r="H256" s="25" t="s">
        <v>2261</v>
      </c>
      <c r="I256" s="25" t="s">
        <v>75</v>
      </c>
      <c r="J256" s="25" t="s">
        <v>242</v>
      </c>
      <c r="K256" s="25" t="n">
        <v>4</v>
      </c>
      <c r="L256" s="25" t="n">
        <v>4516.1</v>
      </c>
      <c r="M256" s="25" t="n">
        <v>10</v>
      </c>
      <c r="N256" s="25" t="n">
        <v>18064.4</v>
      </c>
      <c r="O256" s="25" t="n">
        <v>1806.44</v>
      </c>
      <c r="P256" s="25" t="n">
        <v>16257.96</v>
      </c>
      <c r="Q256" s="27" t="b">
        <f aca="false">FALSE()</f>
        <v>0</v>
      </c>
      <c r="R256" s="27" t="b">
        <f aca="false">FALSE()</f>
        <v>0</v>
      </c>
      <c r="S256" s="27" t="b">
        <f aca="false">FALSE()</f>
        <v>0</v>
      </c>
    </row>
    <row r="257" customFormat="false" ht="15" hidden="false" customHeight="false" outlineLevel="0" collapsed="false">
      <c r="A257" s="25" t="n">
        <v>256</v>
      </c>
      <c r="B257" s="25" t="s">
        <v>1131</v>
      </c>
      <c r="C257" s="25" t="s">
        <v>510</v>
      </c>
      <c r="D257" s="25" t="n">
        <v>20240601</v>
      </c>
      <c r="E257" s="25" t="n">
        <v>44</v>
      </c>
      <c r="F257" s="25" t="n">
        <v>54</v>
      </c>
      <c r="G257" s="25" t="s">
        <v>113</v>
      </c>
      <c r="H257" s="25" t="s">
        <v>25</v>
      </c>
      <c r="I257" s="25" t="s">
        <v>1770</v>
      </c>
      <c r="J257" s="25" t="s">
        <v>269</v>
      </c>
      <c r="K257" s="25" t="n">
        <v>1</v>
      </c>
      <c r="L257" s="25" t="n">
        <v>20481.04</v>
      </c>
      <c r="M257" s="25" t="n">
        <v>0</v>
      </c>
      <c r="N257" s="25" t="n">
        <v>20481.04</v>
      </c>
      <c r="O257" s="25" t="n">
        <v>0</v>
      </c>
      <c r="P257" s="25" t="n">
        <v>20481.04</v>
      </c>
      <c r="Q257" s="27" t="b">
        <f aca="false">TRUE()</f>
        <v>1</v>
      </c>
      <c r="R257" s="27" t="b">
        <f aca="false">FALSE()</f>
        <v>0</v>
      </c>
      <c r="S257" s="27" t="b">
        <f aca="false">FALSE()</f>
        <v>0</v>
      </c>
    </row>
    <row r="258" customFormat="false" ht="15" hidden="false" customHeight="false" outlineLevel="0" collapsed="false">
      <c r="A258" s="25" t="n">
        <v>257</v>
      </c>
      <c r="B258" s="25" t="s">
        <v>1132</v>
      </c>
      <c r="C258" s="25" t="s">
        <v>510</v>
      </c>
      <c r="D258" s="25" t="n">
        <v>20240601</v>
      </c>
      <c r="E258" s="25" t="n">
        <v>44</v>
      </c>
      <c r="F258" s="25" t="n">
        <v>7</v>
      </c>
      <c r="G258" s="25" t="s">
        <v>113</v>
      </c>
      <c r="H258" s="25" t="s">
        <v>25</v>
      </c>
      <c r="I258" s="25" t="s">
        <v>1770</v>
      </c>
      <c r="J258" s="25" t="s">
        <v>269</v>
      </c>
      <c r="K258" s="25" t="n">
        <v>2</v>
      </c>
      <c r="L258" s="25" t="n">
        <v>20278.89</v>
      </c>
      <c r="M258" s="25" t="n">
        <v>10</v>
      </c>
      <c r="N258" s="25" t="n">
        <v>40557.78</v>
      </c>
      <c r="O258" s="25" t="n">
        <v>4055.78</v>
      </c>
      <c r="P258" s="25" t="n">
        <v>36502</v>
      </c>
      <c r="Q258" s="27" t="b">
        <f aca="false">FALSE()</f>
        <v>0</v>
      </c>
      <c r="R258" s="27" t="b">
        <f aca="false">FALSE()</f>
        <v>0</v>
      </c>
      <c r="S258" s="27" t="b">
        <f aca="false">FALSE()</f>
        <v>0</v>
      </c>
    </row>
    <row r="259" customFormat="false" ht="15" hidden="false" customHeight="false" outlineLevel="0" collapsed="false">
      <c r="A259" s="25" t="n">
        <v>258</v>
      </c>
      <c r="B259" s="25" t="s">
        <v>1133</v>
      </c>
      <c r="C259" s="25" t="s">
        <v>408</v>
      </c>
      <c r="D259" s="25" t="n">
        <v>20250225</v>
      </c>
      <c r="E259" s="25" t="n">
        <v>158</v>
      </c>
      <c r="F259" s="25" t="n">
        <v>14</v>
      </c>
      <c r="G259" s="25" t="s">
        <v>115</v>
      </c>
      <c r="H259" s="25" t="s">
        <v>25</v>
      </c>
      <c r="I259" s="25" t="s">
        <v>1770</v>
      </c>
      <c r="J259" s="25" t="s">
        <v>242</v>
      </c>
      <c r="K259" s="25" t="n">
        <v>5</v>
      </c>
      <c r="L259" s="25" t="n">
        <v>13809.86</v>
      </c>
      <c r="M259" s="25" t="n">
        <v>0</v>
      </c>
      <c r="N259" s="25" t="n">
        <v>69049.3</v>
      </c>
      <c r="O259" s="25" t="n">
        <v>0</v>
      </c>
      <c r="P259" s="25" t="n">
        <v>69049.3</v>
      </c>
      <c r="Q259" s="27" t="b">
        <f aca="false">FALSE()</f>
        <v>0</v>
      </c>
      <c r="R259" s="27" t="b">
        <f aca="false">FALSE()</f>
        <v>0</v>
      </c>
      <c r="S259" s="27" t="b">
        <f aca="false">FALSE()</f>
        <v>0</v>
      </c>
    </row>
    <row r="260" customFormat="false" ht="15" hidden="false" customHeight="false" outlineLevel="0" collapsed="false">
      <c r="A260" s="25" t="n">
        <v>259</v>
      </c>
      <c r="B260" s="25" t="s">
        <v>1135</v>
      </c>
      <c r="C260" s="25" t="s">
        <v>408</v>
      </c>
      <c r="D260" s="25" t="n">
        <v>20250225</v>
      </c>
      <c r="E260" s="25" t="n">
        <v>158</v>
      </c>
      <c r="F260" s="25" t="n">
        <v>18</v>
      </c>
      <c r="G260" s="25" t="s">
        <v>115</v>
      </c>
      <c r="H260" s="25" t="s">
        <v>25</v>
      </c>
      <c r="I260" s="25" t="s">
        <v>1770</v>
      </c>
      <c r="J260" s="25" t="s">
        <v>242</v>
      </c>
      <c r="K260" s="25" t="n">
        <v>5</v>
      </c>
      <c r="L260" s="25" t="n">
        <v>17477.91</v>
      </c>
      <c r="M260" s="25" t="n">
        <v>10</v>
      </c>
      <c r="N260" s="25" t="n">
        <v>87389.55</v>
      </c>
      <c r="O260" s="25" t="n">
        <v>8738.96</v>
      </c>
      <c r="P260" s="25" t="n">
        <v>78650.59</v>
      </c>
      <c r="Q260" s="27" t="b">
        <f aca="false">FALSE()</f>
        <v>0</v>
      </c>
      <c r="R260" s="27" t="b">
        <f aca="false">FALSE()</f>
        <v>0</v>
      </c>
      <c r="S260" s="27" t="b">
        <f aca="false">FALSE()</f>
        <v>0</v>
      </c>
    </row>
    <row r="261" customFormat="false" ht="15" hidden="false" customHeight="false" outlineLevel="0" collapsed="false">
      <c r="A261" s="25" t="n">
        <v>260</v>
      </c>
      <c r="B261" s="25" t="s">
        <v>1136</v>
      </c>
      <c r="C261" s="25" t="s">
        <v>408</v>
      </c>
      <c r="D261" s="25" t="n">
        <v>20250225</v>
      </c>
      <c r="E261" s="25" t="n">
        <v>158</v>
      </c>
      <c r="F261" s="25" t="n">
        <v>9</v>
      </c>
      <c r="G261" s="25" t="s">
        <v>115</v>
      </c>
      <c r="H261" s="25" t="s">
        <v>25</v>
      </c>
      <c r="I261" s="25" t="s">
        <v>1770</v>
      </c>
      <c r="J261" s="25" t="s">
        <v>242</v>
      </c>
      <c r="K261" s="25" t="n">
        <v>4</v>
      </c>
      <c r="L261" s="25" t="n">
        <v>26274.11</v>
      </c>
      <c r="M261" s="25" t="n">
        <v>10</v>
      </c>
      <c r="N261" s="25" t="n">
        <v>105096.44</v>
      </c>
      <c r="O261" s="25" t="n">
        <v>10509.64</v>
      </c>
      <c r="P261" s="25" t="n">
        <v>94586.8</v>
      </c>
      <c r="Q261" s="27" t="b">
        <f aca="false">TRUE()</f>
        <v>1</v>
      </c>
      <c r="R261" s="27" t="b">
        <f aca="false">FALSE()</f>
        <v>0</v>
      </c>
      <c r="S261" s="27" t="b">
        <f aca="false">FALSE()</f>
        <v>0</v>
      </c>
    </row>
    <row r="262" customFormat="false" ht="15" hidden="false" customHeight="false" outlineLevel="0" collapsed="false">
      <c r="A262" s="25" t="n">
        <v>261</v>
      </c>
      <c r="B262" s="25" t="s">
        <v>1137</v>
      </c>
      <c r="C262" s="25" t="s">
        <v>403</v>
      </c>
      <c r="D262" s="25" t="n">
        <v>20240923</v>
      </c>
      <c r="E262" s="25" t="n">
        <v>72</v>
      </c>
      <c r="F262" s="25" t="n">
        <v>67</v>
      </c>
      <c r="G262" s="25" t="s">
        <v>114</v>
      </c>
      <c r="H262" s="25" t="s">
        <v>25</v>
      </c>
      <c r="I262" s="25" t="s">
        <v>1738</v>
      </c>
      <c r="J262" s="25" t="s">
        <v>242</v>
      </c>
      <c r="K262" s="25" t="n">
        <v>5</v>
      </c>
      <c r="L262" s="25" t="n">
        <v>14595.44</v>
      </c>
      <c r="M262" s="25" t="n">
        <v>15</v>
      </c>
      <c r="N262" s="25" t="n">
        <v>72977.2</v>
      </c>
      <c r="O262" s="25" t="n">
        <v>10946.58</v>
      </c>
      <c r="P262" s="25" t="n">
        <v>62030.62</v>
      </c>
      <c r="Q262" s="27" t="b">
        <f aca="false">FALSE()</f>
        <v>0</v>
      </c>
      <c r="R262" s="27" t="b">
        <f aca="false">FALSE()</f>
        <v>0</v>
      </c>
      <c r="S262" s="27" t="b">
        <f aca="false">FALSE()</f>
        <v>0</v>
      </c>
    </row>
    <row r="263" customFormat="false" ht="15" hidden="false" customHeight="false" outlineLevel="0" collapsed="false">
      <c r="A263" s="25" t="n">
        <v>262</v>
      </c>
      <c r="B263" s="25" t="s">
        <v>1138</v>
      </c>
      <c r="C263" s="25" t="s">
        <v>403</v>
      </c>
      <c r="D263" s="25" t="n">
        <v>20240923</v>
      </c>
      <c r="E263" s="25" t="n">
        <v>72</v>
      </c>
      <c r="F263" s="25" t="n">
        <v>44</v>
      </c>
      <c r="G263" s="25" t="s">
        <v>114</v>
      </c>
      <c r="H263" s="25" t="s">
        <v>25</v>
      </c>
      <c r="I263" s="25" t="s">
        <v>1738</v>
      </c>
      <c r="J263" s="25" t="s">
        <v>242</v>
      </c>
      <c r="K263" s="25" t="n">
        <v>1</v>
      </c>
      <c r="L263" s="25" t="n">
        <v>22655.14</v>
      </c>
      <c r="M263" s="25" t="n">
        <v>10</v>
      </c>
      <c r="N263" s="25" t="n">
        <v>22655.14</v>
      </c>
      <c r="O263" s="25" t="n">
        <v>2265.51</v>
      </c>
      <c r="P263" s="25" t="n">
        <v>20389.63</v>
      </c>
      <c r="Q263" s="27" t="b">
        <f aca="false">FALSE()</f>
        <v>0</v>
      </c>
      <c r="R263" s="27" t="b">
        <f aca="false">FALSE()</f>
        <v>0</v>
      </c>
      <c r="S263" s="27" t="b">
        <f aca="false">FALSE()</f>
        <v>0</v>
      </c>
    </row>
    <row r="264" customFormat="false" ht="15" hidden="false" customHeight="false" outlineLevel="0" collapsed="false">
      <c r="A264" s="25" t="n">
        <v>263</v>
      </c>
      <c r="B264" s="25" t="s">
        <v>1139</v>
      </c>
      <c r="C264" s="25" t="s">
        <v>403</v>
      </c>
      <c r="D264" s="25" t="n">
        <v>20240923</v>
      </c>
      <c r="E264" s="25" t="n">
        <v>72</v>
      </c>
      <c r="F264" s="25" t="n">
        <v>20</v>
      </c>
      <c r="G264" s="25" t="s">
        <v>114</v>
      </c>
      <c r="H264" s="25" t="s">
        <v>25</v>
      </c>
      <c r="I264" s="25" t="s">
        <v>1738</v>
      </c>
      <c r="J264" s="25" t="s">
        <v>242</v>
      </c>
      <c r="K264" s="25" t="n">
        <v>3</v>
      </c>
      <c r="L264" s="25" t="n">
        <v>3634.57</v>
      </c>
      <c r="M264" s="25" t="n">
        <v>10</v>
      </c>
      <c r="N264" s="25" t="n">
        <v>10903.71</v>
      </c>
      <c r="O264" s="25" t="n">
        <v>1090.37</v>
      </c>
      <c r="P264" s="25" t="n">
        <v>9813.34</v>
      </c>
      <c r="Q264" s="27" t="b">
        <f aca="false">FALSE()</f>
        <v>0</v>
      </c>
      <c r="R264" s="27" t="b">
        <f aca="false">FALSE()</f>
        <v>0</v>
      </c>
      <c r="S264" s="27" t="b">
        <f aca="false">FALSE()</f>
        <v>0</v>
      </c>
    </row>
    <row r="265" customFormat="false" ht="15" hidden="false" customHeight="false" outlineLevel="0" collapsed="false">
      <c r="A265" s="25" t="n">
        <v>264</v>
      </c>
      <c r="B265" s="25" t="s">
        <v>1140</v>
      </c>
      <c r="C265" s="25" t="s">
        <v>552</v>
      </c>
      <c r="D265" s="25" t="n">
        <v>20250423</v>
      </c>
      <c r="E265" s="25" t="n">
        <v>-1</v>
      </c>
      <c r="F265" s="25" t="n">
        <v>55</v>
      </c>
      <c r="G265" s="25" t="s">
        <v>115</v>
      </c>
      <c r="H265" s="25" t="s">
        <v>25</v>
      </c>
      <c r="I265" s="25" t="s">
        <v>1738</v>
      </c>
      <c r="J265" s="25" t="s">
        <v>269</v>
      </c>
      <c r="K265" s="25" t="n">
        <v>2</v>
      </c>
      <c r="L265" s="25" t="n">
        <v>5471.28</v>
      </c>
      <c r="M265" s="25" t="n">
        <v>15</v>
      </c>
      <c r="N265" s="25" t="n">
        <v>10942.56</v>
      </c>
      <c r="O265" s="25" t="n">
        <v>1641.38</v>
      </c>
      <c r="P265" s="25" t="n">
        <v>9301.18</v>
      </c>
      <c r="Q265" s="27" t="b">
        <f aca="false">FALSE()</f>
        <v>0</v>
      </c>
      <c r="R265" s="27" t="b">
        <f aca="false">FALSE()</f>
        <v>0</v>
      </c>
      <c r="S265" s="27" t="b">
        <f aca="false">FALSE()</f>
        <v>0</v>
      </c>
    </row>
    <row r="266" customFormat="false" ht="15" hidden="false" customHeight="false" outlineLevel="0" collapsed="false">
      <c r="A266" s="25" t="n">
        <v>265</v>
      </c>
      <c r="B266" s="25" t="s">
        <v>1141</v>
      </c>
      <c r="C266" s="25" t="s">
        <v>552</v>
      </c>
      <c r="D266" s="25" t="n">
        <v>20250423</v>
      </c>
      <c r="E266" s="25" t="n">
        <v>-1</v>
      </c>
      <c r="F266" s="25" t="n">
        <v>21</v>
      </c>
      <c r="G266" s="25" t="s">
        <v>115</v>
      </c>
      <c r="H266" s="25" t="s">
        <v>25</v>
      </c>
      <c r="I266" s="25" t="s">
        <v>1738</v>
      </c>
      <c r="J266" s="25" t="s">
        <v>269</v>
      </c>
      <c r="K266" s="25" t="n">
        <v>2</v>
      </c>
      <c r="L266" s="25" t="n">
        <v>3184.81</v>
      </c>
      <c r="M266" s="25" t="n">
        <v>10</v>
      </c>
      <c r="N266" s="25" t="n">
        <v>6369.62</v>
      </c>
      <c r="O266" s="25" t="n">
        <v>636.96</v>
      </c>
      <c r="P266" s="25" t="n">
        <v>5732.66</v>
      </c>
      <c r="Q266" s="27" t="b">
        <f aca="false">FALSE()</f>
        <v>0</v>
      </c>
      <c r="R266" s="27" t="b">
        <f aca="false">FALSE()</f>
        <v>0</v>
      </c>
      <c r="S266" s="27" t="b">
        <f aca="false">FALSE()</f>
        <v>0</v>
      </c>
    </row>
    <row r="267" customFormat="false" ht="15" hidden="false" customHeight="false" outlineLevel="0" collapsed="false">
      <c r="A267" s="25" t="n">
        <v>266</v>
      </c>
      <c r="B267" s="25" t="s">
        <v>1142</v>
      </c>
      <c r="C267" s="25" t="s">
        <v>552</v>
      </c>
      <c r="D267" s="25" t="n">
        <v>20250423</v>
      </c>
      <c r="E267" s="25" t="n">
        <v>-1</v>
      </c>
      <c r="F267" s="25" t="n">
        <v>32</v>
      </c>
      <c r="G267" s="25" t="s">
        <v>115</v>
      </c>
      <c r="H267" s="25" t="s">
        <v>25</v>
      </c>
      <c r="I267" s="25" t="s">
        <v>1738</v>
      </c>
      <c r="J267" s="25" t="s">
        <v>269</v>
      </c>
      <c r="K267" s="25" t="n">
        <v>4</v>
      </c>
      <c r="L267" s="25" t="n">
        <v>23243.35</v>
      </c>
      <c r="M267" s="25" t="n">
        <v>10</v>
      </c>
      <c r="N267" s="25" t="n">
        <v>92973.4</v>
      </c>
      <c r="O267" s="25" t="n">
        <v>9297.34</v>
      </c>
      <c r="P267" s="25" t="n">
        <v>83676.06</v>
      </c>
      <c r="Q267" s="27" t="b">
        <f aca="false">FALSE()</f>
        <v>0</v>
      </c>
      <c r="R267" s="27" t="b">
        <f aca="false">FALSE()</f>
        <v>0</v>
      </c>
      <c r="S267" s="27" t="b">
        <f aca="false">FALSE()</f>
        <v>0</v>
      </c>
    </row>
    <row r="268" customFormat="false" ht="15" hidden="false" customHeight="false" outlineLevel="0" collapsed="false">
      <c r="A268" s="25" t="n">
        <v>267</v>
      </c>
      <c r="B268" s="25" t="s">
        <v>1143</v>
      </c>
      <c r="C268" s="25" t="s">
        <v>552</v>
      </c>
      <c r="D268" s="25" t="n">
        <v>20250423</v>
      </c>
      <c r="E268" s="25" t="n">
        <v>-1</v>
      </c>
      <c r="F268" s="25" t="n">
        <v>62</v>
      </c>
      <c r="G268" s="25" t="s">
        <v>115</v>
      </c>
      <c r="H268" s="25" t="s">
        <v>25</v>
      </c>
      <c r="I268" s="25" t="s">
        <v>1738</v>
      </c>
      <c r="J268" s="25" t="s">
        <v>269</v>
      </c>
      <c r="K268" s="25" t="n">
        <v>4</v>
      </c>
      <c r="L268" s="25" t="n">
        <v>8493.72</v>
      </c>
      <c r="M268" s="25" t="n">
        <v>20</v>
      </c>
      <c r="N268" s="25" t="n">
        <v>33974.88</v>
      </c>
      <c r="O268" s="25" t="n">
        <v>6794.98</v>
      </c>
      <c r="P268" s="25" t="n">
        <v>27179.9</v>
      </c>
      <c r="Q268" s="27" t="b">
        <f aca="false">FALSE()</f>
        <v>0</v>
      </c>
      <c r="R268" s="27" t="b">
        <f aca="false">FALSE()</f>
        <v>0</v>
      </c>
      <c r="S268" s="27" t="b">
        <f aca="false">FALSE()</f>
        <v>0</v>
      </c>
    </row>
    <row r="269" customFormat="false" ht="15" hidden="false" customHeight="false" outlineLevel="0" collapsed="false">
      <c r="A269" s="25" t="n">
        <v>268</v>
      </c>
      <c r="B269" s="25" t="s">
        <v>1144</v>
      </c>
      <c r="C269" s="25" t="s">
        <v>499</v>
      </c>
      <c r="D269" s="25" t="n">
        <v>20241227</v>
      </c>
      <c r="E269" s="25" t="n">
        <v>61</v>
      </c>
      <c r="F269" s="25" t="n">
        <v>68</v>
      </c>
      <c r="G269" s="25" t="s">
        <v>113</v>
      </c>
      <c r="H269" s="25" t="s">
        <v>2273</v>
      </c>
      <c r="I269" s="25" t="s">
        <v>83</v>
      </c>
      <c r="J269" s="25" t="s">
        <v>242</v>
      </c>
      <c r="K269" s="25" t="n">
        <v>2</v>
      </c>
      <c r="L269" s="25" t="n">
        <v>21978.46</v>
      </c>
      <c r="M269" s="25" t="n">
        <v>15</v>
      </c>
      <c r="N269" s="25" t="n">
        <v>43956.92</v>
      </c>
      <c r="O269" s="25" t="n">
        <v>6593.54</v>
      </c>
      <c r="P269" s="25" t="n">
        <v>37363.38</v>
      </c>
      <c r="Q269" s="27" t="b">
        <f aca="false">FALSE()</f>
        <v>0</v>
      </c>
      <c r="R269" s="27" t="b">
        <f aca="false">FALSE()</f>
        <v>0</v>
      </c>
      <c r="S269" s="27" t="b">
        <f aca="false">FALSE()</f>
        <v>0</v>
      </c>
    </row>
    <row r="270" customFormat="false" ht="15" hidden="false" customHeight="false" outlineLevel="0" collapsed="false">
      <c r="A270" s="25" t="n">
        <v>269</v>
      </c>
      <c r="B270" s="25" t="s">
        <v>1145</v>
      </c>
      <c r="C270" s="25" t="s">
        <v>499</v>
      </c>
      <c r="D270" s="25" t="n">
        <v>20241227</v>
      </c>
      <c r="E270" s="25" t="n">
        <v>61</v>
      </c>
      <c r="F270" s="25" t="n">
        <v>33</v>
      </c>
      <c r="G270" s="25" t="s">
        <v>113</v>
      </c>
      <c r="H270" s="25" t="s">
        <v>2273</v>
      </c>
      <c r="I270" s="25" t="s">
        <v>83</v>
      </c>
      <c r="J270" s="25" t="s">
        <v>242</v>
      </c>
      <c r="K270" s="25" t="n">
        <v>4</v>
      </c>
      <c r="L270" s="25" t="n">
        <v>11865.75</v>
      </c>
      <c r="M270" s="25" t="n">
        <v>15</v>
      </c>
      <c r="N270" s="25" t="n">
        <v>47463</v>
      </c>
      <c r="O270" s="25" t="n">
        <v>7119.45</v>
      </c>
      <c r="P270" s="25" t="n">
        <v>40343.55</v>
      </c>
      <c r="Q270" s="27" t="b">
        <f aca="false">FALSE()</f>
        <v>0</v>
      </c>
      <c r="R270" s="27" t="b">
        <f aca="false">FALSE()</f>
        <v>0</v>
      </c>
      <c r="S270" s="27" t="b">
        <f aca="false">FALSE()</f>
        <v>0</v>
      </c>
    </row>
    <row r="271" customFormat="false" ht="15" hidden="false" customHeight="false" outlineLevel="0" collapsed="false">
      <c r="A271" s="25" t="n">
        <v>270</v>
      </c>
      <c r="B271" s="25" t="s">
        <v>1146</v>
      </c>
      <c r="C271" s="25" t="s">
        <v>499</v>
      </c>
      <c r="D271" s="25" t="n">
        <v>20241227</v>
      </c>
      <c r="E271" s="25" t="n">
        <v>61</v>
      </c>
      <c r="F271" s="25" t="n">
        <v>38</v>
      </c>
      <c r="G271" s="25" t="s">
        <v>113</v>
      </c>
      <c r="H271" s="25" t="s">
        <v>2273</v>
      </c>
      <c r="I271" s="25" t="s">
        <v>83</v>
      </c>
      <c r="J271" s="25" t="s">
        <v>242</v>
      </c>
      <c r="K271" s="25" t="n">
        <v>3</v>
      </c>
      <c r="L271" s="25" t="n">
        <v>25201.06</v>
      </c>
      <c r="M271" s="25" t="n">
        <v>5</v>
      </c>
      <c r="N271" s="25" t="n">
        <v>75603.18</v>
      </c>
      <c r="O271" s="25" t="n">
        <v>3780.16</v>
      </c>
      <c r="P271" s="25" t="n">
        <v>71823.02</v>
      </c>
      <c r="Q271" s="27" t="b">
        <f aca="false">FALSE()</f>
        <v>0</v>
      </c>
      <c r="R271" s="27" t="b">
        <f aca="false">FALSE()</f>
        <v>0</v>
      </c>
      <c r="S271" s="27" t="b">
        <f aca="false">FALSE()</f>
        <v>0</v>
      </c>
    </row>
    <row r="272" customFormat="false" ht="15" hidden="false" customHeight="false" outlineLevel="0" collapsed="false">
      <c r="A272" s="25" t="n">
        <v>271</v>
      </c>
      <c r="B272" s="25" t="s">
        <v>1147</v>
      </c>
      <c r="C272" s="25" t="s">
        <v>499</v>
      </c>
      <c r="D272" s="25" t="n">
        <v>20241227</v>
      </c>
      <c r="E272" s="25" t="n">
        <v>61</v>
      </c>
      <c r="F272" s="25" t="n">
        <v>57</v>
      </c>
      <c r="G272" s="25" t="s">
        <v>113</v>
      </c>
      <c r="H272" s="25" t="s">
        <v>2273</v>
      </c>
      <c r="I272" s="25" t="s">
        <v>83</v>
      </c>
      <c r="J272" s="25" t="s">
        <v>242</v>
      </c>
      <c r="K272" s="25" t="n">
        <v>5</v>
      </c>
      <c r="L272" s="25" t="n">
        <v>11518.86</v>
      </c>
      <c r="M272" s="25" t="n">
        <v>0</v>
      </c>
      <c r="N272" s="25" t="n">
        <v>57594.3</v>
      </c>
      <c r="O272" s="25" t="n">
        <v>0</v>
      </c>
      <c r="P272" s="25" t="n">
        <v>57594.3</v>
      </c>
      <c r="Q272" s="27" t="b">
        <f aca="false">FALSE()</f>
        <v>0</v>
      </c>
      <c r="R272" s="27" t="b">
        <f aca="false">FALSE()</f>
        <v>0</v>
      </c>
      <c r="S272" s="27" t="b">
        <f aca="false">FALSE()</f>
        <v>0</v>
      </c>
    </row>
    <row r="273" customFormat="false" ht="15" hidden="false" customHeight="false" outlineLevel="0" collapsed="false">
      <c r="A273" s="25" t="n">
        <v>272</v>
      </c>
      <c r="B273" s="25" t="s">
        <v>1148</v>
      </c>
      <c r="C273" s="25" t="s">
        <v>300</v>
      </c>
      <c r="D273" s="25" t="n">
        <v>20250328</v>
      </c>
      <c r="E273" s="25" t="n">
        <v>90</v>
      </c>
      <c r="F273" s="25" t="n">
        <v>31</v>
      </c>
      <c r="G273" s="25" t="s">
        <v>113</v>
      </c>
      <c r="H273" s="25" t="s">
        <v>2269</v>
      </c>
      <c r="I273" s="25" t="s">
        <v>75</v>
      </c>
      <c r="J273" s="25" t="s">
        <v>246</v>
      </c>
      <c r="K273" s="25" t="n">
        <v>5</v>
      </c>
      <c r="L273" s="25" t="n">
        <v>20098.63</v>
      </c>
      <c r="M273" s="25" t="n">
        <v>0</v>
      </c>
      <c r="N273" s="25" t="n">
        <v>100493.15</v>
      </c>
      <c r="O273" s="25" t="n">
        <v>0</v>
      </c>
      <c r="P273" s="25" t="n">
        <v>100493.15</v>
      </c>
      <c r="Q273" s="27" t="b">
        <f aca="false">FALSE()</f>
        <v>0</v>
      </c>
      <c r="R273" s="27" t="b">
        <f aca="false">FALSE()</f>
        <v>0</v>
      </c>
      <c r="S273" s="27" t="b">
        <f aca="false">FALSE()</f>
        <v>0</v>
      </c>
    </row>
    <row r="274" customFormat="false" ht="15" hidden="false" customHeight="false" outlineLevel="0" collapsed="false">
      <c r="A274" s="25" t="n">
        <v>273</v>
      </c>
      <c r="B274" s="25" t="s">
        <v>1149</v>
      </c>
      <c r="C274" s="25" t="s">
        <v>381</v>
      </c>
      <c r="D274" s="25" t="n">
        <v>20240328</v>
      </c>
      <c r="E274" s="25" t="n">
        <v>1</v>
      </c>
      <c r="F274" s="25" t="n">
        <v>35</v>
      </c>
      <c r="G274" s="25" t="s">
        <v>113</v>
      </c>
      <c r="H274" s="25" t="s">
        <v>25</v>
      </c>
      <c r="I274" s="25" t="s">
        <v>1738</v>
      </c>
      <c r="J274" s="25" t="s">
        <v>242</v>
      </c>
      <c r="K274" s="25" t="n">
        <v>2</v>
      </c>
      <c r="L274" s="25" t="n">
        <v>1741.05</v>
      </c>
      <c r="M274" s="25" t="n">
        <v>0</v>
      </c>
      <c r="N274" s="25" t="n">
        <v>3482.1</v>
      </c>
      <c r="O274" s="25" t="n">
        <v>0</v>
      </c>
      <c r="P274" s="25" t="n">
        <v>3482.1</v>
      </c>
      <c r="Q274" s="27" t="b">
        <f aca="false">FALSE()</f>
        <v>0</v>
      </c>
      <c r="R274" s="27" t="b">
        <f aca="false">FALSE()</f>
        <v>0</v>
      </c>
      <c r="S274" s="27" t="b">
        <f aca="false">FALSE()</f>
        <v>0</v>
      </c>
    </row>
    <row r="275" customFormat="false" ht="15" hidden="false" customHeight="false" outlineLevel="0" collapsed="false">
      <c r="A275" s="25" t="n">
        <v>274</v>
      </c>
      <c r="B275" s="25" t="s">
        <v>1150</v>
      </c>
      <c r="C275" s="25" t="s">
        <v>381</v>
      </c>
      <c r="D275" s="25" t="n">
        <v>20240328</v>
      </c>
      <c r="E275" s="25" t="n">
        <v>1</v>
      </c>
      <c r="F275" s="25" t="n">
        <v>48</v>
      </c>
      <c r="G275" s="25" t="s">
        <v>113</v>
      </c>
      <c r="H275" s="25" t="s">
        <v>25</v>
      </c>
      <c r="I275" s="25" t="s">
        <v>1738</v>
      </c>
      <c r="J275" s="25" t="s">
        <v>242</v>
      </c>
      <c r="K275" s="25" t="n">
        <v>5</v>
      </c>
      <c r="L275" s="25" t="n">
        <v>25643.17</v>
      </c>
      <c r="M275" s="25" t="n">
        <v>0</v>
      </c>
      <c r="N275" s="25" t="n">
        <v>128215.85</v>
      </c>
      <c r="O275" s="25" t="n">
        <v>0</v>
      </c>
      <c r="P275" s="25" t="n">
        <v>128215.85</v>
      </c>
      <c r="Q275" s="27" t="b">
        <f aca="false">FALSE()</f>
        <v>0</v>
      </c>
      <c r="R275" s="27" t="b">
        <f aca="false">FALSE()</f>
        <v>0</v>
      </c>
      <c r="S275" s="27" t="b">
        <f aca="false">FALSE()</f>
        <v>0</v>
      </c>
    </row>
    <row r="276" customFormat="false" ht="15" hidden="false" customHeight="false" outlineLevel="0" collapsed="false">
      <c r="A276" s="25" t="n">
        <v>275</v>
      </c>
      <c r="B276" s="25" t="s">
        <v>1151</v>
      </c>
      <c r="C276" s="25" t="s">
        <v>381</v>
      </c>
      <c r="D276" s="25" t="n">
        <v>20240328</v>
      </c>
      <c r="E276" s="25" t="n">
        <v>1</v>
      </c>
      <c r="F276" s="25" t="n">
        <v>49</v>
      </c>
      <c r="G276" s="25" t="s">
        <v>113</v>
      </c>
      <c r="H276" s="25" t="s">
        <v>25</v>
      </c>
      <c r="I276" s="25" t="s">
        <v>1738</v>
      </c>
      <c r="J276" s="25" t="s">
        <v>242</v>
      </c>
      <c r="K276" s="25" t="n">
        <v>1</v>
      </c>
      <c r="L276" s="25" t="n">
        <v>12393.99</v>
      </c>
      <c r="M276" s="25" t="n">
        <v>5</v>
      </c>
      <c r="N276" s="25" t="n">
        <v>12393.99</v>
      </c>
      <c r="O276" s="25" t="n">
        <v>619.7</v>
      </c>
      <c r="P276" s="25" t="n">
        <v>11774.29</v>
      </c>
      <c r="Q276" s="27" t="b">
        <f aca="false">FALSE()</f>
        <v>0</v>
      </c>
      <c r="R276" s="27" t="b">
        <f aca="false">FALSE()</f>
        <v>0</v>
      </c>
      <c r="S276" s="27" t="b">
        <f aca="false">FALSE()</f>
        <v>0</v>
      </c>
    </row>
    <row r="277" customFormat="false" ht="15" hidden="false" customHeight="false" outlineLevel="0" collapsed="false">
      <c r="A277" s="25" t="n">
        <v>276</v>
      </c>
      <c r="B277" s="25" t="s">
        <v>1152</v>
      </c>
      <c r="C277" s="25" t="s">
        <v>511</v>
      </c>
      <c r="D277" s="25" t="n">
        <v>20250809</v>
      </c>
      <c r="E277" s="25" t="n">
        <v>136</v>
      </c>
      <c r="F277" s="25" t="n">
        <v>44</v>
      </c>
      <c r="G277" s="25" t="s">
        <v>114</v>
      </c>
      <c r="H277" s="25" t="s">
        <v>25</v>
      </c>
      <c r="I277" s="25" t="s">
        <v>79</v>
      </c>
      <c r="J277" s="25" t="s">
        <v>269</v>
      </c>
      <c r="K277" s="25" t="n">
        <v>1</v>
      </c>
      <c r="L277" s="25" t="n">
        <v>22655.14</v>
      </c>
      <c r="M277" s="25" t="n">
        <v>10</v>
      </c>
      <c r="N277" s="25" t="n">
        <v>22655.14</v>
      </c>
      <c r="O277" s="25" t="n">
        <v>2265.51</v>
      </c>
      <c r="P277" s="25" t="n">
        <v>20389.63</v>
      </c>
      <c r="Q277" s="27" t="b">
        <f aca="false">FALSE()</f>
        <v>0</v>
      </c>
      <c r="R277" s="27" t="b">
        <f aca="false">FALSE()</f>
        <v>0</v>
      </c>
      <c r="S277" s="27" t="b">
        <f aca="false">FALSE()</f>
        <v>0</v>
      </c>
    </row>
    <row r="278" customFormat="false" ht="15" hidden="false" customHeight="false" outlineLevel="0" collapsed="false">
      <c r="A278" s="25" t="n">
        <v>277</v>
      </c>
      <c r="B278" s="25" t="s">
        <v>1153</v>
      </c>
      <c r="C278" s="25" t="s">
        <v>511</v>
      </c>
      <c r="D278" s="25" t="n">
        <v>20250809</v>
      </c>
      <c r="E278" s="25" t="n">
        <v>136</v>
      </c>
      <c r="F278" s="25" t="n">
        <v>37</v>
      </c>
      <c r="G278" s="25" t="s">
        <v>114</v>
      </c>
      <c r="H278" s="25" t="s">
        <v>25</v>
      </c>
      <c r="I278" s="25" t="s">
        <v>79</v>
      </c>
      <c r="J278" s="25" t="s">
        <v>269</v>
      </c>
      <c r="K278" s="25" t="n">
        <v>4</v>
      </c>
      <c r="L278" s="25" t="n">
        <v>16084.14</v>
      </c>
      <c r="M278" s="25" t="n">
        <v>5</v>
      </c>
      <c r="N278" s="25" t="n">
        <v>64336.56</v>
      </c>
      <c r="O278" s="25" t="n">
        <v>3216.83</v>
      </c>
      <c r="P278" s="25" t="n">
        <v>61119.73</v>
      </c>
      <c r="Q278" s="27" t="b">
        <f aca="false">FALSE()</f>
        <v>0</v>
      </c>
      <c r="R278" s="27" t="b">
        <f aca="false">FALSE()</f>
        <v>0</v>
      </c>
      <c r="S278" s="27" t="b">
        <f aca="false">FALSE()</f>
        <v>0</v>
      </c>
    </row>
    <row r="279" customFormat="false" ht="15" hidden="false" customHeight="false" outlineLevel="0" collapsed="false">
      <c r="A279" s="25" t="n">
        <v>278</v>
      </c>
      <c r="B279" s="25" t="s">
        <v>1154</v>
      </c>
      <c r="C279" s="25" t="s">
        <v>415</v>
      </c>
      <c r="D279" s="25" t="n">
        <v>20240114</v>
      </c>
      <c r="E279" s="25" t="n">
        <v>109</v>
      </c>
      <c r="F279" s="25" t="n">
        <v>68</v>
      </c>
      <c r="G279" s="25" t="s">
        <v>113</v>
      </c>
      <c r="H279" s="25" t="s">
        <v>25</v>
      </c>
      <c r="I279" s="25" t="s">
        <v>86</v>
      </c>
      <c r="J279" s="25" t="s">
        <v>250</v>
      </c>
      <c r="K279" s="25" t="n">
        <v>3</v>
      </c>
      <c r="L279" s="25" t="n">
        <v>21978.46</v>
      </c>
      <c r="M279" s="25" t="n">
        <v>10</v>
      </c>
      <c r="N279" s="25" t="n">
        <v>65935.38</v>
      </c>
      <c r="O279" s="25" t="n">
        <v>6593.54</v>
      </c>
      <c r="P279" s="25" t="n">
        <v>59341.84</v>
      </c>
      <c r="Q279" s="27" t="b">
        <f aca="false">FALSE()</f>
        <v>0</v>
      </c>
      <c r="R279" s="27" t="b">
        <f aca="false">FALSE()</f>
        <v>0</v>
      </c>
      <c r="S279" s="27" t="b">
        <f aca="false">FALSE()</f>
        <v>0</v>
      </c>
    </row>
    <row r="280" customFormat="false" ht="15" hidden="false" customHeight="false" outlineLevel="0" collapsed="false">
      <c r="A280" s="25" t="n">
        <v>279</v>
      </c>
      <c r="B280" s="25" t="s">
        <v>1155</v>
      </c>
      <c r="C280" s="25" t="s">
        <v>343</v>
      </c>
      <c r="D280" s="25" t="n">
        <v>20250823</v>
      </c>
      <c r="E280" s="25" t="n">
        <v>78</v>
      </c>
      <c r="F280" s="25" t="n">
        <v>57</v>
      </c>
      <c r="G280" s="25" t="s">
        <v>113</v>
      </c>
      <c r="H280" s="25" t="s">
        <v>2274</v>
      </c>
      <c r="I280" s="25" t="s">
        <v>1743</v>
      </c>
      <c r="J280" s="25" t="s">
        <v>242</v>
      </c>
      <c r="K280" s="25" t="n">
        <v>4</v>
      </c>
      <c r="L280" s="25" t="n">
        <v>11518.86</v>
      </c>
      <c r="M280" s="25" t="n">
        <v>0</v>
      </c>
      <c r="N280" s="25" t="n">
        <v>46075.44</v>
      </c>
      <c r="O280" s="25" t="n">
        <v>0</v>
      </c>
      <c r="P280" s="25" t="n">
        <v>46075.44</v>
      </c>
      <c r="Q280" s="27" t="b">
        <f aca="false">FALSE()</f>
        <v>0</v>
      </c>
      <c r="R280" s="27" t="b">
        <f aca="false">FALSE()</f>
        <v>0</v>
      </c>
      <c r="S280" s="27" t="b">
        <f aca="false">FALSE()</f>
        <v>0</v>
      </c>
    </row>
    <row r="281" customFormat="false" ht="15" hidden="false" customHeight="false" outlineLevel="0" collapsed="false">
      <c r="A281" s="25" t="n">
        <v>280</v>
      </c>
      <c r="B281" s="25" t="s">
        <v>1156</v>
      </c>
      <c r="C281" s="25" t="s">
        <v>343</v>
      </c>
      <c r="D281" s="25" t="n">
        <v>20250823</v>
      </c>
      <c r="E281" s="25" t="n">
        <v>78</v>
      </c>
      <c r="F281" s="25" t="n">
        <v>27</v>
      </c>
      <c r="G281" s="25" t="s">
        <v>113</v>
      </c>
      <c r="H281" s="25" t="s">
        <v>2274</v>
      </c>
      <c r="I281" s="25" t="s">
        <v>1743</v>
      </c>
      <c r="J281" s="25" t="s">
        <v>242</v>
      </c>
      <c r="K281" s="25" t="n">
        <v>3</v>
      </c>
      <c r="L281" s="25" t="n">
        <v>20550.39</v>
      </c>
      <c r="M281" s="25" t="n">
        <v>5</v>
      </c>
      <c r="N281" s="25" t="n">
        <v>61651.17</v>
      </c>
      <c r="O281" s="25" t="n">
        <v>3082.56</v>
      </c>
      <c r="P281" s="25" t="n">
        <v>58568.61</v>
      </c>
      <c r="Q281" s="27" t="b">
        <f aca="false">FALSE()</f>
        <v>0</v>
      </c>
      <c r="R281" s="27" t="b">
        <f aca="false">FALSE()</f>
        <v>0</v>
      </c>
      <c r="S281" s="27" t="b">
        <f aca="false">FALSE()</f>
        <v>0</v>
      </c>
    </row>
    <row r="282" customFormat="false" ht="15" hidden="false" customHeight="false" outlineLevel="0" collapsed="false">
      <c r="A282" s="25" t="n">
        <v>281</v>
      </c>
      <c r="B282" s="25" t="s">
        <v>1157</v>
      </c>
      <c r="C282" s="25" t="s">
        <v>343</v>
      </c>
      <c r="D282" s="25" t="n">
        <v>20250823</v>
      </c>
      <c r="E282" s="25" t="n">
        <v>78</v>
      </c>
      <c r="F282" s="25" t="n">
        <v>32</v>
      </c>
      <c r="G282" s="25" t="s">
        <v>113</v>
      </c>
      <c r="H282" s="25" t="s">
        <v>2274</v>
      </c>
      <c r="I282" s="25" t="s">
        <v>1743</v>
      </c>
      <c r="J282" s="25" t="s">
        <v>242</v>
      </c>
      <c r="K282" s="25" t="n">
        <v>1</v>
      </c>
      <c r="L282" s="25" t="n">
        <v>23243.35</v>
      </c>
      <c r="M282" s="25" t="n">
        <v>15</v>
      </c>
      <c r="N282" s="25" t="n">
        <v>23243.35</v>
      </c>
      <c r="O282" s="25" t="n">
        <v>3486.5</v>
      </c>
      <c r="P282" s="25" t="n">
        <v>19756.85</v>
      </c>
      <c r="Q282" s="27" t="b">
        <f aca="false">FALSE()</f>
        <v>0</v>
      </c>
      <c r="R282" s="27" t="b">
        <f aca="false">FALSE()</f>
        <v>0</v>
      </c>
      <c r="S282" s="27" t="b">
        <f aca="false">FALSE()</f>
        <v>0</v>
      </c>
    </row>
    <row r="283" customFormat="false" ht="15" hidden="false" customHeight="false" outlineLevel="0" collapsed="false">
      <c r="A283" s="25" t="n">
        <v>282</v>
      </c>
      <c r="B283" s="25" t="s">
        <v>1158</v>
      </c>
      <c r="C283" s="25" t="s">
        <v>335</v>
      </c>
      <c r="D283" s="25" t="n">
        <v>20250214</v>
      </c>
      <c r="E283" s="25" t="n">
        <v>136</v>
      </c>
      <c r="F283" s="25" t="n">
        <v>28</v>
      </c>
      <c r="G283" s="25" t="s">
        <v>115</v>
      </c>
      <c r="H283" s="25" t="s">
        <v>25</v>
      </c>
      <c r="I283" s="25" t="s">
        <v>75</v>
      </c>
      <c r="J283" s="25" t="s">
        <v>242</v>
      </c>
      <c r="K283" s="25" t="n">
        <v>3</v>
      </c>
      <c r="L283" s="25" t="n">
        <v>7218.53</v>
      </c>
      <c r="M283" s="25" t="n">
        <v>15</v>
      </c>
      <c r="N283" s="25" t="n">
        <v>21655.59</v>
      </c>
      <c r="O283" s="25" t="n">
        <v>3248.34</v>
      </c>
      <c r="P283" s="25" t="n">
        <v>18407.25</v>
      </c>
      <c r="Q283" s="27" t="b">
        <f aca="false">FALSE()</f>
        <v>0</v>
      </c>
      <c r="R283" s="27" t="b">
        <f aca="false">FALSE()</f>
        <v>0</v>
      </c>
      <c r="S283" s="27" t="b">
        <f aca="false">FALSE()</f>
        <v>0</v>
      </c>
    </row>
    <row r="284" customFormat="false" ht="15" hidden="false" customHeight="false" outlineLevel="0" collapsed="false">
      <c r="A284" s="25" t="n">
        <v>283</v>
      </c>
      <c r="B284" s="25" t="s">
        <v>1159</v>
      </c>
      <c r="C284" s="25" t="s">
        <v>335</v>
      </c>
      <c r="D284" s="25" t="n">
        <v>20250214</v>
      </c>
      <c r="E284" s="25" t="n">
        <v>136</v>
      </c>
      <c r="F284" s="25" t="n">
        <v>2</v>
      </c>
      <c r="G284" s="25" t="s">
        <v>115</v>
      </c>
      <c r="H284" s="25" t="s">
        <v>25</v>
      </c>
      <c r="I284" s="25" t="s">
        <v>75</v>
      </c>
      <c r="J284" s="25" t="s">
        <v>242</v>
      </c>
      <c r="K284" s="25" t="n">
        <v>5</v>
      </c>
      <c r="L284" s="25" t="n">
        <v>9953.59</v>
      </c>
      <c r="M284" s="25" t="n">
        <v>20</v>
      </c>
      <c r="N284" s="25" t="n">
        <v>49767.95</v>
      </c>
      <c r="O284" s="25" t="n">
        <v>9953.59</v>
      </c>
      <c r="P284" s="25" t="n">
        <v>39814.36</v>
      </c>
      <c r="Q284" s="27" t="b">
        <f aca="false">FALSE()</f>
        <v>0</v>
      </c>
      <c r="R284" s="27" t="b">
        <f aca="false">FALSE()</f>
        <v>0</v>
      </c>
      <c r="S284" s="27" t="b">
        <f aca="false">FALSE()</f>
        <v>0</v>
      </c>
    </row>
    <row r="285" customFormat="false" ht="15" hidden="false" customHeight="false" outlineLevel="0" collapsed="false">
      <c r="A285" s="25" t="n">
        <v>284</v>
      </c>
      <c r="B285" s="25" t="s">
        <v>1160</v>
      </c>
      <c r="C285" s="25" t="s">
        <v>357</v>
      </c>
      <c r="D285" s="25" t="n">
        <v>20250404</v>
      </c>
      <c r="E285" s="25" t="n">
        <v>106</v>
      </c>
      <c r="F285" s="25" t="n">
        <v>63</v>
      </c>
      <c r="G285" s="25" t="s">
        <v>115</v>
      </c>
      <c r="H285" s="25" t="s">
        <v>2267</v>
      </c>
      <c r="I285" s="25" t="s">
        <v>1770</v>
      </c>
      <c r="J285" s="25" t="s">
        <v>250</v>
      </c>
      <c r="K285" s="25" t="n">
        <v>3</v>
      </c>
      <c r="L285" s="25" t="n">
        <v>9269.43</v>
      </c>
      <c r="M285" s="25" t="n">
        <v>0</v>
      </c>
      <c r="N285" s="25" t="n">
        <v>27808.29</v>
      </c>
      <c r="O285" s="25" t="n">
        <v>0</v>
      </c>
      <c r="P285" s="25" t="n">
        <v>27808.29</v>
      </c>
      <c r="Q285" s="27" t="b">
        <f aca="false">FALSE()</f>
        <v>0</v>
      </c>
      <c r="R285" s="27" t="b">
        <f aca="false">FALSE()</f>
        <v>0</v>
      </c>
      <c r="S285" s="27" t="b">
        <f aca="false">FALSE()</f>
        <v>0</v>
      </c>
    </row>
    <row r="286" customFormat="false" ht="15" hidden="false" customHeight="false" outlineLevel="0" collapsed="false">
      <c r="A286" s="25" t="n">
        <v>285</v>
      </c>
      <c r="B286" s="25" t="s">
        <v>1162</v>
      </c>
      <c r="C286" s="25" t="s">
        <v>505</v>
      </c>
      <c r="D286" s="25" t="n">
        <v>20240101</v>
      </c>
      <c r="E286" s="25" t="n">
        <v>1</v>
      </c>
      <c r="F286" s="25" t="n">
        <v>37</v>
      </c>
      <c r="G286" s="25" t="s">
        <v>113</v>
      </c>
      <c r="H286" s="25" t="s">
        <v>25</v>
      </c>
      <c r="I286" s="25" t="s">
        <v>75</v>
      </c>
      <c r="J286" s="25" t="s">
        <v>242</v>
      </c>
      <c r="K286" s="25" t="n">
        <v>1</v>
      </c>
      <c r="L286" s="25" t="n">
        <v>16084.14</v>
      </c>
      <c r="M286" s="25" t="n">
        <v>20</v>
      </c>
      <c r="N286" s="25" t="n">
        <v>16084.14</v>
      </c>
      <c r="O286" s="25" t="n">
        <v>3216.83</v>
      </c>
      <c r="P286" s="25" t="n">
        <v>12867.31</v>
      </c>
      <c r="Q286" s="27" t="b">
        <f aca="false">FALSE()</f>
        <v>0</v>
      </c>
      <c r="R286" s="27" t="b">
        <f aca="false">FALSE()</f>
        <v>0</v>
      </c>
      <c r="S286" s="27" t="b">
        <f aca="false">FALSE()</f>
        <v>0</v>
      </c>
    </row>
    <row r="287" customFormat="false" ht="15" hidden="false" customHeight="false" outlineLevel="0" collapsed="false">
      <c r="A287" s="25" t="n">
        <v>286</v>
      </c>
      <c r="B287" s="25" t="s">
        <v>1163</v>
      </c>
      <c r="C287" s="25" t="s">
        <v>505</v>
      </c>
      <c r="D287" s="25" t="n">
        <v>20240101</v>
      </c>
      <c r="E287" s="25" t="n">
        <v>1</v>
      </c>
      <c r="F287" s="25" t="n">
        <v>21</v>
      </c>
      <c r="G287" s="25" t="s">
        <v>113</v>
      </c>
      <c r="H287" s="25" t="s">
        <v>25</v>
      </c>
      <c r="I287" s="25" t="s">
        <v>75</v>
      </c>
      <c r="J287" s="25" t="s">
        <v>242</v>
      </c>
      <c r="K287" s="25" t="n">
        <v>3</v>
      </c>
      <c r="L287" s="25" t="n">
        <v>3184.81</v>
      </c>
      <c r="M287" s="25" t="n">
        <v>10</v>
      </c>
      <c r="N287" s="25" t="n">
        <v>9554.43</v>
      </c>
      <c r="O287" s="25" t="n">
        <v>955.44</v>
      </c>
      <c r="P287" s="25" t="n">
        <v>8598.99</v>
      </c>
      <c r="Q287" s="27" t="b">
        <f aca="false">FALSE()</f>
        <v>0</v>
      </c>
      <c r="R287" s="27" t="b">
        <f aca="false">FALSE()</f>
        <v>0</v>
      </c>
      <c r="S287" s="27" t="b">
        <f aca="false">FALSE()</f>
        <v>0</v>
      </c>
    </row>
    <row r="288" customFormat="false" ht="15" hidden="false" customHeight="false" outlineLevel="0" collapsed="false">
      <c r="A288" s="25" t="n">
        <v>287</v>
      </c>
      <c r="B288" s="25" t="s">
        <v>1164</v>
      </c>
      <c r="C288" s="25" t="s">
        <v>505</v>
      </c>
      <c r="D288" s="25" t="n">
        <v>20240101</v>
      </c>
      <c r="E288" s="25" t="n">
        <v>1</v>
      </c>
      <c r="F288" s="25" t="n">
        <v>67</v>
      </c>
      <c r="G288" s="25" t="s">
        <v>113</v>
      </c>
      <c r="H288" s="25" t="s">
        <v>25</v>
      </c>
      <c r="I288" s="25" t="s">
        <v>75</v>
      </c>
      <c r="J288" s="25" t="s">
        <v>242</v>
      </c>
      <c r="K288" s="25" t="n">
        <v>4</v>
      </c>
      <c r="L288" s="25" t="n">
        <v>14595.44</v>
      </c>
      <c r="M288" s="25" t="n">
        <v>10</v>
      </c>
      <c r="N288" s="25" t="n">
        <v>58381.76</v>
      </c>
      <c r="O288" s="25" t="n">
        <v>5838.18</v>
      </c>
      <c r="P288" s="25" t="n">
        <v>52543.58</v>
      </c>
      <c r="Q288" s="27" t="b">
        <f aca="false">FALSE()</f>
        <v>0</v>
      </c>
      <c r="R288" s="27" t="b">
        <f aca="false">FALSE()</f>
        <v>0</v>
      </c>
      <c r="S288" s="27" t="b">
        <f aca="false">FALSE()</f>
        <v>0</v>
      </c>
    </row>
    <row r="289" customFormat="false" ht="15" hidden="false" customHeight="false" outlineLevel="0" collapsed="false">
      <c r="A289" s="25" t="n">
        <v>288</v>
      </c>
      <c r="B289" s="25" t="s">
        <v>1165</v>
      </c>
      <c r="C289" s="25" t="s">
        <v>505</v>
      </c>
      <c r="D289" s="25" t="n">
        <v>20240101</v>
      </c>
      <c r="E289" s="25" t="n">
        <v>1</v>
      </c>
      <c r="F289" s="25" t="n">
        <v>45</v>
      </c>
      <c r="G289" s="25" t="s">
        <v>113</v>
      </c>
      <c r="H289" s="25" t="s">
        <v>25</v>
      </c>
      <c r="I289" s="25" t="s">
        <v>75</v>
      </c>
      <c r="J289" s="25" t="s">
        <v>242</v>
      </c>
      <c r="K289" s="25" t="n">
        <v>4</v>
      </c>
      <c r="L289" s="25" t="n">
        <v>27280.24</v>
      </c>
      <c r="M289" s="25" t="n">
        <v>20</v>
      </c>
      <c r="N289" s="25" t="n">
        <v>109120.96</v>
      </c>
      <c r="O289" s="25" t="n">
        <v>21824.19</v>
      </c>
      <c r="P289" s="25" t="n">
        <v>87296.77</v>
      </c>
      <c r="Q289" s="27" t="b">
        <f aca="false">TRUE()</f>
        <v>1</v>
      </c>
      <c r="R289" s="27" t="b">
        <f aca="false">FALSE()</f>
        <v>0</v>
      </c>
      <c r="S289" s="27" t="b">
        <f aca="false">FALSE()</f>
        <v>0</v>
      </c>
    </row>
    <row r="290" customFormat="false" ht="15" hidden="false" customHeight="false" outlineLevel="0" collapsed="false">
      <c r="A290" s="25" t="n">
        <v>289</v>
      </c>
      <c r="B290" s="25" t="s">
        <v>1167</v>
      </c>
      <c r="C290" s="25" t="s">
        <v>347</v>
      </c>
      <c r="D290" s="25" t="n">
        <v>20250904</v>
      </c>
      <c r="E290" s="25" t="n">
        <v>143</v>
      </c>
      <c r="F290" s="25" t="n">
        <v>44</v>
      </c>
      <c r="G290" s="25" t="s">
        <v>114</v>
      </c>
      <c r="H290" s="25" t="s">
        <v>2271</v>
      </c>
      <c r="I290" s="25" t="s">
        <v>79</v>
      </c>
      <c r="J290" s="25" t="s">
        <v>269</v>
      </c>
      <c r="K290" s="25" t="n">
        <v>5</v>
      </c>
      <c r="L290" s="25" t="n">
        <v>22655.14</v>
      </c>
      <c r="M290" s="25" t="n">
        <v>0</v>
      </c>
      <c r="N290" s="25" t="n">
        <v>113275.7</v>
      </c>
      <c r="O290" s="25" t="n">
        <v>0</v>
      </c>
      <c r="P290" s="25" t="n">
        <v>113275.7</v>
      </c>
      <c r="Q290" s="27" t="b">
        <f aca="false">FALSE()</f>
        <v>0</v>
      </c>
      <c r="R290" s="27" t="b">
        <f aca="false">FALSE()</f>
        <v>0</v>
      </c>
      <c r="S290" s="27" t="b">
        <f aca="false">FALSE()</f>
        <v>0</v>
      </c>
    </row>
    <row r="291" customFormat="false" ht="15" hidden="false" customHeight="false" outlineLevel="0" collapsed="false">
      <c r="A291" s="25" t="n">
        <v>290</v>
      </c>
      <c r="B291" s="25" t="s">
        <v>1168</v>
      </c>
      <c r="C291" s="25" t="s">
        <v>347</v>
      </c>
      <c r="D291" s="25" t="n">
        <v>20250904</v>
      </c>
      <c r="E291" s="25" t="n">
        <v>143</v>
      </c>
      <c r="F291" s="25" t="n">
        <v>7</v>
      </c>
      <c r="G291" s="25" t="s">
        <v>114</v>
      </c>
      <c r="H291" s="25" t="s">
        <v>2271</v>
      </c>
      <c r="I291" s="25" t="s">
        <v>79</v>
      </c>
      <c r="J291" s="25" t="s">
        <v>269</v>
      </c>
      <c r="K291" s="25" t="n">
        <v>4</v>
      </c>
      <c r="L291" s="25" t="n">
        <v>20278.89</v>
      </c>
      <c r="M291" s="25" t="n">
        <v>5</v>
      </c>
      <c r="N291" s="25" t="n">
        <v>81115.56</v>
      </c>
      <c r="O291" s="25" t="n">
        <v>4055.78</v>
      </c>
      <c r="P291" s="25" t="n">
        <v>77059.78</v>
      </c>
      <c r="Q291" s="27" t="b">
        <f aca="false">FALSE()</f>
        <v>0</v>
      </c>
      <c r="R291" s="27" t="b">
        <f aca="false">FALSE()</f>
        <v>0</v>
      </c>
      <c r="S291" s="27" t="b">
        <f aca="false">FALSE()</f>
        <v>0</v>
      </c>
    </row>
    <row r="292" customFormat="false" ht="15" hidden="false" customHeight="false" outlineLevel="0" collapsed="false">
      <c r="A292" s="25" t="n">
        <v>291</v>
      </c>
      <c r="B292" s="25" t="s">
        <v>1169</v>
      </c>
      <c r="C292" s="25" t="s">
        <v>288</v>
      </c>
      <c r="D292" s="25" t="n">
        <v>20250111</v>
      </c>
      <c r="E292" s="25" t="n">
        <v>40</v>
      </c>
      <c r="F292" s="25" t="n">
        <v>33</v>
      </c>
      <c r="G292" s="25" t="s">
        <v>113</v>
      </c>
      <c r="H292" s="25" t="s">
        <v>25</v>
      </c>
      <c r="I292" s="25" t="s">
        <v>86</v>
      </c>
      <c r="J292" s="25" t="s">
        <v>269</v>
      </c>
      <c r="K292" s="25" t="n">
        <v>3</v>
      </c>
      <c r="L292" s="25" t="n">
        <v>11865.75</v>
      </c>
      <c r="M292" s="25" t="n">
        <v>10</v>
      </c>
      <c r="N292" s="25" t="n">
        <v>35597.25</v>
      </c>
      <c r="O292" s="25" t="n">
        <v>3559.72</v>
      </c>
      <c r="P292" s="25" t="n">
        <v>32037.53</v>
      </c>
      <c r="Q292" s="27" t="b">
        <f aca="false">FALSE()</f>
        <v>0</v>
      </c>
      <c r="R292" s="27" t="b">
        <f aca="false">FALSE()</f>
        <v>0</v>
      </c>
      <c r="S292" s="27" t="b">
        <f aca="false">FALSE()</f>
        <v>0</v>
      </c>
    </row>
    <row r="293" customFormat="false" ht="15" hidden="false" customHeight="false" outlineLevel="0" collapsed="false">
      <c r="A293" s="25" t="n">
        <v>292</v>
      </c>
      <c r="B293" s="25" t="s">
        <v>1170</v>
      </c>
      <c r="C293" s="25" t="s">
        <v>288</v>
      </c>
      <c r="D293" s="25" t="n">
        <v>20250111</v>
      </c>
      <c r="E293" s="25" t="n">
        <v>40</v>
      </c>
      <c r="F293" s="25" t="n">
        <v>69</v>
      </c>
      <c r="G293" s="25" t="s">
        <v>113</v>
      </c>
      <c r="H293" s="25" t="s">
        <v>25</v>
      </c>
      <c r="I293" s="25" t="s">
        <v>86</v>
      </c>
      <c r="J293" s="25" t="s">
        <v>269</v>
      </c>
      <c r="K293" s="25" t="n">
        <v>3</v>
      </c>
      <c r="L293" s="25" t="n">
        <v>25742.49</v>
      </c>
      <c r="M293" s="25" t="n">
        <v>10</v>
      </c>
      <c r="N293" s="25" t="n">
        <v>77227.47</v>
      </c>
      <c r="O293" s="25" t="n">
        <v>7722.75</v>
      </c>
      <c r="P293" s="25" t="n">
        <v>69504.72</v>
      </c>
      <c r="Q293" s="27" t="b">
        <f aca="false">TRUE()</f>
        <v>1</v>
      </c>
      <c r="R293" s="27" t="b">
        <f aca="false">FALSE()</f>
        <v>0</v>
      </c>
      <c r="S293" s="27" t="b">
        <f aca="false">FALSE()</f>
        <v>0</v>
      </c>
    </row>
    <row r="294" customFormat="false" ht="15" hidden="false" customHeight="false" outlineLevel="0" collapsed="false">
      <c r="A294" s="25" t="n">
        <v>293</v>
      </c>
      <c r="B294" s="25" t="s">
        <v>1171</v>
      </c>
      <c r="C294" s="25" t="s">
        <v>288</v>
      </c>
      <c r="D294" s="25" t="n">
        <v>20250111</v>
      </c>
      <c r="E294" s="25" t="n">
        <v>40</v>
      </c>
      <c r="F294" s="25" t="n">
        <v>35</v>
      </c>
      <c r="G294" s="25" t="s">
        <v>113</v>
      </c>
      <c r="H294" s="25" t="s">
        <v>25</v>
      </c>
      <c r="I294" s="25" t="s">
        <v>86</v>
      </c>
      <c r="J294" s="25" t="s">
        <v>269</v>
      </c>
      <c r="K294" s="25" t="n">
        <v>1</v>
      </c>
      <c r="L294" s="25" t="n">
        <v>1741.05</v>
      </c>
      <c r="M294" s="25" t="n">
        <v>20</v>
      </c>
      <c r="N294" s="25" t="n">
        <v>1741.05</v>
      </c>
      <c r="O294" s="25" t="n">
        <v>348.21</v>
      </c>
      <c r="P294" s="25" t="n">
        <v>1392.84</v>
      </c>
      <c r="Q294" s="27" t="b">
        <f aca="false">FALSE()</f>
        <v>0</v>
      </c>
      <c r="R294" s="27" t="b">
        <f aca="false">FALSE()</f>
        <v>0</v>
      </c>
      <c r="S294" s="27" t="b">
        <f aca="false">FALSE()</f>
        <v>0</v>
      </c>
    </row>
    <row r="295" customFormat="false" ht="15" hidden="false" customHeight="false" outlineLevel="0" collapsed="false">
      <c r="A295" s="25" t="n">
        <v>294</v>
      </c>
      <c r="B295" s="25" t="s">
        <v>1172</v>
      </c>
      <c r="C295" s="25" t="s">
        <v>432</v>
      </c>
      <c r="D295" s="25" t="n">
        <v>20240604</v>
      </c>
      <c r="E295" s="25" t="n">
        <v>146</v>
      </c>
      <c r="F295" s="25" t="n">
        <v>45</v>
      </c>
      <c r="G295" s="25" t="s">
        <v>113</v>
      </c>
      <c r="H295" s="25" t="s">
        <v>25</v>
      </c>
      <c r="I295" s="25" t="s">
        <v>71</v>
      </c>
      <c r="J295" s="25" t="s">
        <v>242</v>
      </c>
      <c r="K295" s="25" t="n">
        <v>2</v>
      </c>
      <c r="L295" s="25" t="n">
        <v>27280.24</v>
      </c>
      <c r="M295" s="25" t="n">
        <v>10</v>
      </c>
      <c r="N295" s="25" t="n">
        <v>54560.48</v>
      </c>
      <c r="O295" s="25" t="n">
        <v>5456.05</v>
      </c>
      <c r="P295" s="25" t="n">
        <v>49104.43</v>
      </c>
      <c r="Q295" s="27" t="b">
        <f aca="false">FALSE()</f>
        <v>0</v>
      </c>
      <c r="R295" s="27" t="b">
        <f aca="false">TRUE()</f>
        <v>1</v>
      </c>
      <c r="S295" s="27" t="b">
        <f aca="false">FALSE()</f>
        <v>0</v>
      </c>
    </row>
    <row r="296" customFormat="false" ht="15" hidden="false" customHeight="false" outlineLevel="0" collapsed="false">
      <c r="A296" s="25" t="n">
        <v>295</v>
      </c>
      <c r="B296" s="25" t="s">
        <v>1174</v>
      </c>
      <c r="C296" s="25" t="s">
        <v>432</v>
      </c>
      <c r="D296" s="25" t="n">
        <v>20240604</v>
      </c>
      <c r="E296" s="25" t="n">
        <v>146</v>
      </c>
      <c r="F296" s="25" t="n">
        <v>48</v>
      </c>
      <c r="G296" s="25" t="s">
        <v>113</v>
      </c>
      <c r="H296" s="25" t="s">
        <v>25</v>
      </c>
      <c r="I296" s="25" t="s">
        <v>71</v>
      </c>
      <c r="J296" s="25" t="s">
        <v>242</v>
      </c>
      <c r="K296" s="25" t="n">
        <v>2</v>
      </c>
      <c r="L296" s="25" t="n">
        <v>25643.17</v>
      </c>
      <c r="M296" s="25" t="n">
        <v>0</v>
      </c>
      <c r="N296" s="25" t="n">
        <v>51286.34</v>
      </c>
      <c r="O296" s="25" t="n">
        <v>0</v>
      </c>
      <c r="P296" s="25" t="n">
        <v>51286.34</v>
      </c>
      <c r="Q296" s="27" t="b">
        <f aca="false">FALSE()</f>
        <v>0</v>
      </c>
      <c r="R296" s="27" t="b">
        <f aca="false">FALSE()</f>
        <v>0</v>
      </c>
      <c r="S296" s="27" t="b">
        <f aca="false">FALSE()</f>
        <v>0</v>
      </c>
    </row>
    <row r="297" customFormat="false" ht="15" hidden="false" customHeight="false" outlineLevel="0" collapsed="false">
      <c r="A297" s="25" t="n">
        <v>296</v>
      </c>
      <c r="B297" s="25" t="s">
        <v>1175</v>
      </c>
      <c r="C297" s="25" t="s">
        <v>307</v>
      </c>
      <c r="D297" s="25" t="n">
        <v>20210512</v>
      </c>
      <c r="E297" s="25" t="n">
        <v>69</v>
      </c>
      <c r="F297" s="25" t="n">
        <v>66</v>
      </c>
      <c r="G297" s="25" t="s">
        <v>114</v>
      </c>
      <c r="H297" s="25" t="s">
        <v>25</v>
      </c>
      <c r="I297" s="25" t="s">
        <v>1738</v>
      </c>
      <c r="J297" s="25" t="s">
        <v>242</v>
      </c>
      <c r="K297" s="25" t="n">
        <v>5</v>
      </c>
      <c r="L297" s="25" t="n">
        <v>19639.31</v>
      </c>
      <c r="M297" s="25" t="n">
        <v>10</v>
      </c>
      <c r="N297" s="25" t="n">
        <v>98196.55</v>
      </c>
      <c r="O297" s="25" t="n">
        <v>9819.66</v>
      </c>
      <c r="P297" s="25" t="n">
        <v>88376.89</v>
      </c>
      <c r="Q297" s="27" t="b">
        <f aca="false">FALSE()</f>
        <v>0</v>
      </c>
      <c r="R297" s="27" t="b">
        <f aca="false">FALSE()</f>
        <v>0</v>
      </c>
      <c r="S297" s="27" t="b">
        <f aca="false">FALSE()</f>
        <v>0</v>
      </c>
    </row>
    <row r="298" customFormat="false" ht="15" hidden="false" customHeight="false" outlineLevel="0" collapsed="false">
      <c r="A298" s="25" t="n">
        <v>297</v>
      </c>
      <c r="B298" s="25" t="s">
        <v>1177</v>
      </c>
      <c r="C298" s="25" t="s">
        <v>307</v>
      </c>
      <c r="D298" s="25" t="n">
        <v>20210512</v>
      </c>
      <c r="E298" s="25" t="n">
        <v>69</v>
      </c>
      <c r="F298" s="25" t="n">
        <v>37</v>
      </c>
      <c r="G298" s="25" t="s">
        <v>114</v>
      </c>
      <c r="H298" s="25" t="s">
        <v>25</v>
      </c>
      <c r="I298" s="25" t="s">
        <v>1738</v>
      </c>
      <c r="J298" s="25" t="s">
        <v>242</v>
      </c>
      <c r="K298" s="25" t="n">
        <v>1</v>
      </c>
      <c r="L298" s="25" t="n">
        <v>16084.14</v>
      </c>
      <c r="M298" s="25" t="n">
        <v>0</v>
      </c>
      <c r="N298" s="25" t="n">
        <v>16084.14</v>
      </c>
      <c r="O298" s="25" t="n">
        <v>0</v>
      </c>
      <c r="P298" s="25" t="n">
        <v>16084.14</v>
      </c>
      <c r="Q298" s="27" t="b">
        <f aca="false">FALSE()</f>
        <v>0</v>
      </c>
      <c r="R298" s="27" t="b">
        <f aca="false">FALSE()</f>
        <v>0</v>
      </c>
      <c r="S298" s="27" t="b">
        <f aca="false">FALSE()</f>
        <v>0</v>
      </c>
    </row>
    <row r="299" customFormat="false" ht="15" hidden="false" customHeight="false" outlineLevel="0" collapsed="false">
      <c r="A299" s="25" t="n">
        <v>298</v>
      </c>
      <c r="B299" s="25" t="s">
        <v>1178</v>
      </c>
      <c r="C299" s="25" t="s">
        <v>463</v>
      </c>
      <c r="D299" s="25" t="n">
        <v>20251008</v>
      </c>
      <c r="E299" s="25" t="n">
        <v>13</v>
      </c>
      <c r="F299" s="25" t="n">
        <v>-1</v>
      </c>
      <c r="G299" s="25" t="s">
        <v>115</v>
      </c>
      <c r="H299" s="25" t="s">
        <v>25</v>
      </c>
      <c r="I299" s="25" t="s">
        <v>1743</v>
      </c>
      <c r="J299" s="25" t="s">
        <v>246</v>
      </c>
      <c r="K299" s="25" t="n">
        <v>3</v>
      </c>
      <c r="L299" s="25" t="n">
        <v>15176.98</v>
      </c>
      <c r="M299" s="25" t="n">
        <v>5</v>
      </c>
      <c r="N299" s="25" t="n">
        <v>45530.94</v>
      </c>
      <c r="O299" s="25" t="n">
        <v>2276.55</v>
      </c>
      <c r="P299" s="25" t="n">
        <v>43254.39</v>
      </c>
      <c r="Q299" s="27" t="b">
        <f aca="false">FALSE()</f>
        <v>0</v>
      </c>
      <c r="R299" s="27" t="b">
        <f aca="false">FALSE()</f>
        <v>0</v>
      </c>
      <c r="S299" s="27" t="b">
        <f aca="false">FALSE()</f>
        <v>0</v>
      </c>
    </row>
    <row r="300" customFormat="false" ht="15" hidden="false" customHeight="false" outlineLevel="0" collapsed="false">
      <c r="A300" s="25" t="n">
        <v>299</v>
      </c>
      <c r="B300" s="25" t="s">
        <v>1180</v>
      </c>
      <c r="C300" s="25" t="s">
        <v>463</v>
      </c>
      <c r="D300" s="25" t="n">
        <v>20251008</v>
      </c>
      <c r="E300" s="25" t="n">
        <v>13</v>
      </c>
      <c r="F300" s="25" t="n">
        <v>50</v>
      </c>
      <c r="G300" s="25" t="s">
        <v>115</v>
      </c>
      <c r="H300" s="25" t="s">
        <v>25</v>
      </c>
      <c r="I300" s="25" t="s">
        <v>1743</v>
      </c>
      <c r="J300" s="25" t="s">
        <v>246</v>
      </c>
      <c r="K300" s="25" t="n">
        <v>1</v>
      </c>
      <c r="L300" s="25" t="n">
        <v>22582.54</v>
      </c>
      <c r="M300" s="25" t="n">
        <v>20</v>
      </c>
      <c r="N300" s="25" t="n">
        <v>22582.54</v>
      </c>
      <c r="O300" s="25" t="n">
        <v>4516.51</v>
      </c>
      <c r="P300" s="25" t="n">
        <v>18066.03</v>
      </c>
      <c r="Q300" s="27" t="b">
        <f aca="false">FALSE()</f>
        <v>0</v>
      </c>
      <c r="R300" s="27" t="b">
        <f aca="false">FALSE()</f>
        <v>0</v>
      </c>
      <c r="S300" s="27" t="b">
        <f aca="false">FALSE()</f>
        <v>0</v>
      </c>
    </row>
    <row r="301" customFormat="false" ht="15" hidden="false" customHeight="false" outlineLevel="0" collapsed="false">
      <c r="A301" s="25" t="n">
        <v>300</v>
      </c>
      <c r="B301" s="25" t="s">
        <v>1181</v>
      </c>
      <c r="C301" s="25" t="s">
        <v>345</v>
      </c>
      <c r="D301" s="25" t="n">
        <v>20241124</v>
      </c>
      <c r="E301" s="25" t="n">
        <v>129</v>
      </c>
      <c r="F301" s="25" t="n">
        <v>44</v>
      </c>
      <c r="G301" s="25" t="s">
        <v>113</v>
      </c>
      <c r="H301" s="25" t="s">
        <v>25</v>
      </c>
      <c r="I301" s="25" t="s">
        <v>89</v>
      </c>
      <c r="J301" s="25" t="s">
        <v>242</v>
      </c>
      <c r="K301" s="25" t="n">
        <v>1</v>
      </c>
      <c r="L301" s="25" t="n">
        <v>22655.14</v>
      </c>
      <c r="M301" s="25" t="n">
        <v>5</v>
      </c>
      <c r="N301" s="25" t="n">
        <v>22655.14</v>
      </c>
      <c r="O301" s="25" t="n">
        <v>1132.76</v>
      </c>
      <c r="P301" s="25" t="n">
        <v>21522.38</v>
      </c>
      <c r="Q301" s="27" t="b">
        <f aca="false">TRUE()</f>
        <v>1</v>
      </c>
      <c r="R301" s="27" t="b">
        <f aca="false">FALSE()</f>
        <v>0</v>
      </c>
      <c r="S301" s="27" t="b">
        <f aca="false">FALSE()</f>
        <v>0</v>
      </c>
    </row>
    <row r="302" customFormat="false" ht="15" hidden="false" customHeight="false" outlineLevel="0" collapsed="false">
      <c r="A302" s="25" t="n">
        <v>301</v>
      </c>
      <c r="B302" s="25" t="s">
        <v>1182</v>
      </c>
      <c r="C302" s="25" t="s">
        <v>345</v>
      </c>
      <c r="D302" s="25" t="n">
        <v>20241124</v>
      </c>
      <c r="E302" s="25" t="n">
        <v>129</v>
      </c>
      <c r="F302" s="25" t="n">
        <v>21</v>
      </c>
      <c r="G302" s="25" t="s">
        <v>113</v>
      </c>
      <c r="H302" s="25" t="s">
        <v>25</v>
      </c>
      <c r="I302" s="25" t="s">
        <v>89</v>
      </c>
      <c r="J302" s="25" t="s">
        <v>242</v>
      </c>
      <c r="K302" s="25" t="n">
        <v>4</v>
      </c>
      <c r="L302" s="25" t="n">
        <v>3184.81</v>
      </c>
      <c r="M302" s="25" t="n">
        <v>5</v>
      </c>
      <c r="N302" s="25" t="n">
        <v>12739.24</v>
      </c>
      <c r="O302" s="25" t="n">
        <v>636.96</v>
      </c>
      <c r="P302" s="25" t="n">
        <v>12102.28</v>
      </c>
      <c r="Q302" s="27" t="b">
        <f aca="false">FALSE()</f>
        <v>0</v>
      </c>
      <c r="R302" s="27" t="b">
        <f aca="false">FALSE()</f>
        <v>0</v>
      </c>
      <c r="S302" s="27" t="b">
        <f aca="false">FALSE()</f>
        <v>0</v>
      </c>
    </row>
    <row r="303" customFormat="false" ht="15" hidden="false" customHeight="false" outlineLevel="0" collapsed="false">
      <c r="A303" s="25" t="n">
        <v>302</v>
      </c>
      <c r="B303" s="25" t="s">
        <v>1183</v>
      </c>
      <c r="C303" s="25" t="s">
        <v>345</v>
      </c>
      <c r="D303" s="25" t="n">
        <v>20241124</v>
      </c>
      <c r="E303" s="25" t="n">
        <v>129</v>
      </c>
      <c r="F303" s="25" t="n">
        <v>59</v>
      </c>
      <c r="G303" s="25" t="s">
        <v>113</v>
      </c>
      <c r="H303" s="25" t="s">
        <v>25</v>
      </c>
      <c r="I303" s="25" t="s">
        <v>89</v>
      </c>
      <c r="J303" s="25" t="s">
        <v>242</v>
      </c>
      <c r="K303" s="25" t="n">
        <v>2</v>
      </c>
      <c r="L303" s="25" t="n">
        <v>18828.5</v>
      </c>
      <c r="M303" s="25" t="n">
        <v>0</v>
      </c>
      <c r="N303" s="25" t="n">
        <v>37657</v>
      </c>
      <c r="O303" s="25" t="n">
        <v>0</v>
      </c>
      <c r="P303" s="25" t="n">
        <v>37657</v>
      </c>
      <c r="Q303" s="27" t="b">
        <f aca="false">FALSE()</f>
        <v>0</v>
      </c>
      <c r="R303" s="27" t="b">
        <f aca="false">FALSE()</f>
        <v>0</v>
      </c>
      <c r="S303" s="27" t="b">
        <f aca="false">FALSE()</f>
        <v>0</v>
      </c>
    </row>
    <row r="304" customFormat="false" ht="15" hidden="false" customHeight="false" outlineLevel="0" collapsed="false">
      <c r="A304" s="25" t="n">
        <v>303</v>
      </c>
      <c r="B304" s="25" t="s">
        <v>1184</v>
      </c>
      <c r="C304" s="25" t="s">
        <v>345</v>
      </c>
      <c r="D304" s="25" t="n">
        <v>20241124</v>
      </c>
      <c r="E304" s="25" t="n">
        <v>129</v>
      </c>
      <c r="F304" s="25" t="n">
        <v>62</v>
      </c>
      <c r="G304" s="25" t="s">
        <v>113</v>
      </c>
      <c r="H304" s="25" t="s">
        <v>25</v>
      </c>
      <c r="I304" s="25" t="s">
        <v>89</v>
      </c>
      <c r="J304" s="25" t="s">
        <v>242</v>
      </c>
      <c r="K304" s="25" t="n">
        <v>5</v>
      </c>
      <c r="L304" s="25" t="n">
        <v>8493.72</v>
      </c>
      <c r="M304" s="25" t="n">
        <v>0</v>
      </c>
      <c r="N304" s="25" t="n">
        <v>42468.6</v>
      </c>
      <c r="O304" s="25" t="n">
        <v>0</v>
      </c>
      <c r="P304" s="25" t="n">
        <v>42468.6</v>
      </c>
      <c r="Q304" s="27" t="b">
        <f aca="false">FALSE()</f>
        <v>0</v>
      </c>
      <c r="R304" s="27" t="b">
        <f aca="false">FALSE()</f>
        <v>0</v>
      </c>
      <c r="S304" s="27" t="b">
        <f aca="false">FALSE()</f>
        <v>0</v>
      </c>
    </row>
    <row r="305" customFormat="false" ht="15" hidden="false" customHeight="false" outlineLevel="0" collapsed="false">
      <c r="A305" s="25" t="n">
        <v>304</v>
      </c>
      <c r="B305" s="25" t="s">
        <v>1185</v>
      </c>
      <c r="C305" s="25" t="s">
        <v>460</v>
      </c>
      <c r="D305" s="25" t="n">
        <v>20240421</v>
      </c>
      <c r="E305" s="25" t="n">
        <v>20</v>
      </c>
      <c r="F305" s="25" t="n">
        <v>7</v>
      </c>
      <c r="G305" s="25" t="s">
        <v>113</v>
      </c>
      <c r="H305" s="25" t="s">
        <v>25</v>
      </c>
      <c r="I305" s="25" t="s">
        <v>83</v>
      </c>
      <c r="J305" s="25" t="s">
        <v>250</v>
      </c>
      <c r="K305" s="25" t="n">
        <v>2</v>
      </c>
      <c r="L305" s="25" t="n">
        <v>20278.89</v>
      </c>
      <c r="M305" s="25" t="n">
        <v>15</v>
      </c>
      <c r="N305" s="25" t="n">
        <v>40557.78</v>
      </c>
      <c r="O305" s="25" t="n">
        <v>6083.67</v>
      </c>
      <c r="P305" s="25" t="n">
        <v>34474.11</v>
      </c>
      <c r="Q305" s="27" t="b">
        <f aca="false">FALSE()</f>
        <v>0</v>
      </c>
      <c r="R305" s="27" t="b">
        <f aca="false">FALSE()</f>
        <v>0</v>
      </c>
      <c r="S305" s="27" t="b">
        <f aca="false">FALSE()</f>
        <v>0</v>
      </c>
    </row>
    <row r="306" customFormat="false" ht="15" hidden="false" customHeight="false" outlineLevel="0" collapsed="false">
      <c r="A306" s="25" t="n">
        <v>305</v>
      </c>
      <c r="B306" s="25" t="s">
        <v>1186</v>
      </c>
      <c r="C306" s="25" t="s">
        <v>460</v>
      </c>
      <c r="D306" s="25" t="n">
        <v>20240421</v>
      </c>
      <c r="E306" s="25" t="n">
        <v>20</v>
      </c>
      <c r="F306" s="25" t="n">
        <v>20</v>
      </c>
      <c r="G306" s="25" t="s">
        <v>113</v>
      </c>
      <c r="H306" s="25" t="s">
        <v>25</v>
      </c>
      <c r="I306" s="25" t="s">
        <v>83</v>
      </c>
      <c r="J306" s="25" t="s">
        <v>250</v>
      </c>
      <c r="K306" s="25" t="n">
        <v>3</v>
      </c>
      <c r="L306" s="25" t="n">
        <v>3634.57</v>
      </c>
      <c r="M306" s="25" t="n">
        <v>5</v>
      </c>
      <c r="N306" s="25" t="n">
        <v>10903.71</v>
      </c>
      <c r="O306" s="25" t="n">
        <v>545.19</v>
      </c>
      <c r="P306" s="25" t="n">
        <v>10358.52</v>
      </c>
      <c r="Q306" s="27" t="b">
        <f aca="false">FALSE()</f>
        <v>0</v>
      </c>
      <c r="R306" s="27" t="b">
        <f aca="false">FALSE()</f>
        <v>0</v>
      </c>
      <c r="S306" s="27" t="b">
        <f aca="false">FALSE()</f>
        <v>0</v>
      </c>
    </row>
    <row r="307" customFormat="false" ht="15" hidden="false" customHeight="false" outlineLevel="0" collapsed="false">
      <c r="A307" s="25" t="n">
        <v>306</v>
      </c>
      <c r="B307" s="25" t="s">
        <v>1187</v>
      </c>
      <c r="C307" s="25" t="s">
        <v>460</v>
      </c>
      <c r="D307" s="25" t="n">
        <v>20240421</v>
      </c>
      <c r="E307" s="25" t="n">
        <v>20</v>
      </c>
      <c r="F307" s="25" t="n">
        <v>41</v>
      </c>
      <c r="G307" s="25" t="s">
        <v>113</v>
      </c>
      <c r="H307" s="25" t="s">
        <v>25</v>
      </c>
      <c r="I307" s="25" t="s">
        <v>83</v>
      </c>
      <c r="J307" s="25" t="s">
        <v>250</v>
      </c>
      <c r="K307" s="25" t="n">
        <v>2</v>
      </c>
      <c r="L307" s="25" t="n">
        <v>11992.92</v>
      </c>
      <c r="M307" s="25" t="n">
        <v>10</v>
      </c>
      <c r="N307" s="25" t="n">
        <v>23985.84</v>
      </c>
      <c r="O307" s="25" t="n">
        <v>2398.58</v>
      </c>
      <c r="P307" s="25" t="n">
        <v>21587.26</v>
      </c>
      <c r="Q307" s="27" t="b">
        <f aca="false">FALSE()</f>
        <v>0</v>
      </c>
      <c r="R307" s="27" t="b">
        <f aca="false">FALSE()</f>
        <v>0</v>
      </c>
      <c r="S307" s="27" t="b">
        <f aca="false">FALSE()</f>
        <v>0</v>
      </c>
    </row>
    <row r="308" customFormat="false" ht="15" hidden="false" customHeight="false" outlineLevel="0" collapsed="false">
      <c r="A308" s="25" t="n">
        <v>307</v>
      </c>
      <c r="B308" s="25" t="s">
        <v>1188</v>
      </c>
      <c r="C308" s="25" t="s">
        <v>313</v>
      </c>
      <c r="D308" s="25" t="n">
        <v>20240220</v>
      </c>
      <c r="E308" s="25" t="n">
        <v>67</v>
      </c>
      <c r="F308" s="25" t="n">
        <v>69</v>
      </c>
      <c r="G308" s="25" t="s">
        <v>114</v>
      </c>
      <c r="H308" s="25" t="s">
        <v>2265</v>
      </c>
      <c r="I308" s="25" t="s">
        <v>79</v>
      </c>
      <c r="J308" s="25" t="s">
        <v>250</v>
      </c>
      <c r="K308" s="25" t="n">
        <v>2</v>
      </c>
      <c r="L308" s="25" t="n">
        <v>25742.49</v>
      </c>
      <c r="M308" s="25" t="n">
        <v>5</v>
      </c>
      <c r="N308" s="25" t="n">
        <v>51484.98</v>
      </c>
      <c r="O308" s="25" t="n">
        <v>2574.25</v>
      </c>
      <c r="P308" s="25" t="n">
        <v>48910.73</v>
      </c>
      <c r="Q308" s="27" t="b">
        <f aca="false">FALSE()</f>
        <v>0</v>
      </c>
      <c r="R308" s="27" t="b">
        <f aca="false">FALSE()</f>
        <v>0</v>
      </c>
      <c r="S308" s="27" t="b">
        <f aca="false">FALSE()</f>
        <v>0</v>
      </c>
    </row>
    <row r="309" customFormat="false" ht="15" hidden="false" customHeight="false" outlineLevel="0" collapsed="false">
      <c r="A309" s="25" t="n">
        <v>308</v>
      </c>
      <c r="B309" s="25" t="s">
        <v>1189</v>
      </c>
      <c r="C309" s="25" t="s">
        <v>313</v>
      </c>
      <c r="D309" s="25" t="n">
        <v>20240220</v>
      </c>
      <c r="E309" s="25" t="n">
        <v>67</v>
      </c>
      <c r="F309" s="25" t="n">
        <v>4</v>
      </c>
      <c r="G309" s="25" t="s">
        <v>114</v>
      </c>
      <c r="H309" s="25" t="s">
        <v>2265</v>
      </c>
      <c r="I309" s="25" t="s">
        <v>79</v>
      </c>
      <c r="J309" s="25" t="s">
        <v>250</v>
      </c>
      <c r="K309" s="25" t="n">
        <v>5</v>
      </c>
      <c r="L309" s="25" t="n">
        <v>21122.18</v>
      </c>
      <c r="M309" s="25" t="n">
        <v>0</v>
      </c>
      <c r="N309" s="25" t="n">
        <v>105610.9</v>
      </c>
      <c r="O309" s="25" t="n">
        <v>0</v>
      </c>
      <c r="P309" s="25" t="n">
        <v>105610.9</v>
      </c>
      <c r="Q309" s="27" t="b">
        <f aca="false">FALSE()</f>
        <v>0</v>
      </c>
      <c r="R309" s="27" t="b">
        <f aca="false">FALSE()</f>
        <v>0</v>
      </c>
      <c r="S309" s="27" t="b">
        <f aca="false">FALSE()</f>
        <v>0</v>
      </c>
    </row>
    <row r="310" customFormat="false" ht="15" hidden="false" customHeight="false" outlineLevel="0" collapsed="false">
      <c r="A310" s="25" t="n">
        <v>309</v>
      </c>
      <c r="B310" s="25" t="s">
        <v>1190</v>
      </c>
      <c r="C310" s="25" t="s">
        <v>454</v>
      </c>
      <c r="D310" s="25" t="n">
        <v>20240116</v>
      </c>
      <c r="E310" s="25" t="n">
        <v>107</v>
      </c>
      <c r="F310" s="25" t="n">
        <v>23</v>
      </c>
      <c r="G310" s="25" t="s">
        <v>113</v>
      </c>
      <c r="H310" s="25" t="s">
        <v>25</v>
      </c>
      <c r="I310" s="25" t="s">
        <v>83</v>
      </c>
      <c r="J310" s="25" t="s">
        <v>242</v>
      </c>
      <c r="K310" s="25" t="n">
        <v>1</v>
      </c>
      <c r="L310" s="25" t="n">
        <v>3019.36</v>
      </c>
      <c r="M310" s="25" t="n">
        <v>5</v>
      </c>
      <c r="N310" s="25" t="n">
        <v>3019.36</v>
      </c>
      <c r="O310" s="25" t="n">
        <v>150.97</v>
      </c>
      <c r="P310" s="25" t="n">
        <v>2868.39</v>
      </c>
      <c r="Q310" s="27" t="b">
        <f aca="false">FALSE()</f>
        <v>0</v>
      </c>
      <c r="R310" s="27" t="b">
        <f aca="false">FALSE()</f>
        <v>0</v>
      </c>
      <c r="S310" s="27" t="b">
        <f aca="false">FALSE()</f>
        <v>0</v>
      </c>
    </row>
    <row r="311" customFormat="false" ht="15" hidden="false" customHeight="false" outlineLevel="0" collapsed="false">
      <c r="A311" s="25" t="n">
        <v>310</v>
      </c>
      <c r="B311" s="25" t="s">
        <v>1191</v>
      </c>
      <c r="C311" s="25" t="s">
        <v>454</v>
      </c>
      <c r="D311" s="25" t="n">
        <v>20240116</v>
      </c>
      <c r="E311" s="25" t="n">
        <v>107</v>
      </c>
      <c r="F311" s="25" t="n">
        <v>67</v>
      </c>
      <c r="G311" s="25" t="s">
        <v>113</v>
      </c>
      <c r="H311" s="25" t="s">
        <v>25</v>
      </c>
      <c r="I311" s="25" t="s">
        <v>83</v>
      </c>
      <c r="J311" s="25" t="s">
        <v>242</v>
      </c>
      <c r="K311" s="25" t="n">
        <v>2</v>
      </c>
      <c r="L311" s="25" t="n">
        <v>14595.44</v>
      </c>
      <c r="M311" s="25" t="n">
        <v>5</v>
      </c>
      <c r="N311" s="25" t="n">
        <v>29190.88</v>
      </c>
      <c r="O311" s="25" t="n">
        <v>1459.54</v>
      </c>
      <c r="P311" s="25" t="n">
        <v>27731.34</v>
      </c>
      <c r="Q311" s="27" t="b">
        <f aca="false">FALSE()</f>
        <v>0</v>
      </c>
      <c r="R311" s="27" t="b">
        <f aca="false">FALSE()</f>
        <v>0</v>
      </c>
      <c r="S311" s="27" t="b">
        <f aca="false">FALSE()</f>
        <v>0</v>
      </c>
    </row>
    <row r="312" customFormat="false" ht="15" hidden="false" customHeight="false" outlineLevel="0" collapsed="false">
      <c r="A312" s="25" t="n">
        <v>311</v>
      </c>
      <c r="B312" s="25" t="s">
        <v>1192</v>
      </c>
      <c r="C312" s="25" t="s">
        <v>454</v>
      </c>
      <c r="D312" s="25" t="n">
        <v>20240116</v>
      </c>
      <c r="E312" s="25" t="n">
        <v>107</v>
      </c>
      <c r="F312" s="25" t="n">
        <v>69</v>
      </c>
      <c r="G312" s="25" t="s">
        <v>113</v>
      </c>
      <c r="H312" s="25" t="s">
        <v>25</v>
      </c>
      <c r="I312" s="25" t="s">
        <v>83</v>
      </c>
      <c r="J312" s="25" t="s">
        <v>242</v>
      </c>
      <c r="K312" s="25" t="n">
        <v>3</v>
      </c>
      <c r="L312" s="25" t="n">
        <v>25742.49</v>
      </c>
      <c r="M312" s="25" t="n">
        <v>5</v>
      </c>
      <c r="N312" s="25" t="n">
        <v>77227.47</v>
      </c>
      <c r="O312" s="25" t="n">
        <v>3861.37</v>
      </c>
      <c r="P312" s="25" t="n">
        <v>73366.1</v>
      </c>
      <c r="Q312" s="27" t="b">
        <f aca="false">FALSE()</f>
        <v>0</v>
      </c>
      <c r="R312" s="27" t="b">
        <f aca="false">FALSE()</f>
        <v>0</v>
      </c>
      <c r="S312" s="27" t="b">
        <f aca="false">FALSE()</f>
        <v>0</v>
      </c>
    </row>
    <row r="313" customFormat="false" ht="15" hidden="false" customHeight="false" outlineLevel="0" collapsed="false">
      <c r="A313" s="25" t="n">
        <v>312</v>
      </c>
      <c r="B313" s="25" t="s">
        <v>1193</v>
      </c>
      <c r="C313" s="25" t="s">
        <v>454</v>
      </c>
      <c r="D313" s="25" t="n">
        <v>20240116</v>
      </c>
      <c r="E313" s="25" t="n">
        <v>107</v>
      </c>
      <c r="F313" s="25" t="n">
        <v>44</v>
      </c>
      <c r="G313" s="25" t="s">
        <v>113</v>
      </c>
      <c r="H313" s="25" t="s">
        <v>25</v>
      </c>
      <c r="I313" s="25" t="s">
        <v>83</v>
      </c>
      <c r="J313" s="25" t="s">
        <v>242</v>
      </c>
      <c r="K313" s="25" t="n">
        <v>5</v>
      </c>
      <c r="L313" s="25" t="n">
        <v>22655.14</v>
      </c>
      <c r="M313" s="25" t="n">
        <v>0</v>
      </c>
      <c r="N313" s="25" t="n">
        <v>113275.7</v>
      </c>
      <c r="O313" s="25" t="n">
        <v>0</v>
      </c>
      <c r="P313" s="25" t="n">
        <v>113275.7</v>
      </c>
      <c r="Q313" s="27" t="b">
        <f aca="false">FALSE()</f>
        <v>0</v>
      </c>
      <c r="R313" s="27" t="b">
        <f aca="false">FALSE()</f>
        <v>0</v>
      </c>
      <c r="S313" s="27" t="b">
        <f aca="false">FALSE()</f>
        <v>0</v>
      </c>
    </row>
    <row r="314" customFormat="false" ht="15" hidden="false" customHeight="false" outlineLevel="0" collapsed="false">
      <c r="A314" s="25" t="n">
        <v>313</v>
      </c>
      <c r="B314" s="25" t="s">
        <v>1194</v>
      </c>
      <c r="C314" s="25" t="s">
        <v>536</v>
      </c>
      <c r="D314" s="25" t="n">
        <v>20250625</v>
      </c>
      <c r="E314" s="25" t="n">
        <v>41</v>
      </c>
      <c r="F314" s="25" t="n">
        <v>48</v>
      </c>
      <c r="G314" s="25" t="s">
        <v>115</v>
      </c>
      <c r="H314" s="25" t="s">
        <v>25</v>
      </c>
      <c r="I314" s="25" t="s">
        <v>1738</v>
      </c>
      <c r="J314" s="25" t="s">
        <v>242</v>
      </c>
      <c r="K314" s="25" t="n">
        <v>4</v>
      </c>
      <c r="L314" s="25" t="n">
        <v>25643.17</v>
      </c>
      <c r="M314" s="25" t="n">
        <v>5</v>
      </c>
      <c r="N314" s="25" t="n">
        <v>102572.68</v>
      </c>
      <c r="O314" s="25" t="n">
        <v>5128.63</v>
      </c>
      <c r="P314" s="25" t="n">
        <v>97444.05</v>
      </c>
      <c r="Q314" s="27" t="b">
        <f aca="false">FALSE()</f>
        <v>0</v>
      </c>
      <c r="R314" s="27" t="b">
        <f aca="false">FALSE()</f>
        <v>0</v>
      </c>
      <c r="S314" s="27" t="b">
        <f aca="false">FALSE()</f>
        <v>0</v>
      </c>
    </row>
    <row r="315" customFormat="false" ht="15" hidden="false" customHeight="false" outlineLevel="0" collapsed="false">
      <c r="A315" s="25" t="n">
        <v>314</v>
      </c>
      <c r="B315" s="25" t="s">
        <v>1196</v>
      </c>
      <c r="C315" s="25" t="s">
        <v>283</v>
      </c>
      <c r="D315" s="25" t="n">
        <v>20250627</v>
      </c>
      <c r="E315" s="25" t="n">
        <v>6</v>
      </c>
      <c r="F315" s="25" t="n">
        <v>20</v>
      </c>
      <c r="G315" s="25" t="s">
        <v>115</v>
      </c>
      <c r="H315" s="25" t="s">
        <v>25</v>
      </c>
      <c r="I315" s="25" t="s">
        <v>89</v>
      </c>
      <c r="J315" s="25" t="s">
        <v>246</v>
      </c>
      <c r="K315" s="25" t="n">
        <v>2</v>
      </c>
      <c r="L315" s="25" t="n">
        <v>3634.57</v>
      </c>
      <c r="M315" s="25" t="n">
        <v>10</v>
      </c>
      <c r="N315" s="25" t="n">
        <v>7269.14</v>
      </c>
      <c r="O315" s="25" t="n">
        <v>726.91</v>
      </c>
      <c r="P315" s="25" t="n">
        <v>6542.23</v>
      </c>
      <c r="Q315" s="27" t="b">
        <f aca="false">FALSE()</f>
        <v>0</v>
      </c>
      <c r="R315" s="27" t="b">
        <f aca="false">FALSE()</f>
        <v>0</v>
      </c>
      <c r="S315" s="27" t="b">
        <f aca="false">FALSE()</f>
        <v>0</v>
      </c>
    </row>
    <row r="316" customFormat="false" ht="15" hidden="false" customHeight="false" outlineLevel="0" collapsed="false">
      <c r="A316" s="25" t="n">
        <v>315</v>
      </c>
      <c r="B316" s="25" t="s">
        <v>1197</v>
      </c>
      <c r="C316" s="25" t="s">
        <v>283</v>
      </c>
      <c r="D316" s="25" t="n">
        <v>20250627</v>
      </c>
      <c r="E316" s="25" t="n">
        <v>6</v>
      </c>
      <c r="F316" s="25" t="n">
        <v>41</v>
      </c>
      <c r="G316" s="25" t="s">
        <v>115</v>
      </c>
      <c r="H316" s="25" t="s">
        <v>25</v>
      </c>
      <c r="I316" s="25" t="s">
        <v>89</v>
      </c>
      <c r="J316" s="25" t="s">
        <v>246</v>
      </c>
      <c r="K316" s="25" t="n">
        <v>4</v>
      </c>
      <c r="L316" s="25" t="n">
        <v>11992.92</v>
      </c>
      <c r="M316" s="25" t="n">
        <v>5</v>
      </c>
      <c r="N316" s="25" t="n">
        <v>47971.68</v>
      </c>
      <c r="O316" s="25" t="n">
        <v>2398.58</v>
      </c>
      <c r="P316" s="25" t="n">
        <v>45573.1</v>
      </c>
      <c r="Q316" s="27" t="b">
        <f aca="false">FALSE()</f>
        <v>0</v>
      </c>
      <c r="R316" s="27" t="b">
        <f aca="false">FALSE()</f>
        <v>0</v>
      </c>
      <c r="S316" s="27" t="b">
        <f aca="false">FALSE()</f>
        <v>0</v>
      </c>
    </row>
    <row r="317" customFormat="false" ht="15" hidden="false" customHeight="false" outlineLevel="0" collapsed="false">
      <c r="A317" s="25" t="n">
        <v>316</v>
      </c>
      <c r="B317" s="25" t="s">
        <v>1198</v>
      </c>
      <c r="C317" s="25" t="s">
        <v>283</v>
      </c>
      <c r="D317" s="25" t="n">
        <v>20250627</v>
      </c>
      <c r="E317" s="25" t="n">
        <v>6</v>
      </c>
      <c r="F317" s="25" t="n">
        <v>21</v>
      </c>
      <c r="G317" s="25" t="s">
        <v>115</v>
      </c>
      <c r="H317" s="25" t="s">
        <v>25</v>
      </c>
      <c r="I317" s="25" t="s">
        <v>89</v>
      </c>
      <c r="J317" s="25" t="s">
        <v>246</v>
      </c>
      <c r="K317" s="25" t="n">
        <v>2</v>
      </c>
      <c r="L317" s="25" t="n">
        <v>3184.81</v>
      </c>
      <c r="M317" s="25" t="n">
        <v>5</v>
      </c>
      <c r="N317" s="25" t="n">
        <v>6369.62</v>
      </c>
      <c r="O317" s="25" t="n">
        <v>318.48</v>
      </c>
      <c r="P317" s="25" t="n">
        <v>6051.14</v>
      </c>
      <c r="Q317" s="27" t="b">
        <f aca="false">FALSE()</f>
        <v>0</v>
      </c>
      <c r="R317" s="27" t="b">
        <f aca="false">FALSE()</f>
        <v>0</v>
      </c>
      <c r="S317" s="27" t="b">
        <f aca="false">FALSE()</f>
        <v>0</v>
      </c>
    </row>
    <row r="318" customFormat="false" ht="15" hidden="false" customHeight="false" outlineLevel="0" collapsed="false">
      <c r="A318" s="25" t="n">
        <v>317</v>
      </c>
      <c r="B318" s="25" t="s">
        <v>1199</v>
      </c>
      <c r="C318" s="25" t="s">
        <v>352</v>
      </c>
      <c r="D318" s="25" t="n">
        <v>20250618</v>
      </c>
      <c r="E318" s="25" t="n">
        <v>103</v>
      </c>
      <c r="F318" s="25" t="n">
        <v>36</v>
      </c>
      <c r="G318" s="25" t="s">
        <v>113</v>
      </c>
      <c r="H318" s="25" t="s">
        <v>25</v>
      </c>
      <c r="I318" s="25" t="s">
        <v>79</v>
      </c>
      <c r="J318" s="25" t="s">
        <v>242</v>
      </c>
      <c r="K318" s="25" t="n">
        <v>3</v>
      </c>
      <c r="L318" s="25" t="n">
        <v>4574.41</v>
      </c>
      <c r="M318" s="25" t="n">
        <v>20</v>
      </c>
      <c r="N318" s="25" t="n">
        <v>13723.23</v>
      </c>
      <c r="O318" s="25" t="n">
        <v>2744.65</v>
      </c>
      <c r="P318" s="25" t="n">
        <v>10978.58</v>
      </c>
      <c r="Q318" s="27" t="b">
        <f aca="false">FALSE()</f>
        <v>0</v>
      </c>
      <c r="R318" s="27" t="b">
        <f aca="false">FALSE()</f>
        <v>0</v>
      </c>
      <c r="S318" s="27" t="b">
        <f aca="false">FALSE()</f>
        <v>0</v>
      </c>
    </row>
    <row r="319" customFormat="false" ht="15" hidden="false" customHeight="false" outlineLevel="0" collapsed="false">
      <c r="A319" s="25" t="n">
        <v>318</v>
      </c>
      <c r="B319" s="25" t="s">
        <v>1201</v>
      </c>
      <c r="C319" s="25" t="s">
        <v>352</v>
      </c>
      <c r="D319" s="25" t="n">
        <v>20250618</v>
      </c>
      <c r="E319" s="25" t="n">
        <v>103</v>
      </c>
      <c r="F319" s="25" t="n">
        <v>35</v>
      </c>
      <c r="G319" s="25" t="s">
        <v>113</v>
      </c>
      <c r="H319" s="25" t="s">
        <v>25</v>
      </c>
      <c r="I319" s="25" t="s">
        <v>79</v>
      </c>
      <c r="J319" s="25" t="s">
        <v>242</v>
      </c>
      <c r="K319" s="25" t="n">
        <v>3</v>
      </c>
      <c r="L319" s="25" t="n">
        <v>1741.05</v>
      </c>
      <c r="M319" s="25" t="n">
        <v>0</v>
      </c>
      <c r="N319" s="25" t="n">
        <v>5223.15</v>
      </c>
      <c r="O319" s="25" t="n">
        <v>0</v>
      </c>
      <c r="P319" s="25" t="n">
        <v>5223.15</v>
      </c>
      <c r="Q319" s="27" t="b">
        <f aca="false">FALSE()</f>
        <v>0</v>
      </c>
      <c r="R319" s="27" t="b">
        <f aca="false">FALSE()</f>
        <v>0</v>
      </c>
      <c r="S319" s="27" t="b">
        <f aca="false">FALSE()</f>
        <v>0</v>
      </c>
    </row>
    <row r="320" customFormat="false" ht="15" hidden="false" customHeight="false" outlineLevel="0" collapsed="false">
      <c r="A320" s="25" t="n">
        <v>319</v>
      </c>
      <c r="B320" s="25" t="s">
        <v>1202</v>
      </c>
      <c r="C320" s="25" t="s">
        <v>349</v>
      </c>
      <c r="D320" s="25" t="n">
        <v>20240528</v>
      </c>
      <c r="E320" s="25" t="n">
        <v>82</v>
      </c>
      <c r="F320" s="25" t="n">
        <v>68</v>
      </c>
      <c r="G320" s="25" t="s">
        <v>113</v>
      </c>
      <c r="H320" s="25" t="s">
        <v>25</v>
      </c>
      <c r="I320" s="25" t="s">
        <v>1770</v>
      </c>
      <c r="J320" s="25" t="s">
        <v>269</v>
      </c>
      <c r="K320" s="25" t="n">
        <v>3</v>
      </c>
      <c r="L320" s="25" t="n">
        <v>21978.46</v>
      </c>
      <c r="M320" s="25" t="n">
        <v>20</v>
      </c>
      <c r="N320" s="25" t="n">
        <v>65935.38</v>
      </c>
      <c r="O320" s="25" t="n">
        <v>13187.08</v>
      </c>
      <c r="P320" s="25" t="n">
        <v>52748.3</v>
      </c>
      <c r="Q320" s="27" t="b">
        <f aca="false">FALSE()</f>
        <v>0</v>
      </c>
      <c r="R320" s="27" t="b">
        <f aca="false">FALSE()</f>
        <v>0</v>
      </c>
      <c r="S320" s="27" t="b">
        <f aca="false">FALSE()</f>
        <v>0</v>
      </c>
    </row>
    <row r="321" customFormat="false" ht="15" hidden="false" customHeight="false" outlineLevel="0" collapsed="false">
      <c r="A321" s="25" t="n">
        <v>320</v>
      </c>
      <c r="B321" s="25" t="s">
        <v>1203</v>
      </c>
      <c r="C321" s="25" t="s">
        <v>349</v>
      </c>
      <c r="D321" s="25" t="n">
        <v>20240528</v>
      </c>
      <c r="E321" s="25" t="n">
        <v>82</v>
      </c>
      <c r="F321" s="25" t="n">
        <v>37</v>
      </c>
      <c r="G321" s="25" t="s">
        <v>113</v>
      </c>
      <c r="H321" s="25" t="s">
        <v>25</v>
      </c>
      <c r="I321" s="25" t="s">
        <v>1770</v>
      </c>
      <c r="J321" s="25" t="s">
        <v>269</v>
      </c>
      <c r="K321" s="25" t="n">
        <v>1</v>
      </c>
      <c r="L321" s="25" t="n">
        <v>16084.14</v>
      </c>
      <c r="M321" s="25" t="n">
        <v>0</v>
      </c>
      <c r="N321" s="25" t="n">
        <v>16084.14</v>
      </c>
      <c r="O321" s="25" t="n">
        <v>0</v>
      </c>
      <c r="P321" s="25" t="n">
        <v>16084.14</v>
      </c>
      <c r="Q321" s="27" t="b">
        <f aca="false">FALSE()</f>
        <v>0</v>
      </c>
      <c r="R321" s="27" t="b">
        <f aca="false">FALSE()</f>
        <v>0</v>
      </c>
      <c r="S321" s="27" t="b">
        <f aca="false">FALSE()</f>
        <v>0</v>
      </c>
    </row>
    <row r="322" customFormat="false" ht="15" hidden="false" customHeight="false" outlineLevel="0" collapsed="false">
      <c r="A322" s="25" t="n">
        <v>321</v>
      </c>
      <c r="B322" s="25" t="s">
        <v>1204</v>
      </c>
      <c r="C322" s="25" t="s">
        <v>349</v>
      </c>
      <c r="D322" s="25" t="n">
        <v>20240528</v>
      </c>
      <c r="E322" s="25" t="n">
        <v>82</v>
      </c>
      <c r="F322" s="25" t="n">
        <v>17</v>
      </c>
      <c r="G322" s="25" t="s">
        <v>113</v>
      </c>
      <c r="H322" s="25" t="s">
        <v>25</v>
      </c>
      <c r="I322" s="25" t="s">
        <v>1770</v>
      </c>
      <c r="J322" s="25" t="s">
        <v>269</v>
      </c>
      <c r="K322" s="25" t="n">
        <v>3</v>
      </c>
      <c r="L322" s="25" t="n">
        <v>17485.19</v>
      </c>
      <c r="M322" s="25" t="n">
        <v>10</v>
      </c>
      <c r="N322" s="25" t="n">
        <v>52455.57</v>
      </c>
      <c r="O322" s="25" t="n">
        <v>5245.56</v>
      </c>
      <c r="P322" s="25" t="n">
        <v>47210.01</v>
      </c>
      <c r="Q322" s="27" t="b">
        <f aca="false">FALSE()</f>
        <v>0</v>
      </c>
      <c r="R322" s="27" t="b">
        <f aca="false">FALSE()</f>
        <v>0</v>
      </c>
      <c r="S322" s="27" t="b">
        <f aca="false">FALSE()</f>
        <v>0</v>
      </c>
    </row>
    <row r="323" customFormat="false" ht="15" hidden="false" customHeight="false" outlineLevel="0" collapsed="false">
      <c r="A323" s="25" t="n">
        <v>322</v>
      </c>
      <c r="B323" s="25" t="s">
        <v>1205</v>
      </c>
      <c r="C323" s="25" t="s">
        <v>349</v>
      </c>
      <c r="D323" s="25" t="n">
        <v>20240528</v>
      </c>
      <c r="E323" s="25" t="n">
        <v>82</v>
      </c>
      <c r="F323" s="25" t="n">
        <v>57</v>
      </c>
      <c r="G323" s="25" t="s">
        <v>113</v>
      </c>
      <c r="H323" s="25" t="s">
        <v>25</v>
      </c>
      <c r="I323" s="25" t="s">
        <v>1770</v>
      </c>
      <c r="J323" s="25" t="s">
        <v>269</v>
      </c>
      <c r="K323" s="25" t="n">
        <v>1</v>
      </c>
      <c r="L323" s="25" t="n">
        <v>11518.86</v>
      </c>
      <c r="M323" s="25" t="n">
        <v>0</v>
      </c>
      <c r="N323" s="25" t="n">
        <v>11518.86</v>
      </c>
      <c r="O323" s="25" t="n">
        <v>0</v>
      </c>
      <c r="P323" s="25" t="n">
        <v>11518.86</v>
      </c>
      <c r="Q323" s="27" t="b">
        <f aca="false">FALSE()</f>
        <v>0</v>
      </c>
      <c r="R323" s="27" t="b">
        <f aca="false">FALSE()</f>
        <v>0</v>
      </c>
      <c r="S323" s="27" t="b">
        <f aca="false">FALSE()</f>
        <v>0</v>
      </c>
    </row>
    <row r="324" customFormat="false" ht="15" hidden="false" customHeight="false" outlineLevel="0" collapsed="false">
      <c r="A324" s="25" t="n">
        <v>323</v>
      </c>
      <c r="B324" s="25" t="s">
        <v>1206</v>
      </c>
      <c r="C324" s="25" t="s">
        <v>392</v>
      </c>
      <c r="D324" s="25" t="n">
        <v>20250622</v>
      </c>
      <c r="E324" s="25" t="n">
        <v>154</v>
      </c>
      <c r="F324" s="25" t="n">
        <v>4</v>
      </c>
      <c r="G324" s="25" t="s">
        <v>114</v>
      </c>
      <c r="H324" s="25" t="s">
        <v>25</v>
      </c>
      <c r="I324" s="25" t="s">
        <v>94</v>
      </c>
      <c r="J324" s="25" t="s">
        <v>269</v>
      </c>
      <c r="K324" s="25" t="n">
        <v>2</v>
      </c>
      <c r="L324" s="25" t="n">
        <v>21122.18</v>
      </c>
      <c r="M324" s="25" t="n">
        <v>0</v>
      </c>
      <c r="N324" s="25" t="n">
        <v>42244.36</v>
      </c>
      <c r="O324" s="25" t="n">
        <v>0</v>
      </c>
      <c r="P324" s="25" t="n">
        <v>42244.36</v>
      </c>
      <c r="Q324" s="27" t="b">
        <f aca="false">FALSE()</f>
        <v>0</v>
      </c>
      <c r="R324" s="27" t="b">
        <f aca="false">FALSE()</f>
        <v>0</v>
      </c>
      <c r="S324" s="27" t="b">
        <f aca="false">FALSE()</f>
        <v>0</v>
      </c>
    </row>
    <row r="325" customFormat="false" ht="15" hidden="false" customHeight="false" outlineLevel="0" collapsed="false">
      <c r="A325" s="25" t="n">
        <v>324</v>
      </c>
      <c r="B325" s="25" t="s">
        <v>1208</v>
      </c>
      <c r="C325" s="25" t="s">
        <v>392</v>
      </c>
      <c r="D325" s="25" t="n">
        <v>20250622</v>
      </c>
      <c r="E325" s="25" t="n">
        <v>154</v>
      </c>
      <c r="F325" s="25" t="n">
        <v>2</v>
      </c>
      <c r="G325" s="25" t="s">
        <v>114</v>
      </c>
      <c r="H325" s="25" t="s">
        <v>25</v>
      </c>
      <c r="I325" s="25" t="s">
        <v>94</v>
      </c>
      <c r="J325" s="25" t="s">
        <v>269</v>
      </c>
      <c r="K325" s="25" t="n">
        <v>3</v>
      </c>
      <c r="L325" s="25" t="n">
        <v>9953.59</v>
      </c>
      <c r="M325" s="25" t="n">
        <v>5</v>
      </c>
      <c r="N325" s="25" t="n">
        <v>29860.77</v>
      </c>
      <c r="O325" s="25" t="n">
        <v>1493.04</v>
      </c>
      <c r="P325" s="25" t="n">
        <v>28367.73</v>
      </c>
      <c r="Q325" s="27" t="b">
        <f aca="false">FALSE()</f>
        <v>0</v>
      </c>
      <c r="R325" s="27" t="b">
        <f aca="false">FALSE()</f>
        <v>0</v>
      </c>
      <c r="S325" s="27" t="b">
        <f aca="false">FALSE()</f>
        <v>0</v>
      </c>
    </row>
    <row r="326" customFormat="false" ht="15" hidden="false" customHeight="false" outlineLevel="0" collapsed="false">
      <c r="A326" s="25" t="n">
        <v>325</v>
      </c>
      <c r="B326" s="25" t="s">
        <v>1209</v>
      </c>
      <c r="C326" s="25" t="s">
        <v>249</v>
      </c>
      <c r="D326" s="25" t="n">
        <v>20250127</v>
      </c>
      <c r="E326" s="25" t="n">
        <v>132</v>
      </c>
      <c r="F326" s="25" t="n">
        <v>62</v>
      </c>
      <c r="G326" s="25" t="s">
        <v>115</v>
      </c>
      <c r="H326" s="25" t="s">
        <v>25</v>
      </c>
      <c r="I326" s="25" t="s">
        <v>94</v>
      </c>
      <c r="J326" s="25" t="s">
        <v>242</v>
      </c>
      <c r="K326" s="25" t="n">
        <v>5</v>
      </c>
      <c r="L326" s="25" t="n">
        <v>8493.72</v>
      </c>
      <c r="M326" s="25" t="n">
        <v>20</v>
      </c>
      <c r="N326" s="25" t="n">
        <v>42468.6</v>
      </c>
      <c r="O326" s="25" t="n">
        <v>8493.72</v>
      </c>
      <c r="P326" s="25" t="n">
        <v>33974.88</v>
      </c>
      <c r="Q326" s="27" t="b">
        <f aca="false">FALSE()</f>
        <v>0</v>
      </c>
      <c r="R326" s="27" t="b">
        <f aca="false">FALSE()</f>
        <v>0</v>
      </c>
      <c r="S326" s="27" t="b">
        <f aca="false">FALSE()</f>
        <v>0</v>
      </c>
    </row>
    <row r="327" customFormat="false" ht="15" hidden="false" customHeight="false" outlineLevel="0" collapsed="false">
      <c r="A327" s="25" t="n">
        <v>326</v>
      </c>
      <c r="B327" s="25" t="s">
        <v>1211</v>
      </c>
      <c r="C327" s="25" t="s">
        <v>520</v>
      </c>
      <c r="D327" s="25" t="n">
        <v>20241002</v>
      </c>
      <c r="E327" s="25" t="n">
        <v>21</v>
      </c>
      <c r="F327" s="25" t="n">
        <v>35</v>
      </c>
      <c r="G327" s="25" t="s">
        <v>113</v>
      </c>
      <c r="H327" s="25" t="s">
        <v>25</v>
      </c>
      <c r="I327" s="25" t="s">
        <v>94</v>
      </c>
      <c r="J327" s="25" t="s">
        <v>242</v>
      </c>
      <c r="K327" s="25" t="n">
        <v>3</v>
      </c>
      <c r="L327" s="25" t="n">
        <v>1741.05</v>
      </c>
      <c r="M327" s="25" t="n">
        <v>10</v>
      </c>
      <c r="N327" s="25" t="n">
        <v>5223.15</v>
      </c>
      <c r="O327" s="25" t="n">
        <v>522.32</v>
      </c>
      <c r="P327" s="25" t="n">
        <v>4700.83</v>
      </c>
      <c r="Q327" s="27" t="b">
        <f aca="false">FALSE()</f>
        <v>0</v>
      </c>
      <c r="R327" s="27" t="b">
        <f aca="false">FALSE()</f>
        <v>0</v>
      </c>
      <c r="S327" s="27" t="b">
        <f aca="false">FALSE()</f>
        <v>0</v>
      </c>
    </row>
    <row r="328" customFormat="false" ht="15" hidden="false" customHeight="false" outlineLevel="0" collapsed="false">
      <c r="A328" s="25" t="n">
        <v>327</v>
      </c>
      <c r="B328" s="25" t="s">
        <v>1213</v>
      </c>
      <c r="C328" s="25" t="s">
        <v>520</v>
      </c>
      <c r="D328" s="25" t="n">
        <v>20241002</v>
      </c>
      <c r="E328" s="25" t="n">
        <v>21</v>
      </c>
      <c r="F328" s="25" t="n">
        <v>26</v>
      </c>
      <c r="G328" s="25" t="s">
        <v>113</v>
      </c>
      <c r="H328" s="25" t="s">
        <v>25</v>
      </c>
      <c r="I328" s="25" t="s">
        <v>94</v>
      </c>
      <c r="J328" s="25" t="s">
        <v>242</v>
      </c>
      <c r="K328" s="25" t="n">
        <v>2</v>
      </c>
      <c r="L328" s="25" t="n">
        <v>13038.96</v>
      </c>
      <c r="M328" s="25" t="n">
        <v>5</v>
      </c>
      <c r="N328" s="25" t="n">
        <v>26077.92</v>
      </c>
      <c r="O328" s="25" t="n">
        <v>1303.9</v>
      </c>
      <c r="P328" s="25" t="n">
        <v>24774.02</v>
      </c>
      <c r="Q328" s="27" t="b">
        <f aca="false">FALSE()</f>
        <v>0</v>
      </c>
      <c r="R328" s="27" t="b">
        <f aca="false">FALSE()</f>
        <v>0</v>
      </c>
      <c r="S328" s="27" t="b">
        <f aca="false">FALSE()</f>
        <v>0</v>
      </c>
    </row>
    <row r="329" customFormat="false" ht="15" hidden="false" customHeight="false" outlineLevel="0" collapsed="false">
      <c r="A329" s="25" t="n">
        <v>328</v>
      </c>
      <c r="B329" s="25" t="s">
        <v>1214</v>
      </c>
      <c r="C329" s="25" t="s">
        <v>496</v>
      </c>
      <c r="D329" s="25" t="n">
        <v>20250303</v>
      </c>
      <c r="E329" s="25" t="n">
        <v>113</v>
      </c>
      <c r="F329" s="25" t="n">
        <v>57</v>
      </c>
      <c r="G329" s="25" t="s">
        <v>114</v>
      </c>
      <c r="H329" s="25" t="s">
        <v>25</v>
      </c>
      <c r="I329" s="25" t="s">
        <v>86</v>
      </c>
      <c r="J329" s="25" t="s">
        <v>242</v>
      </c>
      <c r="K329" s="25" t="n">
        <v>2</v>
      </c>
      <c r="L329" s="25" t="n">
        <v>11518.86</v>
      </c>
      <c r="M329" s="25" t="n">
        <v>0</v>
      </c>
      <c r="N329" s="25" t="n">
        <v>23037.72</v>
      </c>
      <c r="O329" s="25" t="n">
        <v>0</v>
      </c>
      <c r="P329" s="25" t="n">
        <v>23037.72</v>
      </c>
      <c r="Q329" s="27" t="b">
        <f aca="false">FALSE()</f>
        <v>0</v>
      </c>
      <c r="R329" s="27" t="b">
        <f aca="false">FALSE()</f>
        <v>0</v>
      </c>
      <c r="S329" s="27" t="b">
        <f aca="false">FALSE()</f>
        <v>0</v>
      </c>
    </row>
    <row r="330" customFormat="false" ht="15" hidden="false" customHeight="false" outlineLevel="0" collapsed="false">
      <c r="A330" s="25" t="n">
        <v>329</v>
      </c>
      <c r="B330" s="25" t="s">
        <v>1216</v>
      </c>
      <c r="C330" s="25" t="s">
        <v>496</v>
      </c>
      <c r="D330" s="25" t="n">
        <v>20250303</v>
      </c>
      <c r="E330" s="25" t="n">
        <v>113</v>
      </c>
      <c r="F330" s="25" t="n">
        <v>53</v>
      </c>
      <c r="G330" s="25" t="s">
        <v>114</v>
      </c>
      <c r="H330" s="25" t="s">
        <v>25</v>
      </c>
      <c r="I330" s="25" t="s">
        <v>86</v>
      </c>
      <c r="J330" s="25" t="s">
        <v>242</v>
      </c>
      <c r="K330" s="25" t="n">
        <v>4</v>
      </c>
      <c r="L330" s="25" t="n">
        <v>7313.65</v>
      </c>
      <c r="M330" s="25" t="n">
        <v>10</v>
      </c>
      <c r="N330" s="25" t="n">
        <v>29254.6</v>
      </c>
      <c r="O330" s="25" t="n">
        <v>2925.46</v>
      </c>
      <c r="P330" s="25" t="n">
        <v>26329.14</v>
      </c>
      <c r="Q330" s="27" t="b">
        <f aca="false">FALSE()</f>
        <v>0</v>
      </c>
      <c r="R330" s="27" t="b">
        <f aca="false">FALSE()</f>
        <v>0</v>
      </c>
      <c r="S330" s="27" t="b">
        <f aca="false">FALSE()</f>
        <v>0</v>
      </c>
    </row>
    <row r="331" customFormat="false" ht="15" hidden="false" customHeight="false" outlineLevel="0" collapsed="false">
      <c r="A331" s="25" t="n">
        <v>330</v>
      </c>
      <c r="B331" s="25" t="s">
        <v>1217</v>
      </c>
      <c r="C331" s="25" t="s">
        <v>483</v>
      </c>
      <c r="D331" s="25" t="n">
        <v>20241114</v>
      </c>
      <c r="E331" s="25" t="n">
        <v>52</v>
      </c>
      <c r="F331" s="25" t="n">
        <v>44</v>
      </c>
      <c r="G331" s="25" t="s">
        <v>113</v>
      </c>
      <c r="H331" s="25" t="s">
        <v>2263</v>
      </c>
      <c r="I331" s="25" t="s">
        <v>71</v>
      </c>
      <c r="J331" s="25" t="s">
        <v>242</v>
      </c>
      <c r="K331" s="25" t="n">
        <v>5</v>
      </c>
      <c r="L331" s="25" t="n">
        <v>22655.14</v>
      </c>
      <c r="M331" s="25" t="n">
        <v>20</v>
      </c>
      <c r="N331" s="25" t="n">
        <v>113275.7</v>
      </c>
      <c r="O331" s="25" t="n">
        <v>22655.14</v>
      </c>
      <c r="P331" s="25" t="n">
        <v>90620.56</v>
      </c>
      <c r="Q331" s="27" t="b">
        <f aca="false">FALSE()</f>
        <v>0</v>
      </c>
      <c r="R331" s="27" t="b">
        <f aca="false">FALSE()</f>
        <v>0</v>
      </c>
      <c r="S331" s="27" t="b">
        <f aca="false">FALSE()</f>
        <v>0</v>
      </c>
    </row>
    <row r="332" customFormat="false" ht="15" hidden="false" customHeight="false" outlineLevel="0" collapsed="false">
      <c r="A332" s="25" t="n">
        <v>331</v>
      </c>
      <c r="B332" s="25" t="s">
        <v>1219</v>
      </c>
      <c r="C332" s="25" t="s">
        <v>483</v>
      </c>
      <c r="D332" s="25" t="n">
        <v>20241114</v>
      </c>
      <c r="E332" s="25" t="n">
        <v>52</v>
      </c>
      <c r="F332" s="25" t="n">
        <v>60</v>
      </c>
      <c r="G332" s="25" t="s">
        <v>113</v>
      </c>
      <c r="H332" s="25" t="s">
        <v>2263</v>
      </c>
      <c r="I332" s="25" t="s">
        <v>71</v>
      </c>
      <c r="J332" s="25" t="s">
        <v>242</v>
      </c>
      <c r="K332" s="25" t="n">
        <v>4</v>
      </c>
      <c r="L332" s="25" t="n">
        <v>11569.57</v>
      </c>
      <c r="M332" s="25" t="n">
        <v>0</v>
      </c>
      <c r="N332" s="25" t="n">
        <v>46278.28</v>
      </c>
      <c r="O332" s="25" t="n">
        <v>0</v>
      </c>
      <c r="P332" s="25" t="n">
        <v>46278.28</v>
      </c>
      <c r="Q332" s="27" t="b">
        <f aca="false">FALSE()</f>
        <v>0</v>
      </c>
      <c r="R332" s="27" t="b">
        <f aca="false">FALSE()</f>
        <v>0</v>
      </c>
      <c r="S332" s="27" t="b">
        <f aca="false">FALSE()</f>
        <v>0</v>
      </c>
    </row>
    <row r="333" customFormat="false" ht="15" hidden="false" customHeight="false" outlineLevel="0" collapsed="false">
      <c r="A333" s="25" t="n">
        <v>332</v>
      </c>
      <c r="B333" s="25" t="s">
        <v>1220</v>
      </c>
      <c r="C333" s="25" t="s">
        <v>547</v>
      </c>
      <c r="D333" s="25" t="n">
        <v>20240203</v>
      </c>
      <c r="E333" s="25" t="n">
        <v>-1</v>
      </c>
      <c r="F333" s="25" t="n">
        <v>12</v>
      </c>
      <c r="G333" s="25" t="s">
        <v>113</v>
      </c>
      <c r="H333" s="25" t="s">
        <v>25</v>
      </c>
      <c r="I333" s="25" t="s">
        <v>89</v>
      </c>
      <c r="J333" s="25" t="s">
        <v>242</v>
      </c>
      <c r="K333" s="25" t="n">
        <v>5</v>
      </c>
      <c r="L333" s="25" t="n">
        <v>11434.02</v>
      </c>
      <c r="M333" s="25" t="n">
        <v>10</v>
      </c>
      <c r="N333" s="25" t="n">
        <v>57170.1</v>
      </c>
      <c r="O333" s="25" t="n">
        <v>5717.01</v>
      </c>
      <c r="P333" s="25" t="n">
        <v>51453.09</v>
      </c>
      <c r="Q333" s="27" t="b">
        <f aca="false">FALSE()</f>
        <v>0</v>
      </c>
      <c r="R333" s="27" t="b">
        <f aca="false">FALSE()</f>
        <v>0</v>
      </c>
      <c r="S333" s="27" t="b">
        <f aca="false">FALSE()</f>
        <v>0</v>
      </c>
    </row>
    <row r="334" customFormat="false" ht="15" hidden="false" customHeight="false" outlineLevel="0" collapsed="false">
      <c r="A334" s="25" t="n">
        <v>333</v>
      </c>
      <c r="B334" s="25" t="s">
        <v>1221</v>
      </c>
      <c r="C334" s="25" t="s">
        <v>547</v>
      </c>
      <c r="D334" s="25" t="n">
        <v>20240203</v>
      </c>
      <c r="E334" s="25" t="n">
        <v>-1</v>
      </c>
      <c r="F334" s="25" t="n">
        <v>17</v>
      </c>
      <c r="G334" s="25" t="s">
        <v>113</v>
      </c>
      <c r="H334" s="25" t="s">
        <v>25</v>
      </c>
      <c r="I334" s="25" t="s">
        <v>89</v>
      </c>
      <c r="J334" s="25" t="s">
        <v>242</v>
      </c>
      <c r="K334" s="25" t="n">
        <v>3</v>
      </c>
      <c r="L334" s="25" t="n">
        <v>17485.19</v>
      </c>
      <c r="M334" s="25" t="n">
        <v>0</v>
      </c>
      <c r="N334" s="25" t="n">
        <v>52455.57</v>
      </c>
      <c r="O334" s="25" t="n">
        <v>0</v>
      </c>
      <c r="P334" s="25" t="n">
        <v>52455.57</v>
      </c>
      <c r="Q334" s="27" t="b">
        <f aca="false">FALSE()</f>
        <v>0</v>
      </c>
      <c r="R334" s="27" t="b">
        <f aca="false">FALSE()</f>
        <v>0</v>
      </c>
      <c r="S334" s="27" t="b">
        <f aca="false">FALSE()</f>
        <v>0</v>
      </c>
    </row>
    <row r="335" customFormat="false" ht="15" hidden="false" customHeight="false" outlineLevel="0" collapsed="false">
      <c r="A335" s="25" t="n">
        <v>334</v>
      </c>
      <c r="B335" s="25" t="s">
        <v>1222</v>
      </c>
      <c r="C335" s="25" t="s">
        <v>547</v>
      </c>
      <c r="D335" s="25" t="n">
        <v>20240203</v>
      </c>
      <c r="E335" s="25" t="n">
        <v>-1</v>
      </c>
      <c r="F335" s="25" t="n">
        <v>20</v>
      </c>
      <c r="G335" s="25" t="s">
        <v>113</v>
      </c>
      <c r="H335" s="25" t="s">
        <v>25</v>
      </c>
      <c r="I335" s="25" t="s">
        <v>89</v>
      </c>
      <c r="J335" s="25" t="s">
        <v>242</v>
      </c>
      <c r="K335" s="25" t="n">
        <v>5</v>
      </c>
      <c r="L335" s="25" t="n">
        <v>3634.57</v>
      </c>
      <c r="M335" s="25" t="n">
        <v>10</v>
      </c>
      <c r="N335" s="25" t="n">
        <v>18172.85</v>
      </c>
      <c r="O335" s="25" t="n">
        <v>1817.28</v>
      </c>
      <c r="P335" s="25" t="n">
        <v>16355.57</v>
      </c>
      <c r="Q335" s="27" t="b">
        <f aca="false">FALSE()</f>
        <v>0</v>
      </c>
      <c r="R335" s="27" t="b">
        <f aca="false">FALSE()</f>
        <v>0</v>
      </c>
      <c r="S335" s="27" t="b">
        <f aca="false">FALSE()</f>
        <v>0</v>
      </c>
    </row>
    <row r="336" customFormat="false" ht="15" hidden="false" customHeight="false" outlineLevel="0" collapsed="false">
      <c r="A336" s="25" t="n">
        <v>335</v>
      </c>
      <c r="B336" s="25" t="s">
        <v>1223</v>
      </c>
      <c r="C336" s="25" t="s">
        <v>275</v>
      </c>
      <c r="D336" s="25" t="n">
        <v>20240312</v>
      </c>
      <c r="E336" s="25" t="n">
        <v>62</v>
      </c>
      <c r="F336" s="25" t="n">
        <v>7</v>
      </c>
      <c r="G336" s="25" t="s">
        <v>115</v>
      </c>
      <c r="H336" s="25" t="s">
        <v>25</v>
      </c>
      <c r="I336" s="25" t="s">
        <v>1770</v>
      </c>
      <c r="J336" s="25" t="s">
        <v>242</v>
      </c>
      <c r="K336" s="25" t="n">
        <v>2</v>
      </c>
      <c r="L336" s="25" t="n">
        <v>20278.89</v>
      </c>
      <c r="M336" s="25" t="n">
        <v>0</v>
      </c>
      <c r="N336" s="25" t="n">
        <v>40557.78</v>
      </c>
      <c r="O336" s="25" t="n">
        <v>0</v>
      </c>
      <c r="P336" s="25" t="n">
        <v>40557.78</v>
      </c>
      <c r="Q336" s="27" t="b">
        <f aca="false">FALSE()</f>
        <v>0</v>
      </c>
      <c r="R336" s="27" t="b">
        <f aca="false">FALSE()</f>
        <v>0</v>
      </c>
      <c r="S336" s="27" t="b">
        <f aca="false">FALSE()</f>
        <v>0</v>
      </c>
    </row>
    <row r="337" customFormat="false" ht="15" hidden="false" customHeight="false" outlineLevel="0" collapsed="false">
      <c r="A337" s="25" t="n">
        <v>336</v>
      </c>
      <c r="B337" s="25" t="s">
        <v>1224</v>
      </c>
      <c r="C337" s="25" t="s">
        <v>275</v>
      </c>
      <c r="D337" s="25" t="n">
        <v>20240312</v>
      </c>
      <c r="E337" s="25" t="n">
        <v>62</v>
      </c>
      <c r="F337" s="25" t="n">
        <v>8</v>
      </c>
      <c r="G337" s="25" t="s">
        <v>115</v>
      </c>
      <c r="H337" s="25" t="s">
        <v>25</v>
      </c>
      <c r="I337" s="25" t="s">
        <v>1770</v>
      </c>
      <c r="J337" s="25" t="s">
        <v>242</v>
      </c>
      <c r="K337" s="25" t="n">
        <v>4</v>
      </c>
      <c r="L337" s="25" t="n">
        <v>15176.98</v>
      </c>
      <c r="M337" s="25" t="n">
        <v>10</v>
      </c>
      <c r="N337" s="25" t="n">
        <v>60707.92</v>
      </c>
      <c r="O337" s="25" t="n">
        <v>6070.79</v>
      </c>
      <c r="P337" s="25" t="n">
        <v>54637.13</v>
      </c>
      <c r="Q337" s="27" t="b">
        <f aca="false">FALSE()</f>
        <v>0</v>
      </c>
      <c r="R337" s="27" t="b">
        <f aca="false">FALSE()</f>
        <v>0</v>
      </c>
      <c r="S337" s="27" t="b">
        <f aca="false">FALSE()</f>
        <v>0</v>
      </c>
    </row>
    <row r="338" customFormat="false" ht="15" hidden="false" customHeight="false" outlineLevel="0" collapsed="false">
      <c r="A338" s="25" t="n">
        <v>337</v>
      </c>
      <c r="B338" s="25" t="s">
        <v>1225</v>
      </c>
      <c r="C338" s="25" t="s">
        <v>275</v>
      </c>
      <c r="D338" s="25" t="n">
        <v>20240312</v>
      </c>
      <c r="E338" s="25" t="n">
        <v>62</v>
      </c>
      <c r="F338" s="25" t="n">
        <v>65</v>
      </c>
      <c r="G338" s="25" t="s">
        <v>115</v>
      </c>
      <c r="H338" s="25" t="s">
        <v>25</v>
      </c>
      <c r="I338" s="25" t="s">
        <v>1770</v>
      </c>
      <c r="J338" s="25" t="s">
        <v>242</v>
      </c>
      <c r="K338" s="25" t="n">
        <v>2</v>
      </c>
      <c r="L338" s="25" t="n">
        <v>15706.03</v>
      </c>
      <c r="M338" s="25" t="n">
        <v>15</v>
      </c>
      <c r="N338" s="25" t="n">
        <v>31412.06</v>
      </c>
      <c r="O338" s="25" t="n">
        <v>4711.81</v>
      </c>
      <c r="P338" s="25" t="n">
        <v>26700.25</v>
      </c>
      <c r="Q338" s="27" t="b">
        <f aca="false">FALSE()</f>
        <v>0</v>
      </c>
      <c r="R338" s="27" t="b">
        <f aca="false">FALSE()</f>
        <v>0</v>
      </c>
      <c r="S338" s="27" t="b">
        <f aca="false">FALSE()</f>
        <v>0</v>
      </c>
    </row>
    <row r="339" customFormat="false" ht="15" hidden="false" customHeight="false" outlineLevel="0" collapsed="false">
      <c r="A339" s="25" t="n">
        <v>338</v>
      </c>
      <c r="B339" s="25" t="s">
        <v>1226</v>
      </c>
      <c r="C339" s="25" t="s">
        <v>275</v>
      </c>
      <c r="D339" s="25" t="n">
        <v>20240312</v>
      </c>
      <c r="E339" s="25" t="n">
        <v>62</v>
      </c>
      <c r="F339" s="25" t="n">
        <v>56</v>
      </c>
      <c r="G339" s="25" t="s">
        <v>115</v>
      </c>
      <c r="H339" s="25" t="s">
        <v>25</v>
      </c>
      <c r="I339" s="25" t="s">
        <v>1770</v>
      </c>
      <c r="J339" s="25" t="s">
        <v>242</v>
      </c>
      <c r="K339" s="25" t="n">
        <v>3</v>
      </c>
      <c r="L339" s="25" t="n">
        <v>16535.66</v>
      </c>
      <c r="M339" s="25" t="n">
        <v>20</v>
      </c>
      <c r="N339" s="25" t="n">
        <v>49606.98</v>
      </c>
      <c r="O339" s="25" t="n">
        <v>9921.4</v>
      </c>
      <c r="P339" s="25" t="n">
        <v>39685.58</v>
      </c>
      <c r="Q339" s="27" t="b">
        <f aca="false">FALSE()</f>
        <v>0</v>
      </c>
      <c r="R339" s="27" t="b">
        <f aca="false">FALSE()</f>
        <v>0</v>
      </c>
      <c r="S339" s="27" t="b">
        <f aca="false">FALSE()</f>
        <v>0</v>
      </c>
    </row>
    <row r="340" customFormat="false" ht="15" hidden="false" customHeight="false" outlineLevel="0" collapsed="false">
      <c r="A340" s="25" t="n">
        <v>339</v>
      </c>
      <c r="B340" s="25" t="s">
        <v>1227</v>
      </c>
      <c r="C340" s="25" t="s">
        <v>262</v>
      </c>
      <c r="D340" s="25" t="n">
        <v>20250907</v>
      </c>
      <c r="E340" s="25" t="n">
        <v>85</v>
      </c>
      <c r="F340" s="25" t="n">
        <v>53</v>
      </c>
      <c r="G340" s="25" t="s">
        <v>114</v>
      </c>
      <c r="H340" s="25" t="s">
        <v>25</v>
      </c>
      <c r="I340" s="25" t="s">
        <v>89</v>
      </c>
      <c r="J340" s="25" t="s">
        <v>242</v>
      </c>
      <c r="K340" s="25" t="n">
        <v>2</v>
      </c>
      <c r="L340" s="25" t="n">
        <v>7313.65</v>
      </c>
      <c r="M340" s="25" t="n">
        <v>0</v>
      </c>
      <c r="N340" s="25" t="n">
        <v>14627.3</v>
      </c>
      <c r="O340" s="25" t="n">
        <v>0</v>
      </c>
      <c r="P340" s="25" t="n">
        <v>14627.3</v>
      </c>
      <c r="Q340" s="27" t="b">
        <f aca="false">FALSE()</f>
        <v>0</v>
      </c>
      <c r="R340" s="27" t="b">
        <f aca="false">FALSE()</f>
        <v>0</v>
      </c>
      <c r="S340" s="27" t="b">
        <f aca="false">FALSE()</f>
        <v>0</v>
      </c>
    </row>
    <row r="341" customFormat="false" ht="15" hidden="false" customHeight="false" outlineLevel="0" collapsed="false">
      <c r="A341" s="25" t="n">
        <v>340</v>
      </c>
      <c r="B341" s="25" t="s">
        <v>1228</v>
      </c>
      <c r="C341" s="25" t="s">
        <v>262</v>
      </c>
      <c r="D341" s="25" t="n">
        <v>20250907</v>
      </c>
      <c r="E341" s="25" t="n">
        <v>85</v>
      </c>
      <c r="F341" s="25" t="n">
        <v>46</v>
      </c>
      <c r="G341" s="25" t="s">
        <v>114</v>
      </c>
      <c r="H341" s="25" t="s">
        <v>25</v>
      </c>
      <c r="I341" s="25" t="s">
        <v>89</v>
      </c>
      <c r="J341" s="25" t="s">
        <v>242</v>
      </c>
      <c r="K341" s="25" t="n">
        <v>2</v>
      </c>
      <c r="L341" s="25" t="n">
        <v>15383.27</v>
      </c>
      <c r="M341" s="25" t="n">
        <v>15</v>
      </c>
      <c r="N341" s="25" t="n">
        <v>30766.54</v>
      </c>
      <c r="O341" s="25" t="n">
        <v>4614.98</v>
      </c>
      <c r="P341" s="25" t="n">
        <v>26151.56</v>
      </c>
      <c r="Q341" s="27" t="b">
        <f aca="false">FALSE()</f>
        <v>0</v>
      </c>
      <c r="R341" s="27" t="b">
        <f aca="false">FALSE()</f>
        <v>0</v>
      </c>
      <c r="S341" s="27" t="b">
        <f aca="false">FALSE()</f>
        <v>0</v>
      </c>
    </row>
    <row r="342" customFormat="false" ht="15" hidden="false" customHeight="false" outlineLevel="0" collapsed="false">
      <c r="A342" s="25" t="n">
        <v>341</v>
      </c>
      <c r="B342" s="25" t="s">
        <v>1229</v>
      </c>
      <c r="C342" s="25" t="s">
        <v>265</v>
      </c>
      <c r="D342" s="25" t="n">
        <v>20250610</v>
      </c>
      <c r="E342" s="25" t="n">
        <v>50</v>
      </c>
      <c r="F342" s="25" t="n">
        <v>70</v>
      </c>
      <c r="G342" s="25" t="s">
        <v>115</v>
      </c>
      <c r="H342" s="25" t="s">
        <v>25</v>
      </c>
      <c r="I342" s="25" t="s">
        <v>79</v>
      </c>
      <c r="J342" s="25" t="s">
        <v>242</v>
      </c>
      <c r="K342" s="25" t="n">
        <v>4</v>
      </c>
      <c r="L342" s="25" t="n">
        <v>3962.52</v>
      </c>
      <c r="M342" s="25" t="n">
        <v>0</v>
      </c>
      <c r="N342" s="25" t="n">
        <v>15850.08</v>
      </c>
      <c r="O342" s="25" t="n">
        <v>0</v>
      </c>
      <c r="P342" s="25" t="n">
        <v>15850.08</v>
      </c>
      <c r="Q342" s="27" t="b">
        <f aca="false">FALSE()</f>
        <v>0</v>
      </c>
      <c r="R342" s="27" t="b">
        <f aca="false">FALSE()</f>
        <v>0</v>
      </c>
      <c r="S342" s="27" t="b">
        <f aca="false">FALSE()</f>
        <v>0</v>
      </c>
    </row>
    <row r="343" customFormat="false" ht="15" hidden="false" customHeight="false" outlineLevel="0" collapsed="false">
      <c r="A343" s="25" t="n">
        <v>342</v>
      </c>
      <c r="B343" s="25" t="s">
        <v>1231</v>
      </c>
      <c r="C343" s="25" t="s">
        <v>265</v>
      </c>
      <c r="D343" s="25" t="n">
        <v>20250610</v>
      </c>
      <c r="E343" s="25" t="n">
        <v>50</v>
      </c>
      <c r="F343" s="25" t="n">
        <v>42</v>
      </c>
      <c r="G343" s="25" t="s">
        <v>115</v>
      </c>
      <c r="H343" s="25" t="s">
        <v>25</v>
      </c>
      <c r="I343" s="25" t="s">
        <v>79</v>
      </c>
      <c r="J343" s="25" t="s">
        <v>242</v>
      </c>
      <c r="K343" s="25" t="n">
        <v>3</v>
      </c>
      <c r="L343" s="25" t="n">
        <v>11284.39</v>
      </c>
      <c r="M343" s="25" t="n">
        <v>20</v>
      </c>
      <c r="N343" s="25" t="n">
        <v>33853.17</v>
      </c>
      <c r="O343" s="25" t="n">
        <v>6770.63</v>
      </c>
      <c r="P343" s="25" t="n">
        <v>27082.54</v>
      </c>
      <c r="Q343" s="27" t="b">
        <f aca="false">FALSE()</f>
        <v>0</v>
      </c>
      <c r="R343" s="27" t="b">
        <f aca="false">FALSE()</f>
        <v>0</v>
      </c>
      <c r="S343" s="27" t="b">
        <f aca="false">FALSE()</f>
        <v>0</v>
      </c>
    </row>
    <row r="344" customFormat="false" ht="15" hidden="false" customHeight="false" outlineLevel="0" collapsed="false">
      <c r="A344" s="25" t="n">
        <v>343</v>
      </c>
      <c r="B344" s="25" t="s">
        <v>1232</v>
      </c>
      <c r="C344" s="25" t="s">
        <v>265</v>
      </c>
      <c r="D344" s="25" t="n">
        <v>20250610</v>
      </c>
      <c r="E344" s="25" t="n">
        <v>50</v>
      </c>
      <c r="F344" s="25" t="n">
        <v>13</v>
      </c>
      <c r="G344" s="25" t="s">
        <v>115</v>
      </c>
      <c r="H344" s="25" t="s">
        <v>25</v>
      </c>
      <c r="I344" s="25" t="s">
        <v>79</v>
      </c>
      <c r="J344" s="25" t="s">
        <v>242</v>
      </c>
      <c r="K344" s="25" t="n">
        <v>4</v>
      </c>
      <c r="L344" s="25" t="n">
        <v>15622.68</v>
      </c>
      <c r="M344" s="25" t="n">
        <v>20</v>
      </c>
      <c r="N344" s="25" t="n">
        <v>62490.72</v>
      </c>
      <c r="O344" s="25" t="n">
        <v>12498.14</v>
      </c>
      <c r="P344" s="25" t="n">
        <v>49992.58</v>
      </c>
      <c r="Q344" s="27" t="b">
        <f aca="false">FALSE()</f>
        <v>0</v>
      </c>
      <c r="R344" s="27" t="b">
        <f aca="false">FALSE()</f>
        <v>0</v>
      </c>
      <c r="S344" s="27" t="b">
        <f aca="false">FALSE()</f>
        <v>0</v>
      </c>
    </row>
    <row r="345" customFormat="false" ht="15" hidden="false" customHeight="false" outlineLevel="0" collapsed="false">
      <c r="A345" s="25" t="n">
        <v>344</v>
      </c>
      <c r="B345" s="25" t="s">
        <v>1233</v>
      </c>
      <c r="C345" s="25" t="s">
        <v>265</v>
      </c>
      <c r="D345" s="25" t="n">
        <v>20250610</v>
      </c>
      <c r="E345" s="25" t="n">
        <v>50</v>
      </c>
      <c r="F345" s="25" t="n">
        <v>37</v>
      </c>
      <c r="G345" s="25" t="s">
        <v>115</v>
      </c>
      <c r="H345" s="25" t="s">
        <v>25</v>
      </c>
      <c r="I345" s="25" t="s">
        <v>79</v>
      </c>
      <c r="J345" s="25" t="s">
        <v>242</v>
      </c>
      <c r="K345" s="25" t="n">
        <v>3</v>
      </c>
      <c r="L345" s="25" t="n">
        <v>16084.14</v>
      </c>
      <c r="M345" s="25" t="n">
        <v>0</v>
      </c>
      <c r="N345" s="25" t="n">
        <v>48252.42</v>
      </c>
      <c r="O345" s="25" t="n">
        <v>0</v>
      </c>
      <c r="P345" s="25" t="n">
        <v>48252.42</v>
      </c>
      <c r="Q345" s="27" t="b">
        <f aca="false">FALSE()</f>
        <v>0</v>
      </c>
      <c r="R345" s="27" t="b">
        <f aca="false">FALSE()</f>
        <v>0</v>
      </c>
      <c r="S345" s="27" t="b">
        <f aca="false">FALSE()</f>
        <v>0</v>
      </c>
    </row>
    <row r="346" customFormat="false" ht="15" hidden="false" customHeight="false" outlineLevel="0" collapsed="false">
      <c r="A346" s="25" t="n">
        <v>345</v>
      </c>
      <c r="B346" s="25" t="s">
        <v>1234</v>
      </c>
      <c r="C346" s="25" t="s">
        <v>292</v>
      </c>
      <c r="D346" s="25" t="n">
        <v>20241102</v>
      </c>
      <c r="E346" s="25" t="n">
        <v>73</v>
      </c>
      <c r="F346" s="25" t="n">
        <v>33</v>
      </c>
      <c r="G346" s="25" t="s">
        <v>115</v>
      </c>
      <c r="H346" s="25" t="s">
        <v>25</v>
      </c>
      <c r="I346" s="25" t="s">
        <v>75</v>
      </c>
      <c r="J346" s="25" t="s">
        <v>250</v>
      </c>
      <c r="K346" s="25" t="n">
        <v>2</v>
      </c>
      <c r="L346" s="25" t="n">
        <v>11865.75</v>
      </c>
      <c r="M346" s="25" t="n">
        <v>10</v>
      </c>
      <c r="N346" s="25" t="n">
        <v>23731.5</v>
      </c>
      <c r="O346" s="25" t="n">
        <v>2373.15</v>
      </c>
      <c r="P346" s="25" t="n">
        <v>21358.35</v>
      </c>
      <c r="Q346" s="27" t="b">
        <f aca="false">FALSE()</f>
        <v>0</v>
      </c>
      <c r="R346" s="27" t="b">
        <f aca="false">FALSE()</f>
        <v>0</v>
      </c>
      <c r="S346" s="27" t="b">
        <f aca="false">FALSE()</f>
        <v>0</v>
      </c>
    </row>
    <row r="347" customFormat="false" ht="15" hidden="false" customHeight="false" outlineLevel="0" collapsed="false">
      <c r="A347" s="25" t="n">
        <v>346</v>
      </c>
      <c r="B347" s="25" t="s">
        <v>1235</v>
      </c>
      <c r="C347" s="25" t="s">
        <v>512</v>
      </c>
      <c r="D347" s="25" t="n">
        <v>20250925</v>
      </c>
      <c r="E347" s="25" t="n">
        <v>105</v>
      </c>
      <c r="F347" s="25" t="n">
        <v>5</v>
      </c>
      <c r="G347" s="25" t="s">
        <v>113</v>
      </c>
      <c r="H347" s="25" t="s">
        <v>25</v>
      </c>
      <c r="I347" s="25" t="s">
        <v>89</v>
      </c>
      <c r="J347" s="25" t="s">
        <v>269</v>
      </c>
      <c r="K347" s="25" t="n">
        <v>5</v>
      </c>
      <c r="L347" s="25" t="n">
        <v>17935.95</v>
      </c>
      <c r="M347" s="25" t="n">
        <v>15</v>
      </c>
      <c r="N347" s="25" t="n">
        <v>89679.75</v>
      </c>
      <c r="O347" s="25" t="n">
        <v>13451.96</v>
      </c>
      <c r="P347" s="25" t="n">
        <v>76227.79</v>
      </c>
      <c r="Q347" s="27" t="b">
        <f aca="false">FALSE()</f>
        <v>0</v>
      </c>
      <c r="R347" s="27" t="b">
        <f aca="false">FALSE()</f>
        <v>0</v>
      </c>
      <c r="S347" s="27" t="b">
        <f aca="false">FALSE()</f>
        <v>0</v>
      </c>
    </row>
    <row r="348" customFormat="false" ht="15" hidden="false" customHeight="false" outlineLevel="0" collapsed="false">
      <c r="A348" s="25" t="n">
        <v>347</v>
      </c>
      <c r="B348" s="25" t="s">
        <v>1237</v>
      </c>
      <c r="C348" s="25" t="s">
        <v>512</v>
      </c>
      <c r="D348" s="25" t="n">
        <v>20250925</v>
      </c>
      <c r="E348" s="25" t="n">
        <v>105</v>
      </c>
      <c r="F348" s="25" t="n">
        <v>38</v>
      </c>
      <c r="G348" s="25" t="s">
        <v>113</v>
      </c>
      <c r="H348" s="25" t="s">
        <v>25</v>
      </c>
      <c r="I348" s="25" t="s">
        <v>89</v>
      </c>
      <c r="J348" s="25" t="s">
        <v>269</v>
      </c>
      <c r="K348" s="25" t="n">
        <v>4</v>
      </c>
      <c r="L348" s="25" t="n">
        <v>25201.06</v>
      </c>
      <c r="M348" s="25" t="n">
        <v>20</v>
      </c>
      <c r="N348" s="25" t="n">
        <v>100804.24</v>
      </c>
      <c r="O348" s="25" t="n">
        <v>20160.85</v>
      </c>
      <c r="P348" s="25" t="n">
        <v>80643.39</v>
      </c>
      <c r="Q348" s="27" t="b">
        <f aca="false">FALSE()</f>
        <v>0</v>
      </c>
      <c r="R348" s="27" t="b">
        <f aca="false">FALSE()</f>
        <v>0</v>
      </c>
      <c r="S348" s="27" t="b">
        <f aca="false">FALSE()</f>
        <v>0</v>
      </c>
    </row>
    <row r="349" customFormat="false" ht="15" hidden="false" customHeight="false" outlineLevel="0" collapsed="false">
      <c r="A349" s="25" t="n">
        <v>348</v>
      </c>
      <c r="B349" s="25" t="s">
        <v>1238</v>
      </c>
      <c r="C349" s="25" t="s">
        <v>512</v>
      </c>
      <c r="D349" s="25" t="n">
        <v>20250925</v>
      </c>
      <c r="E349" s="25" t="n">
        <v>105</v>
      </c>
      <c r="F349" s="25" t="n">
        <v>34</v>
      </c>
      <c r="G349" s="25" t="s">
        <v>113</v>
      </c>
      <c r="H349" s="25" t="s">
        <v>25</v>
      </c>
      <c r="I349" s="25" t="s">
        <v>89</v>
      </c>
      <c r="J349" s="25" t="s">
        <v>269</v>
      </c>
      <c r="K349" s="25" t="n">
        <v>5</v>
      </c>
      <c r="L349" s="25" t="n">
        <v>11932.31</v>
      </c>
      <c r="M349" s="25" t="n">
        <v>0</v>
      </c>
      <c r="N349" s="25" t="n">
        <v>59661.55</v>
      </c>
      <c r="O349" s="25" t="n">
        <v>0</v>
      </c>
      <c r="P349" s="25" t="n">
        <v>59661.55</v>
      </c>
      <c r="Q349" s="27" t="b">
        <f aca="false">FALSE()</f>
        <v>0</v>
      </c>
      <c r="R349" s="27" t="b">
        <f aca="false">FALSE()</f>
        <v>0</v>
      </c>
      <c r="S349" s="27" t="b">
        <f aca="false">FALSE()</f>
        <v>0</v>
      </c>
    </row>
    <row r="350" customFormat="false" ht="15" hidden="false" customHeight="false" outlineLevel="0" collapsed="false">
      <c r="A350" s="25" t="n">
        <v>349</v>
      </c>
      <c r="B350" s="25" t="s">
        <v>1239</v>
      </c>
      <c r="C350" s="25" t="s">
        <v>448</v>
      </c>
      <c r="D350" s="25" t="n">
        <v>20250731</v>
      </c>
      <c r="E350" s="25" t="n">
        <v>34</v>
      </c>
      <c r="F350" s="25" t="n">
        <v>17</v>
      </c>
      <c r="G350" s="25" t="s">
        <v>114</v>
      </c>
      <c r="H350" s="25" t="s">
        <v>25</v>
      </c>
      <c r="I350" s="25" t="s">
        <v>75</v>
      </c>
      <c r="J350" s="25" t="s">
        <v>242</v>
      </c>
      <c r="K350" s="25" t="n">
        <v>4</v>
      </c>
      <c r="L350" s="25" t="n">
        <v>17485.19</v>
      </c>
      <c r="M350" s="25" t="n">
        <v>5</v>
      </c>
      <c r="N350" s="25" t="n">
        <v>69940.76</v>
      </c>
      <c r="O350" s="25" t="n">
        <v>3497.04</v>
      </c>
      <c r="P350" s="25" t="n">
        <v>66443.72</v>
      </c>
      <c r="Q350" s="27" t="b">
        <f aca="false">FALSE()</f>
        <v>0</v>
      </c>
      <c r="R350" s="27" t="b">
        <f aca="false">FALSE()</f>
        <v>0</v>
      </c>
      <c r="S350" s="27" t="b">
        <f aca="false">FALSE()</f>
        <v>0</v>
      </c>
    </row>
    <row r="351" customFormat="false" ht="15" hidden="false" customHeight="false" outlineLevel="0" collapsed="false">
      <c r="A351" s="25" t="n">
        <v>350</v>
      </c>
      <c r="B351" s="25" t="s">
        <v>1241</v>
      </c>
      <c r="C351" s="25" t="s">
        <v>448</v>
      </c>
      <c r="D351" s="25" t="n">
        <v>20250731</v>
      </c>
      <c r="E351" s="25" t="n">
        <v>34</v>
      </c>
      <c r="F351" s="25" t="n">
        <v>9</v>
      </c>
      <c r="G351" s="25" t="s">
        <v>114</v>
      </c>
      <c r="H351" s="25" t="s">
        <v>25</v>
      </c>
      <c r="I351" s="25" t="s">
        <v>75</v>
      </c>
      <c r="J351" s="25" t="s">
        <v>242</v>
      </c>
      <c r="K351" s="25" t="n">
        <v>3</v>
      </c>
      <c r="L351" s="25" t="n">
        <v>26274.11</v>
      </c>
      <c r="M351" s="25" t="n">
        <v>20</v>
      </c>
      <c r="N351" s="25" t="n">
        <v>78822.33</v>
      </c>
      <c r="O351" s="25" t="n">
        <v>15764.47</v>
      </c>
      <c r="P351" s="25" t="n">
        <v>63057.86</v>
      </c>
      <c r="Q351" s="27" t="b">
        <f aca="false">FALSE()</f>
        <v>0</v>
      </c>
      <c r="R351" s="27" t="b">
        <f aca="false">FALSE()</f>
        <v>0</v>
      </c>
      <c r="S351" s="27" t="b">
        <f aca="false">FALSE()</f>
        <v>0</v>
      </c>
    </row>
    <row r="352" customFormat="false" ht="15" hidden="false" customHeight="false" outlineLevel="0" collapsed="false">
      <c r="A352" s="25" t="n">
        <v>351</v>
      </c>
      <c r="B352" s="25" t="s">
        <v>1242</v>
      </c>
      <c r="C352" s="25" t="s">
        <v>423</v>
      </c>
      <c r="D352" s="25" t="n">
        <v>20250606</v>
      </c>
      <c r="E352" s="25" t="n">
        <v>9</v>
      </c>
      <c r="F352" s="25" t="n">
        <v>69</v>
      </c>
      <c r="G352" s="25" t="s">
        <v>114</v>
      </c>
      <c r="H352" s="25" t="s">
        <v>2266</v>
      </c>
      <c r="I352" s="25" t="s">
        <v>86</v>
      </c>
      <c r="J352" s="25" t="s">
        <v>246</v>
      </c>
      <c r="K352" s="25" t="n">
        <v>3</v>
      </c>
      <c r="L352" s="25" t="n">
        <v>25742.49</v>
      </c>
      <c r="M352" s="25" t="n">
        <v>0</v>
      </c>
      <c r="N352" s="25" t="n">
        <v>77227.47</v>
      </c>
      <c r="O352" s="25" t="n">
        <v>0</v>
      </c>
      <c r="P352" s="25" t="n">
        <v>77227.47</v>
      </c>
      <c r="Q352" s="27" t="b">
        <f aca="false">FALSE()</f>
        <v>0</v>
      </c>
      <c r="R352" s="27" t="b">
        <f aca="false">FALSE()</f>
        <v>0</v>
      </c>
      <c r="S352" s="27" t="b">
        <f aca="false">FALSE()</f>
        <v>0</v>
      </c>
    </row>
    <row r="353" customFormat="false" ht="15" hidden="false" customHeight="false" outlineLevel="0" collapsed="false">
      <c r="A353" s="25" t="n">
        <v>352</v>
      </c>
      <c r="B353" s="25" t="s">
        <v>1244</v>
      </c>
      <c r="C353" s="25" t="s">
        <v>423</v>
      </c>
      <c r="D353" s="25" t="n">
        <v>20250606</v>
      </c>
      <c r="E353" s="25" t="n">
        <v>9</v>
      </c>
      <c r="F353" s="25" t="n">
        <v>65</v>
      </c>
      <c r="G353" s="25" t="s">
        <v>114</v>
      </c>
      <c r="H353" s="25" t="s">
        <v>2266</v>
      </c>
      <c r="I353" s="25" t="s">
        <v>86</v>
      </c>
      <c r="J353" s="25" t="s">
        <v>246</v>
      </c>
      <c r="K353" s="25" t="n">
        <v>3</v>
      </c>
      <c r="L353" s="25" t="n">
        <v>15706.03</v>
      </c>
      <c r="M353" s="25" t="n">
        <v>20</v>
      </c>
      <c r="N353" s="25" t="n">
        <v>47118.09</v>
      </c>
      <c r="O353" s="25" t="n">
        <v>9423.62</v>
      </c>
      <c r="P353" s="25" t="n">
        <v>37694.47</v>
      </c>
      <c r="Q353" s="27" t="b">
        <f aca="false">FALSE()</f>
        <v>0</v>
      </c>
      <c r="R353" s="27" t="b">
        <f aca="false">FALSE()</f>
        <v>0</v>
      </c>
      <c r="S353" s="27" t="b">
        <f aca="false">FALSE()</f>
        <v>0</v>
      </c>
    </row>
    <row r="354" customFormat="false" ht="15" hidden="false" customHeight="false" outlineLevel="0" collapsed="false">
      <c r="A354" s="25" t="n">
        <v>353</v>
      </c>
      <c r="B354" s="25" t="s">
        <v>1245</v>
      </c>
      <c r="C354" s="25" t="s">
        <v>423</v>
      </c>
      <c r="D354" s="25" t="n">
        <v>20250606</v>
      </c>
      <c r="E354" s="25" t="n">
        <v>9</v>
      </c>
      <c r="F354" s="25" t="n">
        <v>17</v>
      </c>
      <c r="G354" s="25" t="s">
        <v>114</v>
      </c>
      <c r="H354" s="25" t="s">
        <v>2266</v>
      </c>
      <c r="I354" s="25" t="s">
        <v>86</v>
      </c>
      <c r="J354" s="25" t="s">
        <v>246</v>
      </c>
      <c r="K354" s="25" t="n">
        <v>4</v>
      </c>
      <c r="L354" s="25" t="n">
        <v>17485.19</v>
      </c>
      <c r="M354" s="25" t="n">
        <v>0</v>
      </c>
      <c r="N354" s="25" t="n">
        <v>69940.76</v>
      </c>
      <c r="O354" s="25" t="n">
        <v>0</v>
      </c>
      <c r="P354" s="25" t="n">
        <v>69940.76</v>
      </c>
      <c r="Q354" s="27" t="b">
        <f aca="false">FALSE()</f>
        <v>0</v>
      </c>
      <c r="R354" s="27" t="b">
        <f aca="false">FALSE()</f>
        <v>0</v>
      </c>
      <c r="S354" s="27" t="b">
        <f aca="false">FALSE()</f>
        <v>0</v>
      </c>
    </row>
    <row r="355" customFormat="false" ht="15" hidden="false" customHeight="false" outlineLevel="0" collapsed="false">
      <c r="A355" s="25" t="n">
        <v>354</v>
      </c>
      <c r="B355" s="25" t="s">
        <v>1246</v>
      </c>
      <c r="C355" s="25" t="s">
        <v>290</v>
      </c>
      <c r="D355" s="25" t="n">
        <v>20250521</v>
      </c>
      <c r="E355" s="25" t="n">
        <v>143</v>
      </c>
      <c r="F355" s="25" t="n">
        <v>25</v>
      </c>
      <c r="G355" s="25" t="s">
        <v>114</v>
      </c>
      <c r="H355" s="25" t="s">
        <v>25</v>
      </c>
      <c r="I355" s="25" t="s">
        <v>1738</v>
      </c>
      <c r="J355" s="25" t="s">
        <v>269</v>
      </c>
      <c r="K355" s="25" t="n">
        <v>2</v>
      </c>
      <c r="L355" s="25" t="n">
        <v>19632.52</v>
      </c>
      <c r="M355" s="25" t="n">
        <v>15</v>
      </c>
      <c r="N355" s="25" t="n">
        <v>39265.04</v>
      </c>
      <c r="O355" s="25" t="n">
        <v>5889.76</v>
      </c>
      <c r="P355" s="25" t="n">
        <v>33375.28</v>
      </c>
      <c r="Q355" s="27" t="b">
        <f aca="false">FALSE()</f>
        <v>0</v>
      </c>
      <c r="R355" s="27" t="b">
        <f aca="false">FALSE()</f>
        <v>0</v>
      </c>
      <c r="S355" s="27" t="b">
        <f aca="false">FALSE()</f>
        <v>0</v>
      </c>
    </row>
    <row r="356" customFormat="false" ht="15" hidden="false" customHeight="false" outlineLevel="0" collapsed="false">
      <c r="A356" s="25" t="n">
        <v>355</v>
      </c>
      <c r="B356" s="25" t="s">
        <v>1247</v>
      </c>
      <c r="C356" s="25" t="s">
        <v>290</v>
      </c>
      <c r="D356" s="25" t="n">
        <v>20250521</v>
      </c>
      <c r="E356" s="25" t="n">
        <v>143</v>
      </c>
      <c r="F356" s="25" t="n">
        <v>4</v>
      </c>
      <c r="G356" s="25" t="s">
        <v>114</v>
      </c>
      <c r="H356" s="25" t="s">
        <v>25</v>
      </c>
      <c r="I356" s="25" t="s">
        <v>1738</v>
      </c>
      <c r="J356" s="25" t="s">
        <v>269</v>
      </c>
      <c r="K356" s="25" t="n">
        <v>2</v>
      </c>
      <c r="L356" s="25" t="n">
        <v>21122.18</v>
      </c>
      <c r="M356" s="25" t="n">
        <v>0</v>
      </c>
      <c r="N356" s="25" t="n">
        <v>42244.36</v>
      </c>
      <c r="O356" s="25" t="n">
        <v>0</v>
      </c>
      <c r="P356" s="25" t="n">
        <v>42244.36</v>
      </c>
      <c r="Q356" s="27" t="b">
        <f aca="false">FALSE()</f>
        <v>0</v>
      </c>
      <c r="R356" s="27" t="b">
        <f aca="false">FALSE()</f>
        <v>0</v>
      </c>
      <c r="S356" s="27" t="b">
        <f aca="false">FALSE()</f>
        <v>0</v>
      </c>
    </row>
    <row r="357" customFormat="false" ht="15" hidden="false" customHeight="false" outlineLevel="0" collapsed="false">
      <c r="A357" s="25" t="n">
        <v>356</v>
      </c>
      <c r="B357" s="25" t="s">
        <v>1248</v>
      </c>
      <c r="C357" s="25" t="s">
        <v>290</v>
      </c>
      <c r="D357" s="25" t="n">
        <v>20250521</v>
      </c>
      <c r="E357" s="25" t="n">
        <v>143</v>
      </c>
      <c r="F357" s="25" t="n">
        <v>60</v>
      </c>
      <c r="G357" s="25" t="s">
        <v>114</v>
      </c>
      <c r="H357" s="25" t="s">
        <v>25</v>
      </c>
      <c r="I357" s="25" t="s">
        <v>1738</v>
      </c>
      <c r="J357" s="25" t="s">
        <v>269</v>
      </c>
      <c r="K357" s="25" t="n">
        <v>4</v>
      </c>
      <c r="L357" s="25" t="n">
        <v>11569.57</v>
      </c>
      <c r="M357" s="25" t="n">
        <v>5</v>
      </c>
      <c r="N357" s="25" t="n">
        <v>46278.28</v>
      </c>
      <c r="O357" s="25" t="n">
        <v>2313.91</v>
      </c>
      <c r="P357" s="25" t="n">
        <v>43964.37</v>
      </c>
      <c r="Q357" s="27" t="b">
        <f aca="false">FALSE()</f>
        <v>0</v>
      </c>
      <c r="R357" s="27" t="b">
        <f aca="false">FALSE()</f>
        <v>0</v>
      </c>
      <c r="S357" s="27" t="b">
        <f aca="false">FALSE()</f>
        <v>0</v>
      </c>
    </row>
    <row r="358" customFormat="false" ht="15" hidden="false" customHeight="false" outlineLevel="0" collapsed="false">
      <c r="A358" s="25" t="n">
        <v>357</v>
      </c>
      <c r="B358" s="25" t="s">
        <v>1249</v>
      </c>
      <c r="C358" s="25" t="s">
        <v>475</v>
      </c>
      <c r="D358" s="25" t="n">
        <v>20240709</v>
      </c>
      <c r="E358" s="25" t="n">
        <v>109</v>
      </c>
      <c r="F358" s="25" t="n">
        <v>9</v>
      </c>
      <c r="G358" s="25" t="s">
        <v>114</v>
      </c>
      <c r="H358" s="25" t="s">
        <v>2265</v>
      </c>
      <c r="I358" s="25" t="s">
        <v>1738</v>
      </c>
      <c r="J358" s="25" t="s">
        <v>246</v>
      </c>
      <c r="K358" s="25" t="n">
        <v>4</v>
      </c>
      <c r="L358" s="25" t="n">
        <v>26274.11</v>
      </c>
      <c r="M358" s="25" t="n">
        <v>0</v>
      </c>
      <c r="N358" s="25" t="n">
        <v>105096.44</v>
      </c>
      <c r="O358" s="25" t="n">
        <v>0</v>
      </c>
      <c r="P358" s="25" t="n">
        <v>105096.44</v>
      </c>
      <c r="Q358" s="27" t="b">
        <f aca="false">FALSE()</f>
        <v>0</v>
      </c>
      <c r="R358" s="27" t="b">
        <f aca="false">FALSE()</f>
        <v>0</v>
      </c>
      <c r="S358" s="27" t="b">
        <f aca="false">FALSE()</f>
        <v>0</v>
      </c>
    </row>
    <row r="359" customFormat="false" ht="15" hidden="false" customHeight="false" outlineLevel="0" collapsed="false">
      <c r="A359" s="25" t="n">
        <v>358</v>
      </c>
      <c r="B359" s="25" t="s">
        <v>1250</v>
      </c>
      <c r="C359" s="25" t="s">
        <v>475</v>
      </c>
      <c r="D359" s="25" t="n">
        <v>20240709</v>
      </c>
      <c r="E359" s="25" t="n">
        <v>109</v>
      </c>
      <c r="F359" s="25" t="n">
        <v>4</v>
      </c>
      <c r="G359" s="25" t="s">
        <v>114</v>
      </c>
      <c r="H359" s="25" t="s">
        <v>2265</v>
      </c>
      <c r="I359" s="25" t="s">
        <v>1738</v>
      </c>
      <c r="J359" s="25" t="s">
        <v>246</v>
      </c>
      <c r="K359" s="25" t="n">
        <v>5</v>
      </c>
      <c r="L359" s="25" t="n">
        <v>21122.18</v>
      </c>
      <c r="M359" s="25" t="n">
        <v>10</v>
      </c>
      <c r="N359" s="25" t="n">
        <v>105610.9</v>
      </c>
      <c r="O359" s="25" t="n">
        <v>10561.09</v>
      </c>
      <c r="P359" s="25" t="n">
        <v>95049.81</v>
      </c>
      <c r="Q359" s="27" t="b">
        <f aca="false">FALSE()</f>
        <v>0</v>
      </c>
      <c r="R359" s="27" t="b">
        <f aca="false">FALSE()</f>
        <v>0</v>
      </c>
      <c r="S359" s="27" t="b">
        <f aca="false">FALSE()</f>
        <v>0</v>
      </c>
    </row>
    <row r="360" customFormat="false" ht="15" hidden="false" customHeight="false" outlineLevel="0" collapsed="false">
      <c r="A360" s="25" t="n">
        <v>359</v>
      </c>
      <c r="B360" s="25" t="s">
        <v>1251</v>
      </c>
      <c r="C360" s="25" t="s">
        <v>410</v>
      </c>
      <c r="D360" s="25" t="n">
        <v>20240811</v>
      </c>
      <c r="E360" s="25" t="n">
        <v>68</v>
      </c>
      <c r="F360" s="25" t="n">
        <v>7</v>
      </c>
      <c r="G360" s="25" t="s">
        <v>114</v>
      </c>
      <c r="H360" s="25" t="s">
        <v>25</v>
      </c>
      <c r="I360" s="25" t="s">
        <v>83</v>
      </c>
      <c r="J360" s="25" t="s">
        <v>242</v>
      </c>
      <c r="K360" s="25" t="n">
        <v>2</v>
      </c>
      <c r="L360" s="25" t="n">
        <v>20278.89</v>
      </c>
      <c r="M360" s="25" t="n">
        <v>0</v>
      </c>
      <c r="N360" s="25" t="n">
        <v>40557.78</v>
      </c>
      <c r="O360" s="25" t="n">
        <v>0</v>
      </c>
      <c r="P360" s="25" t="n">
        <v>40557.78</v>
      </c>
      <c r="Q360" s="27" t="b">
        <f aca="false">FALSE()</f>
        <v>0</v>
      </c>
      <c r="R360" s="27" t="b">
        <f aca="false">FALSE()</f>
        <v>0</v>
      </c>
      <c r="S360" s="27" t="b">
        <f aca="false">FALSE()</f>
        <v>0</v>
      </c>
    </row>
    <row r="361" customFormat="false" ht="15" hidden="false" customHeight="false" outlineLevel="0" collapsed="false">
      <c r="A361" s="25" t="n">
        <v>360</v>
      </c>
      <c r="B361" s="25" t="s">
        <v>1253</v>
      </c>
      <c r="C361" s="25" t="s">
        <v>410</v>
      </c>
      <c r="D361" s="25" t="n">
        <v>20240811</v>
      </c>
      <c r="E361" s="25" t="n">
        <v>68</v>
      </c>
      <c r="F361" s="25" t="n">
        <v>52</v>
      </c>
      <c r="G361" s="25" t="s">
        <v>114</v>
      </c>
      <c r="H361" s="25" t="s">
        <v>25</v>
      </c>
      <c r="I361" s="25" t="s">
        <v>83</v>
      </c>
      <c r="J361" s="25" t="s">
        <v>242</v>
      </c>
      <c r="K361" s="25" t="n">
        <v>3</v>
      </c>
      <c r="L361" s="25" t="n">
        <v>17637.28</v>
      </c>
      <c r="M361" s="25" t="n">
        <v>0</v>
      </c>
      <c r="N361" s="25" t="n">
        <v>52911.84</v>
      </c>
      <c r="O361" s="25" t="n">
        <v>0</v>
      </c>
      <c r="P361" s="25" t="n">
        <v>52911.84</v>
      </c>
      <c r="Q361" s="27" t="b">
        <f aca="false">FALSE()</f>
        <v>0</v>
      </c>
      <c r="R361" s="27" t="b">
        <f aca="false">TRUE()</f>
        <v>1</v>
      </c>
      <c r="S361" s="27" t="b">
        <f aca="false">FALSE()</f>
        <v>0</v>
      </c>
    </row>
    <row r="362" customFormat="false" ht="15" hidden="false" customHeight="false" outlineLevel="0" collapsed="false">
      <c r="A362" s="25" t="n">
        <v>361</v>
      </c>
      <c r="B362" s="25" t="s">
        <v>1254</v>
      </c>
      <c r="C362" s="25" t="s">
        <v>410</v>
      </c>
      <c r="D362" s="25" t="n">
        <v>20240811</v>
      </c>
      <c r="E362" s="25" t="n">
        <v>68</v>
      </c>
      <c r="F362" s="25" t="n">
        <v>12</v>
      </c>
      <c r="G362" s="25" t="s">
        <v>114</v>
      </c>
      <c r="H362" s="25" t="s">
        <v>25</v>
      </c>
      <c r="I362" s="25" t="s">
        <v>83</v>
      </c>
      <c r="J362" s="25" t="s">
        <v>242</v>
      </c>
      <c r="K362" s="25" t="n">
        <v>3</v>
      </c>
      <c r="L362" s="25" t="n">
        <v>11434.02</v>
      </c>
      <c r="M362" s="25" t="n">
        <v>15</v>
      </c>
      <c r="N362" s="25" t="n">
        <v>34302.06</v>
      </c>
      <c r="O362" s="25" t="n">
        <v>5145.31</v>
      </c>
      <c r="P362" s="25" t="n">
        <v>29156.75</v>
      </c>
      <c r="Q362" s="27" t="b">
        <f aca="false">FALSE()</f>
        <v>0</v>
      </c>
      <c r="R362" s="27" t="b">
        <f aca="false">FALSE()</f>
        <v>0</v>
      </c>
      <c r="S362" s="27" t="b">
        <f aca="false">FALSE()</f>
        <v>0</v>
      </c>
    </row>
    <row r="363" customFormat="false" ht="15" hidden="false" customHeight="false" outlineLevel="0" collapsed="false">
      <c r="A363" s="25" t="n">
        <v>362</v>
      </c>
      <c r="B363" s="25" t="s">
        <v>1255</v>
      </c>
      <c r="C363" s="25" t="s">
        <v>410</v>
      </c>
      <c r="D363" s="25" t="n">
        <v>20240811</v>
      </c>
      <c r="E363" s="25" t="n">
        <v>68</v>
      </c>
      <c r="F363" s="25" t="n">
        <v>56</v>
      </c>
      <c r="G363" s="25" t="s">
        <v>114</v>
      </c>
      <c r="H363" s="25" t="s">
        <v>25</v>
      </c>
      <c r="I363" s="25" t="s">
        <v>83</v>
      </c>
      <c r="J363" s="25" t="s">
        <v>242</v>
      </c>
      <c r="K363" s="25" t="n">
        <v>1</v>
      </c>
      <c r="L363" s="25" t="n">
        <v>16535.66</v>
      </c>
      <c r="M363" s="25" t="n">
        <v>15</v>
      </c>
      <c r="N363" s="25" t="n">
        <v>16535.66</v>
      </c>
      <c r="O363" s="25" t="n">
        <v>2480.35</v>
      </c>
      <c r="P363" s="25" t="n">
        <v>14055.31</v>
      </c>
      <c r="Q363" s="27" t="b">
        <f aca="false">FALSE()</f>
        <v>0</v>
      </c>
      <c r="R363" s="27" t="b">
        <f aca="false">FALSE()</f>
        <v>0</v>
      </c>
      <c r="S363" s="27" t="b">
        <f aca="false">FALSE()</f>
        <v>0</v>
      </c>
    </row>
    <row r="364" customFormat="false" ht="15" hidden="false" customHeight="false" outlineLevel="0" collapsed="false">
      <c r="A364" s="25" t="n">
        <v>363</v>
      </c>
      <c r="B364" s="25" t="s">
        <v>1256</v>
      </c>
      <c r="C364" s="25" t="s">
        <v>537</v>
      </c>
      <c r="D364" s="25" t="n">
        <v>20241003</v>
      </c>
      <c r="E364" s="25" t="n">
        <v>49</v>
      </c>
      <c r="F364" s="25" t="n">
        <v>53</v>
      </c>
      <c r="G364" s="25" t="s">
        <v>114</v>
      </c>
      <c r="H364" s="25" t="s">
        <v>2266</v>
      </c>
      <c r="I364" s="25" t="s">
        <v>86</v>
      </c>
      <c r="J364" s="25" t="s">
        <v>246</v>
      </c>
      <c r="K364" s="25" t="n">
        <v>2</v>
      </c>
      <c r="L364" s="25" t="n">
        <v>7313.65</v>
      </c>
      <c r="M364" s="25" t="n">
        <v>10</v>
      </c>
      <c r="N364" s="25" t="n">
        <v>14627.3</v>
      </c>
      <c r="O364" s="25" t="n">
        <v>1462.73</v>
      </c>
      <c r="P364" s="25" t="n">
        <v>13164.57</v>
      </c>
      <c r="Q364" s="27" t="b">
        <f aca="false">FALSE()</f>
        <v>0</v>
      </c>
      <c r="R364" s="27" t="b">
        <f aca="false">FALSE()</f>
        <v>0</v>
      </c>
      <c r="S364" s="27" t="b">
        <f aca="false">FALSE()</f>
        <v>0</v>
      </c>
    </row>
    <row r="365" customFormat="false" ht="15" hidden="false" customHeight="false" outlineLevel="0" collapsed="false">
      <c r="A365" s="25" t="n">
        <v>364</v>
      </c>
      <c r="B365" s="25" t="s">
        <v>1258</v>
      </c>
      <c r="C365" s="25" t="s">
        <v>507</v>
      </c>
      <c r="D365" s="25" t="n">
        <v>20250721</v>
      </c>
      <c r="E365" s="25" t="n">
        <v>131</v>
      </c>
      <c r="F365" s="25" t="n">
        <v>13</v>
      </c>
      <c r="G365" s="25" t="s">
        <v>114</v>
      </c>
      <c r="H365" s="25" t="s">
        <v>25</v>
      </c>
      <c r="I365" s="25" t="s">
        <v>1770</v>
      </c>
      <c r="J365" s="25" t="s">
        <v>242</v>
      </c>
      <c r="K365" s="25" t="n">
        <v>1</v>
      </c>
      <c r="L365" s="25" t="n">
        <v>15622.68</v>
      </c>
      <c r="M365" s="25" t="n">
        <v>5</v>
      </c>
      <c r="N365" s="25" t="n">
        <v>15622.68</v>
      </c>
      <c r="O365" s="25" t="n">
        <v>781.13</v>
      </c>
      <c r="P365" s="25" t="n">
        <v>14841.55</v>
      </c>
      <c r="Q365" s="27" t="b">
        <f aca="false">FALSE()</f>
        <v>0</v>
      </c>
      <c r="R365" s="27" t="b">
        <f aca="false">FALSE()</f>
        <v>0</v>
      </c>
      <c r="S365" s="27" t="b">
        <f aca="false">FALSE()</f>
        <v>0</v>
      </c>
    </row>
    <row r="366" customFormat="false" ht="15" hidden="false" customHeight="false" outlineLevel="0" collapsed="false">
      <c r="A366" s="25" t="n">
        <v>365</v>
      </c>
      <c r="B366" s="25" t="s">
        <v>1260</v>
      </c>
      <c r="C366" s="25" t="s">
        <v>320</v>
      </c>
      <c r="D366" s="25" t="n">
        <v>20250104</v>
      </c>
      <c r="E366" s="25" t="n">
        <v>66</v>
      </c>
      <c r="F366" s="25" t="n">
        <v>6</v>
      </c>
      <c r="G366" s="25" t="s">
        <v>113</v>
      </c>
      <c r="H366" s="25" t="s">
        <v>25</v>
      </c>
      <c r="I366" s="25" t="s">
        <v>86</v>
      </c>
      <c r="J366" s="25" t="s">
        <v>250</v>
      </c>
      <c r="K366" s="25" t="n">
        <v>4</v>
      </c>
      <c r="L366" s="25" t="n">
        <v>2863.09</v>
      </c>
      <c r="M366" s="25" t="n">
        <v>10</v>
      </c>
      <c r="N366" s="25" t="n">
        <v>11452.36</v>
      </c>
      <c r="O366" s="25" t="n">
        <v>1145.24</v>
      </c>
      <c r="P366" s="25" t="n">
        <v>10307.12</v>
      </c>
      <c r="Q366" s="27" t="b">
        <f aca="false">FALSE()</f>
        <v>0</v>
      </c>
      <c r="R366" s="27" t="b">
        <f aca="false">FALSE()</f>
        <v>0</v>
      </c>
      <c r="S366" s="27" t="b">
        <f aca="false">FALSE()</f>
        <v>0</v>
      </c>
    </row>
    <row r="367" customFormat="false" ht="15" hidden="false" customHeight="false" outlineLevel="0" collapsed="false">
      <c r="A367" s="25" t="n">
        <v>366</v>
      </c>
      <c r="B367" s="25" t="s">
        <v>1261</v>
      </c>
      <c r="C367" s="25" t="s">
        <v>320</v>
      </c>
      <c r="D367" s="25" t="n">
        <v>20250104</v>
      </c>
      <c r="E367" s="25" t="n">
        <v>66</v>
      </c>
      <c r="F367" s="25" t="n">
        <v>8</v>
      </c>
      <c r="G367" s="25" t="s">
        <v>113</v>
      </c>
      <c r="H367" s="25" t="s">
        <v>25</v>
      </c>
      <c r="I367" s="25" t="s">
        <v>86</v>
      </c>
      <c r="J367" s="25" t="s">
        <v>250</v>
      </c>
      <c r="K367" s="25" t="n">
        <v>1</v>
      </c>
      <c r="L367" s="25" t="n">
        <v>15176.98</v>
      </c>
      <c r="M367" s="25" t="n">
        <v>5</v>
      </c>
      <c r="N367" s="25" t="n">
        <v>15176.98</v>
      </c>
      <c r="O367" s="25" t="n">
        <v>758.85</v>
      </c>
      <c r="P367" s="25" t="n">
        <v>14418.13</v>
      </c>
      <c r="Q367" s="27" t="b">
        <f aca="false">FALSE()</f>
        <v>0</v>
      </c>
      <c r="R367" s="27" t="b">
        <f aca="false">FALSE()</f>
        <v>0</v>
      </c>
      <c r="S367" s="27" t="b">
        <f aca="false">FALSE()</f>
        <v>0</v>
      </c>
    </row>
    <row r="368" customFormat="false" ht="15" hidden="false" customHeight="false" outlineLevel="0" collapsed="false">
      <c r="A368" s="25" t="n">
        <v>367</v>
      </c>
      <c r="B368" s="25" t="s">
        <v>1262</v>
      </c>
      <c r="C368" s="25" t="s">
        <v>498</v>
      </c>
      <c r="D368" s="25" t="n">
        <v>20240820</v>
      </c>
      <c r="E368" s="25" t="n">
        <v>26</v>
      </c>
      <c r="F368" s="25" t="n">
        <v>40</v>
      </c>
      <c r="G368" s="25" t="s">
        <v>114</v>
      </c>
      <c r="H368" s="25" t="s">
        <v>25</v>
      </c>
      <c r="I368" s="25" t="s">
        <v>94</v>
      </c>
      <c r="J368" s="25" t="s">
        <v>242</v>
      </c>
      <c r="K368" s="25" t="n">
        <v>5</v>
      </c>
      <c r="L368" s="25" t="n">
        <v>3684.57</v>
      </c>
      <c r="M368" s="25" t="n">
        <v>0</v>
      </c>
      <c r="N368" s="25" t="n">
        <v>18422.85</v>
      </c>
      <c r="O368" s="25" t="n">
        <v>0</v>
      </c>
      <c r="P368" s="25" t="n">
        <v>18422.85</v>
      </c>
      <c r="Q368" s="27" t="b">
        <f aca="false">FALSE()</f>
        <v>0</v>
      </c>
      <c r="R368" s="27" t="b">
        <f aca="false">FALSE()</f>
        <v>0</v>
      </c>
      <c r="S368" s="27" t="b">
        <f aca="false">FALSE()</f>
        <v>0</v>
      </c>
    </row>
    <row r="369" customFormat="false" ht="15" hidden="false" customHeight="false" outlineLevel="0" collapsed="false">
      <c r="A369" s="25" t="n">
        <v>368</v>
      </c>
      <c r="B369" s="25" t="s">
        <v>1264</v>
      </c>
      <c r="C369" s="25" t="s">
        <v>388</v>
      </c>
      <c r="D369" s="25" t="n">
        <v>20241109</v>
      </c>
      <c r="E369" s="25" t="n">
        <v>151</v>
      </c>
      <c r="F369" s="25" t="n">
        <v>58</v>
      </c>
      <c r="G369" s="25" t="s">
        <v>113</v>
      </c>
      <c r="H369" s="25" t="s">
        <v>25</v>
      </c>
      <c r="I369" s="25" t="s">
        <v>94</v>
      </c>
      <c r="J369" s="25" t="s">
        <v>269</v>
      </c>
      <c r="K369" s="25" t="n">
        <v>3</v>
      </c>
      <c r="L369" s="25" t="n">
        <v>22572.25</v>
      </c>
      <c r="M369" s="25" t="n">
        <v>5</v>
      </c>
      <c r="N369" s="25" t="n">
        <v>67716.75</v>
      </c>
      <c r="O369" s="25" t="n">
        <v>3385.84</v>
      </c>
      <c r="P369" s="25" t="n">
        <v>64330.91</v>
      </c>
      <c r="Q369" s="27" t="b">
        <f aca="false">FALSE()</f>
        <v>0</v>
      </c>
      <c r="R369" s="27" t="b">
        <f aca="false">FALSE()</f>
        <v>0</v>
      </c>
      <c r="S369" s="27" t="b">
        <f aca="false">FALSE()</f>
        <v>0</v>
      </c>
    </row>
    <row r="370" customFormat="false" ht="15" hidden="false" customHeight="false" outlineLevel="0" collapsed="false">
      <c r="A370" s="25" t="n">
        <v>369</v>
      </c>
      <c r="B370" s="25" t="s">
        <v>1265</v>
      </c>
      <c r="C370" s="25" t="s">
        <v>388</v>
      </c>
      <c r="D370" s="25" t="n">
        <v>20241109</v>
      </c>
      <c r="E370" s="25" t="n">
        <v>151</v>
      </c>
      <c r="F370" s="25" t="n">
        <v>33</v>
      </c>
      <c r="G370" s="25" t="s">
        <v>113</v>
      </c>
      <c r="H370" s="25" t="s">
        <v>25</v>
      </c>
      <c r="I370" s="25" t="s">
        <v>94</v>
      </c>
      <c r="J370" s="25" t="s">
        <v>269</v>
      </c>
      <c r="K370" s="25" t="n">
        <v>5</v>
      </c>
      <c r="L370" s="25" t="n">
        <v>11865.75</v>
      </c>
      <c r="M370" s="25" t="n">
        <v>15</v>
      </c>
      <c r="N370" s="25" t="n">
        <v>59328.75</v>
      </c>
      <c r="O370" s="25" t="n">
        <v>8899.31</v>
      </c>
      <c r="P370" s="25" t="n">
        <v>50429.44</v>
      </c>
      <c r="Q370" s="27" t="b">
        <f aca="false">FALSE()</f>
        <v>0</v>
      </c>
      <c r="R370" s="27" t="b">
        <f aca="false">FALSE()</f>
        <v>0</v>
      </c>
      <c r="S370" s="27" t="b">
        <f aca="false">FALSE()</f>
        <v>0</v>
      </c>
    </row>
    <row r="371" customFormat="false" ht="15" hidden="false" customHeight="false" outlineLevel="0" collapsed="false">
      <c r="A371" s="25" t="n">
        <v>370</v>
      </c>
      <c r="B371" s="25" t="s">
        <v>1266</v>
      </c>
      <c r="C371" s="25" t="s">
        <v>428</v>
      </c>
      <c r="D371" s="25" t="n">
        <v>20250818</v>
      </c>
      <c r="E371" s="25" t="n">
        <v>89</v>
      </c>
      <c r="F371" s="25" t="n">
        <v>59</v>
      </c>
      <c r="G371" s="25" t="s">
        <v>113</v>
      </c>
      <c r="H371" s="25" t="s">
        <v>25</v>
      </c>
      <c r="I371" s="25" t="s">
        <v>79</v>
      </c>
      <c r="J371" s="25" t="s">
        <v>250</v>
      </c>
      <c r="K371" s="25" t="n">
        <v>2</v>
      </c>
      <c r="L371" s="25" t="n">
        <v>18828.5</v>
      </c>
      <c r="M371" s="25" t="n">
        <v>0</v>
      </c>
      <c r="N371" s="25" t="n">
        <v>37657</v>
      </c>
      <c r="O371" s="25" t="n">
        <v>0</v>
      </c>
      <c r="P371" s="25" t="n">
        <v>37657</v>
      </c>
      <c r="Q371" s="27" t="b">
        <f aca="false">FALSE()</f>
        <v>0</v>
      </c>
      <c r="R371" s="27" t="b">
        <f aca="false">FALSE()</f>
        <v>0</v>
      </c>
      <c r="S371" s="27" t="b">
        <f aca="false">FALSE()</f>
        <v>0</v>
      </c>
    </row>
    <row r="372" customFormat="false" ht="15" hidden="false" customHeight="false" outlineLevel="0" collapsed="false">
      <c r="A372" s="25" t="n">
        <v>371</v>
      </c>
      <c r="B372" s="25" t="s">
        <v>1268</v>
      </c>
      <c r="C372" s="25" t="s">
        <v>428</v>
      </c>
      <c r="D372" s="25" t="n">
        <v>20250818</v>
      </c>
      <c r="E372" s="25" t="n">
        <v>89</v>
      </c>
      <c r="F372" s="25" t="n">
        <v>2</v>
      </c>
      <c r="G372" s="25" t="s">
        <v>113</v>
      </c>
      <c r="H372" s="25" t="s">
        <v>25</v>
      </c>
      <c r="I372" s="25" t="s">
        <v>79</v>
      </c>
      <c r="J372" s="25" t="s">
        <v>250</v>
      </c>
      <c r="K372" s="25" t="n">
        <v>2</v>
      </c>
      <c r="L372" s="25" t="n">
        <v>9953.59</v>
      </c>
      <c r="M372" s="25" t="n">
        <v>0</v>
      </c>
      <c r="N372" s="25" t="n">
        <v>19907.18</v>
      </c>
      <c r="O372" s="25" t="n">
        <v>0</v>
      </c>
      <c r="P372" s="25" t="n">
        <v>19907.18</v>
      </c>
      <c r="Q372" s="27" t="b">
        <f aca="false">FALSE()</f>
        <v>0</v>
      </c>
      <c r="R372" s="27" t="b">
        <f aca="false">FALSE()</f>
        <v>0</v>
      </c>
      <c r="S372" s="27" t="b">
        <f aca="false">FALSE()</f>
        <v>0</v>
      </c>
    </row>
    <row r="373" customFormat="false" ht="15" hidden="false" customHeight="false" outlineLevel="0" collapsed="false">
      <c r="A373" s="25" t="n">
        <v>372</v>
      </c>
      <c r="B373" s="25" t="s">
        <v>1269</v>
      </c>
      <c r="C373" s="25" t="s">
        <v>428</v>
      </c>
      <c r="D373" s="25" t="n">
        <v>20250818</v>
      </c>
      <c r="E373" s="25" t="n">
        <v>89</v>
      </c>
      <c r="F373" s="25" t="n">
        <v>14</v>
      </c>
      <c r="G373" s="25" t="s">
        <v>113</v>
      </c>
      <c r="H373" s="25" t="s">
        <v>25</v>
      </c>
      <c r="I373" s="25" t="s">
        <v>79</v>
      </c>
      <c r="J373" s="25" t="s">
        <v>250</v>
      </c>
      <c r="K373" s="25" t="n">
        <v>4</v>
      </c>
      <c r="L373" s="25" t="n">
        <v>13809.86</v>
      </c>
      <c r="M373" s="25" t="n">
        <v>10</v>
      </c>
      <c r="N373" s="25" t="n">
        <v>55239.44</v>
      </c>
      <c r="O373" s="25" t="n">
        <v>5523.94</v>
      </c>
      <c r="P373" s="25" t="n">
        <v>49715.5</v>
      </c>
      <c r="Q373" s="27" t="b">
        <f aca="false">FALSE()</f>
        <v>0</v>
      </c>
      <c r="R373" s="27" t="b">
        <f aca="false">FALSE()</f>
        <v>0</v>
      </c>
      <c r="S373" s="27" t="b">
        <f aca="false">FALSE()</f>
        <v>0</v>
      </c>
    </row>
    <row r="374" customFormat="false" ht="15" hidden="false" customHeight="false" outlineLevel="0" collapsed="false">
      <c r="A374" s="25" t="n">
        <v>373</v>
      </c>
      <c r="B374" s="25" t="s">
        <v>1270</v>
      </c>
      <c r="C374" s="25" t="s">
        <v>337</v>
      </c>
      <c r="D374" s="25" t="n">
        <v>20241228</v>
      </c>
      <c r="E374" s="25" t="n">
        <v>144</v>
      </c>
      <c r="F374" s="25" t="n">
        <v>65</v>
      </c>
      <c r="G374" s="25" t="s">
        <v>114</v>
      </c>
      <c r="H374" s="25" t="s">
        <v>25</v>
      </c>
      <c r="I374" s="25" t="s">
        <v>75</v>
      </c>
      <c r="J374" s="25" t="s">
        <v>269</v>
      </c>
      <c r="K374" s="25" t="n">
        <v>1</v>
      </c>
      <c r="L374" s="25" t="n">
        <v>15706.03</v>
      </c>
      <c r="M374" s="25" t="n">
        <v>5</v>
      </c>
      <c r="N374" s="25" t="n">
        <v>15706.03</v>
      </c>
      <c r="O374" s="25" t="n">
        <v>785.3</v>
      </c>
      <c r="P374" s="25" t="n">
        <v>14920.73</v>
      </c>
      <c r="Q374" s="27" t="b">
        <f aca="false">FALSE()</f>
        <v>0</v>
      </c>
      <c r="R374" s="27" t="b">
        <f aca="false">FALSE()</f>
        <v>0</v>
      </c>
      <c r="S374" s="27" t="b">
        <f aca="false">FALSE()</f>
        <v>0</v>
      </c>
    </row>
    <row r="375" customFormat="false" ht="15" hidden="false" customHeight="false" outlineLevel="0" collapsed="false">
      <c r="A375" s="25" t="n">
        <v>374</v>
      </c>
      <c r="B375" s="25" t="s">
        <v>1271</v>
      </c>
      <c r="C375" s="25" t="s">
        <v>337</v>
      </c>
      <c r="D375" s="25" t="n">
        <v>20241228</v>
      </c>
      <c r="E375" s="25" t="n">
        <v>144</v>
      </c>
      <c r="F375" s="25" t="n">
        <v>19</v>
      </c>
      <c r="G375" s="25" t="s">
        <v>114</v>
      </c>
      <c r="H375" s="25" t="s">
        <v>25</v>
      </c>
      <c r="I375" s="25" t="s">
        <v>75</v>
      </c>
      <c r="J375" s="25" t="s">
        <v>269</v>
      </c>
      <c r="K375" s="25" t="n">
        <v>4</v>
      </c>
      <c r="L375" s="25" t="n">
        <v>7877.61</v>
      </c>
      <c r="M375" s="25" t="n">
        <v>10</v>
      </c>
      <c r="N375" s="25" t="n">
        <v>31510.44</v>
      </c>
      <c r="O375" s="25" t="n">
        <v>3151.04</v>
      </c>
      <c r="P375" s="25" t="n">
        <v>28359.4</v>
      </c>
      <c r="Q375" s="27" t="b">
        <f aca="false">FALSE()</f>
        <v>0</v>
      </c>
      <c r="R375" s="27" t="b">
        <f aca="false">FALSE()</f>
        <v>0</v>
      </c>
      <c r="S375" s="27" t="b">
        <f aca="false">FALSE()</f>
        <v>0</v>
      </c>
    </row>
    <row r="376" customFormat="false" ht="15" hidden="false" customHeight="false" outlineLevel="0" collapsed="false">
      <c r="A376" s="25" t="n">
        <v>375</v>
      </c>
      <c r="B376" s="25" t="s">
        <v>1272</v>
      </c>
      <c r="C376" s="25" t="s">
        <v>337</v>
      </c>
      <c r="D376" s="25" t="n">
        <v>20241228</v>
      </c>
      <c r="E376" s="25" t="n">
        <v>144</v>
      </c>
      <c r="F376" s="25" t="n">
        <v>68</v>
      </c>
      <c r="G376" s="25" t="s">
        <v>114</v>
      </c>
      <c r="H376" s="25" t="s">
        <v>25</v>
      </c>
      <c r="I376" s="25" t="s">
        <v>75</v>
      </c>
      <c r="J376" s="25" t="s">
        <v>269</v>
      </c>
      <c r="K376" s="25" t="n">
        <v>5</v>
      </c>
      <c r="L376" s="25" t="n">
        <v>21978.46</v>
      </c>
      <c r="M376" s="25" t="n">
        <v>10</v>
      </c>
      <c r="N376" s="25" t="n">
        <v>109892.3</v>
      </c>
      <c r="O376" s="25" t="n">
        <v>10989.23</v>
      </c>
      <c r="P376" s="25" t="n">
        <v>98903.07</v>
      </c>
      <c r="Q376" s="27" t="b">
        <f aca="false">FALSE()</f>
        <v>0</v>
      </c>
      <c r="R376" s="27" t="b">
        <f aca="false">FALSE()</f>
        <v>0</v>
      </c>
      <c r="S376" s="27" t="b">
        <f aca="false">FALSE()</f>
        <v>0</v>
      </c>
    </row>
    <row r="377" customFormat="false" ht="15" hidden="false" customHeight="false" outlineLevel="0" collapsed="false">
      <c r="A377" s="25" t="n">
        <v>376</v>
      </c>
      <c r="B377" s="25" t="s">
        <v>1273</v>
      </c>
      <c r="C377" s="25" t="s">
        <v>271</v>
      </c>
      <c r="D377" s="25" t="n">
        <v>20250913</v>
      </c>
      <c r="E377" s="25" t="n">
        <v>36</v>
      </c>
      <c r="F377" s="25" t="n">
        <v>37</v>
      </c>
      <c r="G377" s="25" t="s">
        <v>114</v>
      </c>
      <c r="H377" s="25" t="s">
        <v>2263</v>
      </c>
      <c r="I377" s="25" t="s">
        <v>94</v>
      </c>
      <c r="J377" s="25" t="s">
        <v>246</v>
      </c>
      <c r="K377" s="25" t="n">
        <v>5</v>
      </c>
      <c r="L377" s="25" t="n">
        <v>16084.14</v>
      </c>
      <c r="M377" s="25" t="n">
        <v>0</v>
      </c>
      <c r="N377" s="25" t="n">
        <v>80420.7</v>
      </c>
      <c r="O377" s="25" t="n">
        <v>0</v>
      </c>
      <c r="P377" s="25" t="n">
        <v>80420.7</v>
      </c>
      <c r="Q377" s="27" t="b">
        <f aca="false">FALSE()</f>
        <v>0</v>
      </c>
      <c r="R377" s="27" t="b">
        <f aca="false">FALSE()</f>
        <v>0</v>
      </c>
      <c r="S377" s="27" t="b">
        <f aca="false">FALSE()</f>
        <v>0</v>
      </c>
    </row>
    <row r="378" customFormat="false" ht="15" hidden="false" customHeight="false" outlineLevel="0" collapsed="false">
      <c r="A378" s="25" t="n">
        <v>377</v>
      </c>
      <c r="B378" s="25" t="s">
        <v>1275</v>
      </c>
      <c r="C378" s="25" t="s">
        <v>459</v>
      </c>
      <c r="D378" s="25" t="n">
        <v>20240223</v>
      </c>
      <c r="E378" s="25" t="n">
        <v>33</v>
      </c>
      <c r="F378" s="25" t="n">
        <v>9</v>
      </c>
      <c r="G378" s="25" t="s">
        <v>114</v>
      </c>
      <c r="H378" s="25" t="s">
        <v>2275</v>
      </c>
      <c r="I378" s="25" t="s">
        <v>1770</v>
      </c>
      <c r="J378" s="25" t="s">
        <v>242</v>
      </c>
      <c r="K378" s="25" t="n">
        <v>2</v>
      </c>
      <c r="L378" s="25" t="n">
        <v>26274.11</v>
      </c>
      <c r="M378" s="25" t="n">
        <v>10</v>
      </c>
      <c r="N378" s="25" t="n">
        <v>52548.22</v>
      </c>
      <c r="O378" s="25" t="n">
        <v>5254.82</v>
      </c>
      <c r="P378" s="25" t="n">
        <v>47293.4</v>
      </c>
      <c r="Q378" s="27" t="b">
        <f aca="false">FALSE()</f>
        <v>0</v>
      </c>
      <c r="R378" s="27" t="b">
        <f aca="false">FALSE()</f>
        <v>0</v>
      </c>
      <c r="S378" s="27" t="b">
        <f aca="false">FALSE()</f>
        <v>0</v>
      </c>
    </row>
    <row r="379" customFormat="false" ht="15" hidden="false" customHeight="false" outlineLevel="0" collapsed="false">
      <c r="A379" s="25" t="n">
        <v>378</v>
      </c>
      <c r="B379" s="25" t="s">
        <v>1276</v>
      </c>
      <c r="C379" s="25" t="s">
        <v>459</v>
      </c>
      <c r="D379" s="25" t="n">
        <v>20240223</v>
      </c>
      <c r="E379" s="25" t="n">
        <v>33</v>
      </c>
      <c r="F379" s="25" t="n">
        <v>22</v>
      </c>
      <c r="G379" s="25" t="s">
        <v>114</v>
      </c>
      <c r="H379" s="25" t="s">
        <v>2275</v>
      </c>
      <c r="I379" s="25" t="s">
        <v>1770</v>
      </c>
      <c r="J379" s="25" t="s">
        <v>242</v>
      </c>
      <c r="K379" s="25" t="n">
        <v>5</v>
      </c>
      <c r="L379" s="25" t="n">
        <v>19552.29</v>
      </c>
      <c r="M379" s="25" t="n">
        <v>0</v>
      </c>
      <c r="N379" s="25" t="n">
        <v>97761.45</v>
      </c>
      <c r="O379" s="25" t="n">
        <v>0</v>
      </c>
      <c r="P379" s="25" t="n">
        <v>97761.45</v>
      </c>
      <c r="Q379" s="27" t="b">
        <f aca="false">FALSE()</f>
        <v>0</v>
      </c>
      <c r="R379" s="27" t="b">
        <f aca="false">FALSE()</f>
        <v>0</v>
      </c>
      <c r="S379" s="27" t="b">
        <f aca="false">FALSE()</f>
        <v>0</v>
      </c>
    </row>
    <row r="380" customFormat="false" ht="15" hidden="false" customHeight="false" outlineLevel="0" collapsed="false">
      <c r="A380" s="25" t="n">
        <v>379</v>
      </c>
      <c r="B380" s="25" t="s">
        <v>1277</v>
      </c>
      <c r="C380" s="25" t="s">
        <v>459</v>
      </c>
      <c r="D380" s="25" t="n">
        <v>20240223</v>
      </c>
      <c r="E380" s="25" t="n">
        <v>33</v>
      </c>
      <c r="F380" s="25" t="n">
        <v>46</v>
      </c>
      <c r="G380" s="25" t="s">
        <v>114</v>
      </c>
      <c r="H380" s="25" t="s">
        <v>2275</v>
      </c>
      <c r="I380" s="25" t="s">
        <v>1770</v>
      </c>
      <c r="J380" s="25" t="s">
        <v>242</v>
      </c>
      <c r="K380" s="25" t="n">
        <v>1</v>
      </c>
      <c r="L380" s="25" t="n">
        <v>15383.27</v>
      </c>
      <c r="M380" s="25" t="n">
        <v>10</v>
      </c>
      <c r="N380" s="25" t="n">
        <v>15383.27</v>
      </c>
      <c r="O380" s="25" t="n">
        <v>1538.33</v>
      </c>
      <c r="P380" s="25" t="n">
        <v>13844.94</v>
      </c>
      <c r="Q380" s="27" t="b">
        <f aca="false">FALSE()</f>
        <v>0</v>
      </c>
      <c r="R380" s="27" t="b">
        <f aca="false">FALSE()</f>
        <v>0</v>
      </c>
      <c r="S380" s="27" t="b">
        <f aca="false">FALSE()</f>
        <v>0</v>
      </c>
    </row>
    <row r="381" customFormat="false" ht="15" hidden="false" customHeight="false" outlineLevel="0" collapsed="false">
      <c r="A381" s="25" t="n">
        <v>380</v>
      </c>
      <c r="B381" s="25" t="s">
        <v>1278</v>
      </c>
      <c r="C381" s="25" t="s">
        <v>559</v>
      </c>
      <c r="D381" s="25" t="n">
        <v>20240727</v>
      </c>
      <c r="E381" s="25" t="n">
        <v>31</v>
      </c>
      <c r="F381" s="25" t="n">
        <v>14</v>
      </c>
      <c r="G381" s="25" t="s">
        <v>115</v>
      </c>
      <c r="H381" s="25" t="s">
        <v>25</v>
      </c>
      <c r="I381" s="25" t="s">
        <v>83</v>
      </c>
      <c r="J381" s="25" t="s">
        <v>269</v>
      </c>
      <c r="K381" s="25" t="n">
        <v>3</v>
      </c>
      <c r="L381" s="25" t="n">
        <v>13809.86</v>
      </c>
      <c r="M381" s="25" t="n">
        <v>0</v>
      </c>
      <c r="N381" s="25" t="n">
        <v>41429.58</v>
      </c>
      <c r="O381" s="25" t="n">
        <v>0</v>
      </c>
      <c r="P381" s="25" t="n">
        <v>41429.58</v>
      </c>
      <c r="Q381" s="27" t="b">
        <f aca="false">FALSE()</f>
        <v>0</v>
      </c>
      <c r="R381" s="27" t="b">
        <f aca="false">FALSE()</f>
        <v>0</v>
      </c>
      <c r="S381" s="27" t="b">
        <f aca="false">FALSE()</f>
        <v>0</v>
      </c>
    </row>
    <row r="382" customFormat="false" ht="15" hidden="false" customHeight="false" outlineLevel="0" collapsed="false">
      <c r="A382" s="25" t="n">
        <v>381</v>
      </c>
      <c r="B382" s="25" t="s">
        <v>1279</v>
      </c>
      <c r="C382" s="25" t="s">
        <v>559</v>
      </c>
      <c r="D382" s="25" t="n">
        <v>20240727</v>
      </c>
      <c r="E382" s="25" t="n">
        <v>31</v>
      </c>
      <c r="F382" s="25" t="n">
        <v>11</v>
      </c>
      <c r="G382" s="25" t="s">
        <v>115</v>
      </c>
      <c r="H382" s="25" t="s">
        <v>25</v>
      </c>
      <c r="I382" s="25" t="s">
        <v>83</v>
      </c>
      <c r="J382" s="25" t="s">
        <v>269</v>
      </c>
      <c r="K382" s="25" t="n">
        <v>5</v>
      </c>
      <c r="L382" s="25" t="n">
        <v>1179.68</v>
      </c>
      <c r="M382" s="25" t="n">
        <v>0</v>
      </c>
      <c r="N382" s="25" t="n">
        <v>5898.4</v>
      </c>
      <c r="O382" s="25" t="n">
        <v>0</v>
      </c>
      <c r="P382" s="25" t="n">
        <v>5898.4</v>
      </c>
      <c r="Q382" s="27" t="b">
        <f aca="false">FALSE()</f>
        <v>0</v>
      </c>
      <c r="R382" s="27" t="b">
        <f aca="false">FALSE()</f>
        <v>0</v>
      </c>
      <c r="S382" s="27" t="b">
        <f aca="false">FALSE()</f>
        <v>0</v>
      </c>
    </row>
    <row r="383" customFormat="false" ht="15" hidden="false" customHeight="false" outlineLevel="0" collapsed="false">
      <c r="A383" s="25" t="n">
        <v>382</v>
      </c>
      <c r="B383" s="25" t="s">
        <v>1280</v>
      </c>
      <c r="C383" s="25" t="s">
        <v>559</v>
      </c>
      <c r="D383" s="25" t="n">
        <v>20240727</v>
      </c>
      <c r="E383" s="25" t="n">
        <v>31</v>
      </c>
      <c r="F383" s="25" t="n">
        <v>18</v>
      </c>
      <c r="G383" s="25" t="s">
        <v>115</v>
      </c>
      <c r="H383" s="25" t="s">
        <v>25</v>
      </c>
      <c r="I383" s="25" t="s">
        <v>83</v>
      </c>
      <c r="J383" s="25" t="s">
        <v>269</v>
      </c>
      <c r="K383" s="25" t="n">
        <v>5</v>
      </c>
      <c r="L383" s="25" t="n">
        <v>17477.91</v>
      </c>
      <c r="M383" s="25" t="n">
        <v>0</v>
      </c>
      <c r="N383" s="25" t="n">
        <v>87389.55</v>
      </c>
      <c r="O383" s="25" t="n">
        <v>0</v>
      </c>
      <c r="P383" s="25" t="n">
        <v>87389.55</v>
      </c>
      <c r="Q383" s="27" t="b">
        <f aca="false">TRUE()</f>
        <v>1</v>
      </c>
      <c r="R383" s="27" t="b">
        <f aca="false">FALSE()</f>
        <v>0</v>
      </c>
      <c r="S383" s="27" t="b">
        <f aca="false">FALSE()</f>
        <v>0</v>
      </c>
    </row>
    <row r="384" customFormat="false" ht="15" hidden="false" customHeight="false" outlineLevel="0" collapsed="false">
      <c r="A384" s="25" t="n">
        <v>383</v>
      </c>
      <c r="B384" s="25" t="s">
        <v>1281</v>
      </c>
      <c r="C384" s="25" t="s">
        <v>367</v>
      </c>
      <c r="D384" s="25" t="n">
        <v>20250213</v>
      </c>
      <c r="E384" s="25" t="n">
        <v>129</v>
      </c>
      <c r="F384" s="25" t="n">
        <v>35</v>
      </c>
      <c r="G384" s="25" t="s">
        <v>114</v>
      </c>
      <c r="H384" s="25" t="s">
        <v>2270</v>
      </c>
      <c r="I384" s="25" t="s">
        <v>94</v>
      </c>
      <c r="J384" s="25" t="s">
        <v>242</v>
      </c>
      <c r="K384" s="25" t="n">
        <v>5</v>
      </c>
      <c r="L384" s="25" t="n">
        <v>1741.05</v>
      </c>
      <c r="M384" s="25" t="n">
        <v>5</v>
      </c>
      <c r="N384" s="25" t="n">
        <v>8705.25</v>
      </c>
      <c r="O384" s="25" t="n">
        <v>435.26</v>
      </c>
      <c r="P384" s="25" t="n">
        <v>8269.99</v>
      </c>
      <c r="Q384" s="27" t="b">
        <f aca="false">FALSE()</f>
        <v>0</v>
      </c>
      <c r="R384" s="27" t="b">
        <f aca="false">FALSE()</f>
        <v>0</v>
      </c>
      <c r="S384" s="27" t="b">
        <f aca="false">FALSE()</f>
        <v>0</v>
      </c>
    </row>
    <row r="385" customFormat="false" ht="15" hidden="false" customHeight="false" outlineLevel="0" collapsed="false">
      <c r="A385" s="25" t="n">
        <v>384</v>
      </c>
      <c r="B385" s="25" t="s">
        <v>1282</v>
      </c>
      <c r="C385" s="25" t="s">
        <v>367</v>
      </c>
      <c r="D385" s="25" t="n">
        <v>20250213</v>
      </c>
      <c r="E385" s="25" t="n">
        <v>129</v>
      </c>
      <c r="F385" s="25" t="n">
        <v>43</v>
      </c>
      <c r="G385" s="25" t="s">
        <v>114</v>
      </c>
      <c r="H385" s="25" t="s">
        <v>2270</v>
      </c>
      <c r="I385" s="25" t="s">
        <v>94</v>
      </c>
      <c r="J385" s="25" t="s">
        <v>242</v>
      </c>
      <c r="K385" s="25" t="n">
        <v>1</v>
      </c>
      <c r="L385" s="25" t="n">
        <v>4511.74</v>
      </c>
      <c r="M385" s="25" t="n">
        <v>15</v>
      </c>
      <c r="N385" s="25" t="n">
        <v>4511.74</v>
      </c>
      <c r="O385" s="25" t="n">
        <v>676.76</v>
      </c>
      <c r="P385" s="25" t="n">
        <v>3834.98</v>
      </c>
      <c r="Q385" s="27" t="b">
        <f aca="false">FALSE()</f>
        <v>0</v>
      </c>
      <c r="R385" s="27" t="b">
        <f aca="false">FALSE()</f>
        <v>0</v>
      </c>
      <c r="S385" s="27" t="b">
        <f aca="false">FALSE()</f>
        <v>0</v>
      </c>
    </row>
    <row r="386" customFormat="false" ht="15" hidden="false" customHeight="false" outlineLevel="0" collapsed="false">
      <c r="A386" s="25" t="n">
        <v>385</v>
      </c>
      <c r="B386" s="25" t="s">
        <v>1283</v>
      </c>
      <c r="C386" s="25" t="s">
        <v>367</v>
      </c>
      <c r="D386" s="25" t="n">
        <v>20250213</v>
      </c>
      <c r="E386" s="25" t="n">
        <v>129</v>
      </c>
      <c r="F386" s="25" t="n">
        <v>44</v>
      </c>
      <c r="G386" s="25" t="s">
        <v>114</v>
      </c>
      <c r="H386" s="25" t="s">
        <v>2270</v>
      </c>
      <c r="I386" s="25" t="s">
        <v>94</v>
      </c>
      <c r="J386" s="25" t="s">
        <v>242</v>
      </c>
      <c r="K386" s="25" t="n">
        <v>4</v>
      </c>
      <c r="L386" s="25" t="n">
        <v>22655.14</v>
      </c>
      <c r="M386" s="25" t="n">
        <v>0</v>
      </c>
      <c r="N386" s="25" t="n">
        <v>90620.56</v>
      </c>
      <c r="O386" s="25" t="n">
        <v>0</v>
      </c>
      <c r="P386" s="25" t="n">
        <v>90620.56</v>
      </c>
      <c r="Q386" s="27" t="b">
        <f aca="false">FALSE()</f>
        <v>0</v>
      </c>
      <c r="R386" s="27" t="b">
        <f aca="false">FALSE()</f>
        <v>0</v>
      </c>
      <c r="S386" s="27" t="b">
        <f aca="false">FALSE()</f>
        <v>0</v>
      </c>
    </row>
    <row r="387" customFormat="false" ht="15" hidden="false" customHeight="false" outlineLevel="0" collapsed="false">
      <c r="A387" s="25" t="n">
        <v>386</v>
      </c>
      <c r="B387" s="25" t="s">
        <v>1284</v>
      </c>
      <c r="C387" s="25" t="s">
        <v>367</v>
      </c>
      <c r="D387" s="25" t="n">
        <v>20250213</v>
      </c>
      <c r="E387" s="25" t="n">
        <v>129</v>
      </c>
      <c r="F387" s="25" t="n">
        <v>1</v>
      </c>
      <c r="G387" s="25" t="s">
        <v>114</v>
      </c>
      <c r="H387" s="25" t="s">
        <v>2270</v>
      </c>
      <c r="I387" s="25" t="s">
        <v>94</v>
      </c>
      <c r="J387" s="25" t="s">
        <v>242</v>
      </c>
      <c r="K387" s="25" t="n">
        <v>1</v>
      </c>
      <c r="L387" s="25" t="n">
        <v>10660.79</v>
      </c>
      <c r="M387" s="25" t="n">
        <v>0</v>
      </c>
      <c r="N387" s="25" t="n">
        <v>10660.79</v>
      </c>
      <c r="O387" s="25" t="n">
        <v>0</v>
      </c>
      <c r="P387" s="25" t="n">
        <v>10660.79</v>
      </c>
      <c r="Q387" s="27" t="b">
        <f aca="false">FALSE()</f>
        <v>0</v>
      </c>
      <c r="R387" s="27" t="b">
        <f aca="false">FALSE()</f>
        <v>0</v>
      </c>
      <c r="S387" s="27" t="b">
        <f aca="false">FALSE()</f>
        <v>0</v>
      </c>
    </row>
    <row r="388" customFormat="false" ht="15" hidden="false" customHeight="false" outlineLevel="0" collapsed="false">
      <c r="A388" s="25" t="n">
        <v>387</v>
      </c>
      <c r="B388" s="25" t="s">
        <v>1285</v>
      </c>
      <c r="C388" s="25" t="s">
        <v>449</v>
      </c>
      <c r="D388" s="25" t="n">
        <v>20240830</v>
      </c>
      <c r="E388" s="25" t="n">
        <v>25</v>
      </c>
      <c r="F388" s="25" t="n">
        <v>21</v>
      </c>
      <c r="G388" s="25" t="s">
        <v>115</v>
      </c>
      <c r="H388" s="25" t="s">
        <v>25</v>
      </c>
      <c r="I388" s="25" t="s">
        <v>1743</v>
      </c>
      <c r="J388" s="25" t="s">
        <v>269</v>
      </c>
      <c r="K388" s="25" t="n">
        <v>4</v>
      </c>
      <c r="L388" s="25" t="n">
        <v>3184.81</v>
      </c>
      <c r="M388" s="25" t="n">
        <v>20</v>
      </c>
      <c r="N388" s="25" t="n">
        <v>12739.24</v>
      </c>
      <c r="O388" s="25" t="n">
        <v>2547.85</v>
      </c>
      <c r="P388" s="25" t="n">
        <v>10191.39</v>
      </c>
      <c r="Q388" s="27" t="b">
        <f aca="false">FALSE()</f>
        <v>0</v>
      </c>
      <c r="R388" s="27" t="b">
        <f aca="false">FALSE()</f>
        <v>0</v>
      </c>
      <c r="S388" s="27" t="b">
        <f aca="false">FALSE()</f>
        <v>0</v>
      </c>
    </row>
    <row r="389" customFormat="false" ht="15" hidden="false" customHeight="false" outlineLevel="0" collapsed="false">
      <c r="A389" s="25" t="n">
        <v>388</v>
      </c>
      <c r="B389" s="25" t="s">
        <v>1286</v>
      </c>
      <c r="C389" s="25" t="s">
        <v>449</v>
      </c>
      <c r="D389" s="25" t="n">
        <v>20240830</v>
      </c>
      <c r="E389" s="25" t="n">
        <v>25</v>
      </c>
      <c r="F389" s="25" t="n">
        <v>40</v>
      </c>
      <c r="G389" s="25" t="s">
        <v>115</v>
      </c>
      <c r="H389" s="25" t="s">
        <v>25</v>
      </c>
      <c r="I389" s="25" t="s">
        <v>1743</v>
      </c>
      <c r="J389" s="25" t="s">
        <v>269</v>
      </c>
      <c r="K389" s="25" t="n">
        <v>2</v>
      </c>
      <c r="L389" s="25" t="n">
        <v>1398.86</v>
      </c>
      <c r="M389" s="25" t="n">
        <v>0</v>
      </c>
      <c r="N389" s="25" t="n">
        <v>2797.72</v>
      </c>
      <c r="O389" s="25" t="n">
        <v>0</v>
      </c>
      <c r="P389" s="25" t="n">
        <v>2797.72</v>
      </c>
      <c r="Q389" s="27" t="b">
        <f aca="false">FALSE()</f>
        <v>0</v>
      </c>
      <c r="R389" s="27" t="b">
        <f aca="false">FALSE()</f>
        <v>0</v>
      </c>
      <c r="S389" s="27" t="b">
        <f aca="false">FALSE()</f>
        <v>0</v>
      </c>
    </row>
    <row r="390" customFormat="false" ht="15" hidden="false" customHeight="false" outlineLevel="0" collapsed="false">
      <c r="A390" s="25" t="n">
        <v>389</v>
      </c>
      <c r="B390" s="25" t="s">
        <v>1287</v>
      </c>
      <c r="C390" s="25" t="s">
        <v>449</v>
      </c>
      <c r="D390" s="25" t="n">
        <v>20240830</v>
      </c>
      <c r="E390" s="25" t="n">
        <v>25</v>
      </c>
      <c r="F390" s="25" t="n">
        <v>1</v>
      </c>
      <c r="G390" s="25" t="s">
        <v>115</v>
      </c>
      <c r="H390" s="25" t="s">
        <v>25</v>
      </c>
      <c r="I390" s="25" t="s">
        <v>1743</v>
      </c>
      <c r="J390" s="25" t="s">
        <v>269</v>
      </c>
      <c r="K390" s="25" t="n">
        <v>5</v>
      </c>
      <c r="L390" s="25" t="n">
        <v>10660.79</v>
      </c>
      <c r="M390" s="25" t="n">
        <v>5</v>
      </c>
      <c r="N390" s="25" t="n">
        <v>53303.95</v>
      </c>
      <c r="O390" s="25" t="n">
        <v>2665.2</v>
      </c>
      <c r="P390" s="25" t="n">
        <v>50638.75</v>
      </c>
      <c r="Q390" s="27" t="b">
        <f aca="false">FALSE()</f>
        <v>0</v>
      </c>
      <c r="R390" s="27" t="b">
        <f aca="false">FALSE()</f>
        <v>0</v>
      </c>
      <c r="S390" s="27" t="b">
        <f aca="false">FALSE()</f>
        <v>0</v>
      </c>
    </row>
    <row r="391" customFormat="false" ht="15" hidden="false" customHeight="false" outlineLevel="0" collapsed="false">
      <c r="A391" s="25" t="n">
        <v>390</v>
      </c>
      <c r="B391" s="25" t="s">
        <v>1288</v>
      </c>
      <c r="C391" s="25" t="s">
        <v>449</v>
      </c>
      <c r="D391" s="25" t="n">
        <v>20240830</v>
      </c>
      <c r="E391" s="25" t="n">
        <v>25</v>
      </c>
      <c r="F391" s="25" t="n">
        <v>15</v>
      </c>
      <c r="G391" s="25" t="s">
        <v>115</v>
      </c>
      <c r="H391" s="25" t="s">
        <v>25</v>
      </c>
      <c r="I391" s="25" t="s">
        <v>1743</v>
      </c>
      <c r="J391" s="25" t="s">
        <v>269</v>
      </c>
      <c r="K391" s="25" t="n">
        <v>1</v>
      </c>
      <c r="L391" s="25" t="n">
        <v>4516.1</v>
      </c>
      <c r="M391" s="25" t="n">
        <v>0</v>
      </c>
      <c r="N391" s="25" t="n">
        <v>4516.1</v>
      </c>
      <c r="O391" s="25" t="n">
        <v>0</v>
      </c>
      <c r="P391" s="25" t="n">
        <v>4516.1</v>
      </c>
      <c r="Q391" s="27" t="b">
        <f aca="false">FALSE()</f>
        <v>0</v>
      </c>
      <c r="R391" s="27" t="b">
        <f aca="false">FALSE()</f>
        <v>0</v>
      </c>
      <c r="S391" s="27" t="b">
        <f aca="false">FALSE()</f>
        <v>0</v>
      </c>
    </row>
    <row r="392" customFormat="false" ht="15" hidden="false" customHeight="false" outlineLevel="0" collapsed="false">
      <c r="A392" s="25" t="n">
        <v>391</v>
      </c>
      <c r="B392" s="25" t="s">
        <v>1289</v>
      </c>
      <c r="C392" s="25" t="s">
        <v>411</v>
      </c>
      <c r="D392" s="25" t="n">
        <v>20240829</v>
      </c>
      <c r="E392" s="25" t="n">
        <v>109</v>
      </c>
      <c r="F392" s="25" t="n">
        <v>-1</v>
      </c>
      <c r="G392" s="25" t="s">
        <v>115</v>
      </c>
      <c r="H392" s="25" t="s">
        <v>25</v>
      </c>
      <c r="I392" s="25" t="s">
        <v>89</v>
      </c>
      <c r="J392" s="25" t="s">
        <v>242</v>
      </c>
      <c r="K392" s="25" t="n">
        <v>4</v>
      </c>
      <c r="L392" s="25" t="n">
        <v>8493.72</v>
      </c>
      <c r="M392" s="25" t="n">
        <v>10</v>
      </c>
      <c r="N392" s="25" t="n">
        <v>33974.88</v>
      </c>
      <c r="O392" s="25" t="n">
        <v>3397.49</v>
      </c>
      <c r="P392" s="25" t="n">
        <v>30577.39</v>
      </c>
      <c r="Q392" s="27" t="b">
        <f aca="false">FALSE()</f>
        <v>0</v>
      </c>
      <c r="R392" s="27" t="b">
        <f aca="false">FALSE()</f>
        <v>0</v>
      </c>
      <c r="S392" s="27" t="b">
        <f aca="false">FALSE()</f>
        <v>0</v>
      </c>
    </row>
    <row r="393" customFormat="false" ht="15" hidden="false" customHeight="false" outlineLevel="0" collapsed="false">
      <c r="A393" s="25" t="n">
        <v>392</v>
      </c>
      <c r="B393" s="25" t="s">
        <v>1290</v>
      </c>
      <c r="C393" s="25" t="s">
        <v>411</v>
      </c>
      <c r="D393" s="25" t="n">
        <v>20240829</v>
      </c>
      <c r="E393" s="25" t="n">
        <v>109</v>
      </c>
      <c r="F393" s="25" t="n">
        <v>2</v>
      </c>
      <c r="G393" s="25" t="s">
        <v>115</v>
      </c>
      <c r="H393" s="25" t="s">
        <v>25</v>
      </c>
      <c r="I393" s="25" t="s">
        <v>89</v>
      </c>
      <c r="J393" s="25" t="s">
        <v>242</v>
      </c>
      <c r="K393" s="25" t="n">
        <v>5</v>
      </c>
      <c r="L393" s="25" t="n">
        <v>9953.59</v>
      </c>
      <c r="M393" s="25" t="n">
        <v>20</v>
      </c>
      <c r="N393" s="25" t="n">
        <v>49767.95</v>
      </c>
      <c r="O393" s="25" t="n">
        <v>9953.59</v>
      </c>
      <c r="P393" s="25" t="n">
        <v>39814.36</v>
      </c>
      <c r="Q393" s="27" t="b">
        <f aca="false">FALSE()</f>
        <v>0</v>
      </c>
      <c r="R393" s="27" t="b">
        <f aca="false">FALSE()</f>
        <v>0</v>
      </c>
      <c r="S393" s="27" t="b">
        <f aca="false">FALSE()</f>
        <v>0</v>
      </c>
    </row>
    <row r="394" customFormat="false" ht="15" hidden="false" customHeight="false" outlineLevel="0" collapsed="false">
      <c r="A394" s="25" t="n">
        <v>393</v>
      </c>
      <c r="B394" s="25" t="s">
        <v>1291</v>
      </c>
      <c r="C394" s="25" t="s">
        <v>411</v>
      </c>
      <c r="D394" s="25" t="n">
        <v>20240829</v>
      </c>
      <c r="E394" s="25" t="n">
        <v>109</v>
      </c>
      <c r="F394" s="25" t="n">
        <v>25</v>
      </c>
      <c r="G394" s="25" t="s">
        <v>115</v>
      </c>
      <c r="H394" s="25" t="s">
        <v>25</v>
      </c>
      <c r="I394" s="25" t="s">
        <v>89</v>
      </c>
      <c r="J394" s="25" t="s">
        <v>242</v>
      </c>
      <c r="K394" s="25" t="n">
        <v>5</v>
      </c>
      <c r="L394" s="25" t="n">
        <v>19632.52</v>
      </c>
      <c r="M394" s="25" t="n">
        <v>5</v>
      </c>
      <c r="N394" s="25" t="n">
        <v>98162.6</v>
      </c>
      <c r="O394" s="25" t="n">
        <v>4908.13</v>
      </c>
      <c r="P394" s="25" t="n">
        <v>93254.47</v>
      </c>
      <c r="Q394" s="27" t="b">
        <f aca="false">FALSE()</f>
        <v>0</v>
      </c>
      <c r="R394" s="27" t="b">
        <f aca="false">FALSE()</f>
        <v>0</v>
      </c>
      <c r="S394" s="27" t="b">
        <f aca="false">FALSE()</f>
        <v>0</v>
      </c>
    </row>
    <row r="395" customFormat="false" ht="15" hidden="false" customHeight="false" outlineLevel="0" collapsed="false">
      <c r="A395" s="25" t="n">
        <v>394</v>
      </c>
      <c r="B395" s="25" t="s">
        <v>1292</v>
      </c>
      <c r="C395" s="25" t="s">
        <v>411</v>
      </c>
      <c r="D395" s="25" t="n">
        <v>20240829</v>
      </c>
      <c r="E395" s="25" t="n">
        <v>109</v>
      </c>
      <c r="F395" s="25" t="n">
        <v>13</v>
      </c>
      <c r="G395" s="25" t="s">
        <v>115</v>
      </c>
      <c r="H395" s="25" t="s">
        <v>25</v>
      </c>
      <c r="I395" s="25" t="s">
        <v>89</v>
      </c>
      <c r="J395" s="25" t="s">
        <v>242</v>
      </c>
      <c r="K395" s="25" t="n">
        <v>1</v>
      </c>
      <c r="L395" s="25" t="n">
        <v>15622.68</v>
      </c>
      <c r="M395" s="25" t="n">
        <v>0</v>
      </c>
      <c r="N395" s="25" t="n">
        <v>15622.68</v>
      </c>
      <c r="O395" s="25" t="n">
        <v>0</v>
      </c>
      <c r="P395" s="25" t="n">
        <v>15622.68</v>
      </c>
      <c r="Q395" s="27" t="b">
        <f aca="false">FALSE()</f>
        <v>0</v>
      </c>
      <c r="R395" s="27" t="b">
        <f aca="false">FALSE()</f>
        <v>0</v>
      </c>
      <c r="S395" s="27" t="b">
        <f aca="false">FALSE()</f>
        <v>0</v>
      </c>
    </row>
    <row r="396" customFormat="false" ht="15" hidden="false" customHeight="false" outlineLevel="0" collapsed="false">
      <c r="A396" s="25" t="n">
        <v>395</v>
      </c>
      <c r="B396" s="25" t="s">
        <v>1293</v>
      </c>
      <c r="C396" s="25" t="s">
        <v>400</v>
      </c>
      <c r="D396" s="25" t="n">
        <v>20240719</v>
      </c>
      <c r="E396" s="25" t="n">
        <v>95</v>
      </c>
      <c r="F396" s="25" t="n">
        <v>42</v>
      </c>
      <c r="G396" s="25" t="s">
        <v>115</v>
      </c>
      <c r="H396" s="25" t="s">
        <v>25</v>
      </c>
      <c r="I396" s="25" t="s">
        <v>1738</v>
      </c>
      <c r="J396" s="25" t="s">
        <v>242</v>
      </c>
      <c r="K396" s="25" t="n">
        <v>1</v>
      </c>
      <c r="L396" s="25" t="n">
        <v>11284.39</v>
      </c>
      <c r="M396" s="25" t="n">
        <v>20</v>
      </c>
      <c r="N396" s="25" t="n">
        <v>11284.39</v>
      </c>
      <c r="O396" s="25" t="n">
        <v>2256.88</v>
      </c>
      <c r="P396" s="25" t="n">
        <v>9027.51</v>
      </c>
      <c r="Q396" s="27" t="b">
        <f aca="false">FALSE()</f>
        <v>0</v>
      </c>
      <c r="R396" s="27" t="b">
        <f aca="false">FALSE()</f>
        <v>0</v>
      </c>
      <c r="S396" s="27" t="b">
        <f aca="false">FALSE()</f>
        <v>0</v>
      </c>
    </row>
    <row r="397" customFormat="false" ht="15" hidden="false" customHeight="false" outlineLevel="0" collapsed="false">
      <c r="A397" s="25" t="n">
        <v>396</v>
      </c>
      <c r="B397" s="25" t="s">
        <v>1294</v>
      </c>
      <c r="C397" s="25" t="s">
        <v>400</v>
      </c>
      <c r="D397" s="25" t="n">
        <v>20240719</v>
      </c>
      <c r="E397" s="25" t="n">
        <v>95</v>
      </c>
      <c r="F397" s="25" t="n">
        <v>61</v>
      </c>
      <c r="G397" s="25" t="s">
        <v>115</v>
      </c>
      <c r="H397" s="25" t="s">
        <v>25</v>
      </c>
      <c r="I397" s="25" t="s">
        <v>1738</v>
      </c>
      <c r="J397" s="25" t="s">
        <v>242</v>
      </c>
      <c r="K397" s="25" t="n">
        <v>2</v>
      </c>
      <c r="L397" s="25" t="n">
        <v>8318.56</v>
      </c>
      <c r="M397" s="25" t="n">
        <v>10</v>
      </c>
      <c r="N397" s="25" t="n">
        <v>16637.12</v>
      </c>
      <c r="O397" s="25" t="n">
        <v>1663.71</v>
      </c>
      <c r="P397" s="25" t="n">
        <v>14973.41</v>
      </c>
      <c r="Q397" s="27" t="b">
        <f aca="false">FALSE()</f>
        <v>0</v>
      </c>
      <c r="R397" s="27" t="b">
        <f aca="false">FALSE()</f>
        <v>0</v>
      </c>
      <c r="S397" s="27" t="b">
        <f aca="false">FALSE()</f>
        <v>0</v>
      </c>
    </row>
    <row r="398" customFormat="false" ht="15" hidden="false" customHeight="false" outlineLevel="0" collapsed="false">
      <c r="A398" s="25" t="n">
        <v>397</v>
      </c>
      <c r="B398" s="25" t="s">
        <v>1295</v>
      </c>
      <c r="C398" s="25" t="s">
        <v>557</v>
      </c>
      <c r="D398" s="25" t="n">
        <v>20241126</v>
      </c>
      <c r="E398" s="25" t="n">
        <v>60</v>
      </c>
      <c r="F398" s="25" t="n">
        <v>48</v>
      </c>
      <c r="G398" s="25" t="s">
        <v>114</v>
      </c>
      <c r="H398" s="25" t="s">
        <v>2259</v>
      </c>
      <c r="I398" s="25" t="s">
        <v>83</v>
      </c>
      <c r="J398" s="25" t="s">
        <v>246</v>
      </c>
      <c r="K398" s="25" t="n">
        <v>5</v>
      </c>
      <c r="L398" s="25" t="n">
        <v>25643.17</v>
      </c>
      <c r="M398" s="25" t="n">
        <v>0</v>
      </c>
      <c r="N398" s="25" t="n">
        <v>128215.85</v>
      </c>
      <c r="O398" s="25" t="n">
        <v>0</v>
      </c>
      <c r="P398" s="25" t="n">
        <v>128215.85</v>
      </c>
      <c r="Q398" s="27" t="b">
        <f aca="false">FALSE()</f>
        <v>0</v>
      </c>
      <c r="R398" s="27" t="b">
        <f aca="false">FALSE()</f>
        <v>0</v>
      </c>
      <c r="S398" s="27" t="b">
        <f aca="false">FALSE()</f>
        <v>0</v>
      </c>
    </row>
    <row r="399" customFormat="false" ht="15" hidden="false" customHeight="false" outlineLevel="0" collapsed="false">
      <c r="A399" s="25" t="n">
        <v>398</v>
      </c>
      <c r="B399" s="25" t="s">
        <v>1296</v>
      </c>
      <c r="C399" s="25" t="s">
        <v>557</v>
      </c>
      <c r="D399" s="25" t="n">
        <v>20241126</v>
      </c>
      <c r="E399" s="25" t="n">
        <v>60</v>
      </c>
      <c r="F399" s="25" t="n">
        <v>59</v>
      </c>
      <c r="G399" s="25" t="s">
        <v>114</v>
      </c>
      <c r="H399" s="25" t="s">
        <v>2259</v>
      </c>
      <c r="I399" s="25" t="s">
        <v>83</v>
      </c>
      <c r="J399" s="25" t="s">
        <v>246</v>
      </c>
      <c r="K399" s="25" t="n">
        <v>4</v>
      </c>
      <c r="L399" s="25" t="n">
        <v>18828.5</v>
      </c>
      <c r="M399" s="25" t="n">
        <v>0</v>
      </c>
      <c r="N399" s="25" t="n">
        <v>75314</v>
      </c>
      <c r="O399" s="25" t="n">
        <v>0</v>
      </c>
      <c r="P399" s="25" t="n">
        <v>75314</v>
      </c>
      <c r="Q399" s="27" t="b">
        <f aca="false">FALSE()</f>
        <v>0</v>
      </c>
      <c r="R399" s="27" t="b">
        <f aca="false">FALSE()</f>
        <v>0</v>
      </c>
      <c r="S399" s="27" t="b">
        <f aca="false">FALSE()</f>
        <v>0</v>
      </c>
    </row>
    <row r="400" customFormat="false" ht="15" hidden="false" customHeight="false" outlineLevel="0" collapsed="false">
      <c r="A400" s="25" t="n">
        <v>399</v>
      </c>
      <c r="B400" s="25" t="s">
        <v>1297</v>
      </c>
      <c r="C400" s="25" t="s">
        <v>268</v>
      </c>
      <c r="D400" s="25" t="n">
        <v>20250902</v>
      </c>
      <c r="E400" s="25" t="n">
        <v>78</v>
      </c>
      <c r="F400" s="25" t="n">
        <v>37</v>
      </c>
      <c r="G400" s="25" t="s">
        <v>113</v>
      </c>
      <c r="H400" s="25" t="s">
        <v>25</v>
      </c>
      <c r="I400" s="25" t="s">
        <v>75</v>
      </c>
      <c r="J400" s="25" t="s">
        <v>269</v>
      </c>
      <c r="K400" s="25" t="n">
        <v>2</v>
      </c>
      <c r="L400" s="25" t="n">
        <v>16084.14</v>
      </c>
      <c r="M400" s="25" t="n">
        <v>0</v>
      </c>
      <c r="N400" s="25" t="n">
        <v>32168.28</v>
      </c>
      <c r="O400" s="25" t="n">
        <v>0</v>
      </c>
      <c r="P400" s="25" t="n">
        <v>32168.28</v>
      </c>
      <c r="Q400" s="27" t="b">
        <f aca="false">FALSE()</f>
        <v>0</v>
      </c>
      <c r="R400" s="27" t="b">
        <f aca="false">FALSE()</f>
        <v>0</v>
      </c>
      <c r="S400" s="27" t="b">
        <f aca="false">FALSE()</f>
        <v>0</v>
      </c>
    </row>
    <row r="401" customFormat="false" ht="15" hidden="false" customHeight="false" outlineLevel="0" collapsed="false">
      <c r="A401" s="25" t="n">
        <v>400</v>
      </c>
      <c r="B401" s="25" t="s">
        <v>1298</v>
      </c>
      <c r="C401" s="25" t="s">
        <v>268</v>
      </c>
      <c r="D401" s="25" t="n">
        <v>20250902</v>
      </c>
      <c r="E401" s="25" t="n">
        <v>78</v>
      </c>
      <c r="F401" s="25" t="n">
        <v>4</v>
      </c>
      <c r="G401" s="25" t="s">
        <v>113</v>
      </c>
      <c r="H401" s="25" t="s">
        <v>25</v>
      </c>
      <c r="I401" s="25" t="s">
        <v>75</v>
      </c>
      <c r="J401" s="25" t="s">
        <v>269</v>
      </c>
      <c r="K401" s="25" t="n">
        <v>4</v>
      </c>
      <c r="L401" s="25" t="n">
        <v>21122.18</v>
      </c>
      <c r="M401" s="25" t="n">
        <v>0</v>
      </c>
      <c r="N401" s="25" t="n">
        <v>84488.72</v>
      </c>
      <c r="O401" s="25" t="n">
        <v>0</v>
      </c>
      <c r="P401" s="25" t="n">
        <v>84488.72</v>
      </c>
      <c r="Q401" s="27" t="b">
        <f aca="false">FALSE()</f>
        <v>0</v>
      </c>
      <c r="R401" s="27" t="b">
        <f aca="false">FALSE()</f>
        <v>0</v>
      </c>
      <c r="S401" s="27" t="b">
        <f aca="false">FALSE()</f>
        <v>0</v>
      </c>
    </row>
    <row r="402" customFormat="false" ht="15" hidden="false" customHeight="false" outlineLevel="0" collapsed="false">
      <c r="A402" s="25" t="n">
        <v>401</v>
      </c>
      <c r="B402" s="25" t="s">
        <v>1299</v>
      </c>
      <c r="C402" s="25" t="s">
        <v>268</v>
      </c>
      <c r="D402" s="25" t="n">
        <v>20250902</v>
      </c>
      <c r="E402" s="25" t="n">
        <v>78</v>
      </c>
      <c r="F402" s="25" t="n">
        <v>40</v>
      </c>
      <c r="G402" s="25" t="s">
        <v>113</v>
      </c>
      <c r="H402" s="25" t="s">
        <v>25</v>
      </c>
      <c r="I402" s="25" t="s">
        <v>75</v>
      </c>
      <c r="J402" s="25" t="s">
        <v>269</v>
      </c>
      <c r="K402" s="25" t="n">
        <v>5</v>
      </c>
      <c r="L402" s="25" t="n">
        <v>1086.56</v>
      </c>
      <c r="M402" s="25" t="n">
        <v>10</v>
      </c>
      <c r="N402" s="25" t="n">
        <v>5432.8</v>
      </c>
      <c r="O402" s="25" t="n">
        <v>543.28</v>
      </c>
      <c r="P402" s="25" t="n">
        <v>4889.52</v>
      </c>
      <c r="Q402" s="27" t="b">
        <f aca="false">FALSE()</f>
        <v>0</v>
      </c>
      <c r="R402" s="27" t="b">
        <f aca="false">FALSE()</f>
        <v>0</v>
      </c>
      <c r="S402" s="27" t="b">
        <f aca="false">FALSE()</f>
        <v>0</v>
      </c>
    </row>
    <row r="403" customFormat="false" ht="15" hidden="false" customHeight="false" outlineLevel="0" collapsed="false">
      <c r="A403" s="25" t="n">
        <v>402</v>
      </c>
      <c r="B403" s="25" t="s">
        <v>1300</v>
      </c>
      <c r="C403" s="25" t="s">
        <v>268</v>
      </c>
      <c r="D403" s="25" t="n">
        <v>20250902</v>
      </c>
      <c r="E403" s="25" t="n">
        <v>78</v>
      </c>
      <c r="F403" s="25" t="n">
        <v>58</v>
      </c>
      <c r="G403" s="25" t="s">
        <v>113</v>
      </c>
      <c r="H403" s="25" t="s">
        <v>25</v>
      </c>
      <c r="I403" s="25" t="s">
        <v>75</v>
      </c>
      <c r="J403" s="25" t="s">
        <v>269</v>
      </c>
      <c r="K403" s="25" t="n">
        <v>1</v>
      </c>
      <c r="L403" s="25" t="n">
        <v>22572.25</v>
      </c>
      <c r="M403" s="25" t="n">
        <v>20</v>
      </c>
      <c r="N403" s="25" t="n">
        <v>22572.25</v>
      </c>
      <c r="O403" s="25" t="n">
        <v>4514.45</v>
      </c>
      <c r="P403" s="25" t="n">
        <v>18057.8</v>
      </c>
      <c r="Q403" s="27" t="b">
        <f aca="false">FALSE()</f>
        <v>0</v>
      </c>
      <c r="R403" s="27" t="b">
        <f aca="false">FALSE()</f>
        <v>0</v>
      </c>
      <c r="S403" s="27" t="b">
        <f aca="false">FALSE()</f>
        <v>0</v>
      </c>
    </row>
    <row r="404" customFormat="false" ht="15" hidden="false" customHeight="false" outlineLevel="0" collapsed="false">
      <c r="A404" s="25" t="n">
        <v>403</v>
      </c>
      <c r="B404" s="25" t="s">
        <v>1301</v>
      </c>
      <c r="C404" s="25" t="s">
        <v>284</v>
      </c>
      <c r="D404" s="25" t="n">
        <v>20250119</v>
      </c>
      <c r="E404" s="25" t="n">
        <v>77</v>
      </c>
      <c r="F404" s="25" t="n">
        <v>53</v>
      </c>
      <c r="G404" s="25" t="s">
        <v>113</v>
      </c>
      <c r="H404" s="25" t="s">
        <v>25</v>
      </c>
      <c r="I404" s="25" t="s">
        <v>86</v>
      </c>
      <c r="J404" s="25" t="s">
        <v>242</v>
      </c>
      <c r="K404" s="25" t="n">
        <v>5</v>
      </c>
      <c r="L404" s="25" t="n">
        <v>7313.65</v>
      </c>
      <c r="M404" s="25" t="n">
        <v>15</v>
      </c>
      <c r="N404" s="25" t="n">
        <v>36568.25</v>
      </c>
      <c r="O404" s="25" t="n">
        <v>5485.24</v>
      </c>
      <c r="P404" s="25" t="n">
        <v>31083.01</v>
      </c>
      <c r="Q404" s="27" t="b">
        <f aca="false">FALSE()</f>
        <v>0</v>
      </c>
      <c r="R404" s="27" t="b">
        <f aca="false">FALSE()</f>
        <v>0</v>
      </c>
      <c r="S404" s="27" t="b">
        <f aca="false">FALSE()</f>
        <v>0</v>
      </c>
    </row>
    <row r="405" customFormat="false" ht="15" hidden="false" customHeight="false" outlineLevel="0" collapsed="false">
      <c r="A405" s="25" t="n">
        <v>404</v>
      </c>
      <c r="B405" s="25" t="s">
        <v>1302</v>
      </c>
      <c r="C405" s="25" t="s">
        <v>284</v>
      </c>
      <c r="D405" s="25" t="n">
        <v>20250119</v>
      </c>
      <c r="E405" s="25" t="n">
        <v>77</v>
      </c>
      <c r="F405" s="25" t="n">
        <v>46</v>
      </c>
      <c r="G405" s="25" t="s">
        <v>113</v>
      </c>
      <c r="H405" s="25" t="s">
        <v>25</v>
      </c>
      <c r="I405" s="25" t="s">
        <v>86</v>
      </c>
      <c r="J405" s="25" t="s">
        <v>242</v>
      </c>
      <c r="K405" s="25" t="n">
        <v>4</v>
      </c>
      <c r="L405" s="25" t="n">
        <v>15383.27</v>
      </c>
      <c r="M405" s="25" t="n">
        <v>10</v>
      </c>
      <c r="N405" s="25" t="n">
        <v>61533.08</v>
      </c>
      <c r="O405" s="25" t="n">
        <v>6153.31</v>
      </c>
      <c r="P405" s="25" t="n">
        <v>55379.77</v>
      </c>
      <c r="Q405" s="27" t="b">
        <f aca="false">FALSE()</f>
        <v>0</v>
      </c>
      <c r="R405" s="27" t="b">
        <f aca="false">FALSE()</f>
        <v>0</v>
      </c>
      <c r="S405" s="27" t="b">
        <f aca="false">FALSE()</f>
        <v>0</v>
      </c>
    </row>
    <row r="406" customFormat="false" ht="15" hidden="false" customHeight="false" outlineLevel="0" collapsed="false">
      <c r="A406" s="25" t="n">
        <v>405</v>
      </c>
      <c r="B406" s="25" t="s">
        <v>1303</v>
      </c>
      <c r="C406" s="25" t="s">
        <v>284</v>
      </c>
      <c r="D406" s="25" t="n">
        <v>20250119</v>
      </c>
      <c r="E406" s="25" t="n">
        <v>77</v>
      </c>
      <c r="F406" s="25" t="n">
        <v>19</v>
      </c>
      <c r="G406" s="25" t="s">
        <v>113</v>
      </c>
      <c r="H406" s="25" t="s">
        <v>25</v>
      </c>
      <c r="I406" s="25" t="s">
        <v>86</v>
      </c>
      <c r="J406" s="25" t="s">
        <v>242</v>
      </c>
      <c r="K406" s="25" t="n">
        <v>5</v>
      </c>
      <c r="L406" s="25" t="n">
        <v>7877.61</v>
      </c>
      <c r="M406" s="25" t="n">
        <v>20</v>
      </c>
      <c r="N406" s="25" t="n">
        <v>39388.05</v>
      </c>
      <c r="O406" s="25" t="n">
        <v>7877.61</v>
      </c>
      <c r="P406" s="25" t="n">
        <v>31510.44</v>
      </c>
      <c r="Q406" s="27" t="b">
        <f aca="false">FALSE()</f>
        <v>0</v>
      </c>
      <c r="R406" s="27" t="b">
        <f aca="false">FALSE()</f>
        <v>0</v>
      </c>
      <c r="S406" s="27" t="b">
        <f aca="false">FALSE()</f>
        <v>0</v>
      </c>
    </row>
    <row r="407" customFormat="false" ht="15" hidden="false" customHeight="false" outlineLevel="0" collapsed="false">
      <c r="A407" s="25" t="n">
        <v>406</v>
      </c>
      <c r="B407" s="25" t="s">
        <v>1304</v>
      </c>
      <c r="C407" s="25" t="s">
        <v>284</v>
      </c>
      <c r="D407" s="25" t="n">
        <v>20250119</v>
      </c>
      <c r="E407" s="25" t="n">
        <v>77</v>
      </c>
      <c r="F407" s="25" t="n">
        <v>25</v>
      </c>
      <c r="G407" s="25" t="s">
        <v>113</v>
      </c>
      <c r="H407" s="25" t="s">
        <v>25</v>
      </c>
      <c r="I407" s="25" t="s">
        <v>86</v>
      </c>
      <c r="J407" s="25" t="s">
        <v>242</v>
      </c>
      <c r="K407" s="25" t="n">
        <v>1</v>
      </c>
      <c r="L407" s="25" t="n">
        <v>19632.52</v>
      </c>
      <c r="M407" s="25" t="n">
        <v>15</v>
      </c>
      <c r="N407" s="25" t="n">
        <v>19632.52</v>
      </c>
      <c r="O407" s="25" t="n">
        <v>2944.88</v>
      </c>
      <c r="P407" s="25" t="n">
        <v>16687.64</v>
      </c>
      <c r="Q407" s="27" t="b">
        <f aca="false">FALSE()</f>
        <v>0</v>
      </c>
      <c r="R407" s="27" t="b">
        <f aca="false">FALSE()</f>
        <v>0</v>
      </c>
      <c r="S407" s="27" t="b">
        <f aca="false">FALSE()</f>
        <v>0</v>
      </c>
    </row>
    <row r="408" customFormat="false" ht="15" hidden="false" customHeight="false" outlineLevel="0" collapsed="false">
      <c r="A408" s="25" t="n">
        <v>407</v>
      </c>
      <c r="B408" s="25" t="s">
        <v>1305</v>
      </c>
      <c r="C408" s="25" t="s">
        <v>407</v>
      </c>
      <c r="D408" s="25" t="n">
        <v>20241114</v>
      </c>
      <c r="E408" s="25" t="n">
        <v>157</v>
      </c>
      <c r="F408" s="25" t="n">
        <v>37</v>
      </c>
      <c r="G408" s="25" t="s">
        <v>113</v>
      </c>
      <c r="H408" s="25" t="s">
        <v>25</v>
      </c>
      <c r="I408" s="25" t="s">
        <v>1738</v>
      </c>
      <c r="J408" s="25" t="s">
        <v>242</v>
      </c>
      <c r="K408" s="25" t="n">
        <v>5</v>
      </c>
      <c r="L408" s="25" t="n">
        <v>16084.14</v>
      </c>
      <c r="M408" s="25" t="n">
        <v>0</v>
      </c>
      <c r="N408" s="25" t="n">
        <v>80420.7</v>
      </c>
      <c r="O408" s="25" t="n">
        <v>0</v>
      </c>
      <c r="P408" s="25" t="n">
        <v>80420.7</v>
      </c>
      <c r="Q408" s="27" t="b">
        <f aca="false">FALSE()</f>
        <v>0</v>
      </c>
      <c r="R408" s="27" t="b">
        <f aca="false">FALSE()</f>
        <v>0</v>
      </c>
      <c r="S408" s="27" t="b">
        <f aca="false">FALSE()</f>
        <v>0</v>
      </c>
    </row>
    <row r="409" customFormat="false" ht="15" hidden="false" customHeight="false" outlineLevel="0" collapsed="false">
      <c r="A409" s="25" t="n">
        <v>408</v>
      </c>
      <c r="B409" s="25" t="s">
        <v>1306</v>
      </c>
      <c r="C409" s="25" t="s">
        <v>466</v>
      </c>
      <c r="D409" s="25" t="n">
        <v>20240922</v>
      </c>
      <c r="E409" s="25" t="n">
        <v>128</v>
      </c>
      <c r="F409" s="25" t="n">
        <v>53</v>
      </c>
      <c r="G409" s="25" t="s">
        <v>114</v>
      </c>
      <c r="H409" s="25" t="s">
        <v>2276</v>
      </c>
      <c r="I409" s="25" t="s">
        <v>89</v>
      </c>
      <c r="J409" s="25" t="s">
        <v>269</v>
      </c>
      <c r="K409" s="25" t="n">
        <v>1</v>
      </c>
      <c r="L409" s="25" t="n">
        <v>7313.65</v>
      </c>
      <c r="M409" s="25" t="n">
        <v>10</v>
      </c>
      <c r="N409" s="25" t="n">
        <v>7313.65</v>
      </c>
      <c r="O409" s="25" t="n">
        <v>731.36</v>
      </c>
      <c r="P409" s="25" t="n">
        <v>6582.29</v>
      </c>
      <c r="Q409" s="27" t="b">
        <f aca="false">FALSE()</f>
        <v>0</v>
      </c>
      <c r="R409" s="27" t="b">
        <f aca="false">FALSE()</f>
        <v>0</v>
      </c>
      <c r="S409" s="27" t="b">
        <f aca="false">FALSE()</f>
        <v>0</v>
      </c>
    </row>
    <row r="410" customFormat="false" ht="15" hidden="false" customHeight="false" outlineLevel="0" collapsed="false">
      <c r="A410" s="25" t="n">
        <v>409</v>
      </c>
      <c r="B410" s="25" t="s">
        <v>1308</v>
      </c>
      <c r="C410" s="25" t="s">
        <v>466</v>
      </c>
      <c r="D410" s="25" t="n">
        <v>20240922</v>
      </c>
      <c r="E410" s="25" t="n">
        <v>128</v>
      </c>
      <c r="F410" s="25" t="n">
        <v>52</v>
      </c>
      <c r="G410" s="25" t="s">
        <v>114</v>
      </c>
      <c r="H410" s="25" t="s">
        <v>2276</v>
      </c>
      <c r="I410" s="25" t="s">
        <v>89</v>
      </c>
      <c r="J410" s="25" t="s">
        <v>269</v>
      </c>
      <c r="K410" s="25" t="n">
        <v>4</v>
      </c>
      <c r="L410" s="25" t="n">
        <v>17637.28</v>
      </c>
      <c r="M410" s="25" t="n">
        <v>0</v>
      </c>
      <c r="N410" s="25" t="n">
        <v>70549.12</v>
      </c>
      <c r="O410" s="25" t="n">
        <v>0</v>
      </c>
      <c r="P410" s="25" t="n">
        <v>70549.12</v>
      </c>
      <c r="Q410" s="27" t="b">
        <f aca="false">FALSE()</f>
        <v>0</v>
      </c>
      <c r="R410" s="27" t="b">
        <f aca="false">FALSE()</f>
        <v>0</v>
      </c>
      <c r="S410" s="27" t="b">
        <f aca="false">FALSE()</f>
        <v>0</v>
      </c>
    </row>
    <row r="411" customFormat="false" ht="15" hidden="false" customHeight="false" outlineLevel="0" collapsed="false">
      <c r="A411" s="25" t="n">
        <v>410</v>
      </c>
      <c r="B411" s="25" t="s">
        <v>1309</v>
      </c>
      <c r="C411" s="25" t="s">
        <v>466</v>
      </c>
      <c r="D411" s="25" t="n">
        <v>20240922</v>
      </c>
      <c r="E411" s="25" t="n">
        <v>128</v>
      </c>
      <c r="F411" s="25" t="n">
        <v>36</v>
      </c>
      <c r="G411" s="25" t="s">
        <v>114</v>
      </c>
      <c r="H411" s="25" t="s">
        <v>2276</v>
      </c>
      <c r="I411" s="25" t="s">
        <v>89</v>
      </c>
      <c r="J411" s="25" t="s">
        <v>269</v>
      </c>
      <c r="K411" s="25" t="n">
        <v>2</v>
      </c>
      <c r="L411" s="25" t="n">
        <v>4574.41</v>
      </c>
      <c r="M411" s="25" t="n">
        <v>10</v>
      </c>
      <c r="N411" s="25" t="n">
        <v>9148.82</v>
      </c>
      <c r="O411" s="25" t="n">
        <v>914.88</v>
      </c>
      <c r="P411" s="25" t="n">
        <v>8233.94</v>
      </c>
      <c r="Q411" s="27" t="b">
        <f aca="false">FALSE()</f>
        <v>0</v>
      </c>
      <c r="R411" s="27" t="b">
        <f aca="false">FALSE()</f>
        <v>0</v>
      </c>
      <c r="S411" s="27" t="b">
        <f aca="false">FALSE()</f>
        <v>0</v>
      </c>
    </row>
    <row r="412" customFormat="false" ht="15" hidden="false" customHeight="false" outlineLevel="0" collapsed="false">
      <c r="A412" s="25" t="n">
        <v>411</v>
      </c>
      <c r="B412" s="25" t="s">
        <v>1310</v>
      </c>
      <c r="C412" s="25" t="s">
        <v>380</v>
      </c>
      <c r="D412" s="25" t="n">
        <v>20240430</v>
      </c>
      <c r="E412" s="25" t="n">
        <v>20</v>
      </c>
      <c r="F412" s="25" t="n">
        <v>4</v>
      </c>
      <c r="G412" s="25" t="s">
        <v>113</v>
      </c>
      <c r="H412" s="25" t="s">
        <v>25</v>
      </c>
      <c r="I412" s="25" t="s">
        <v>1770</v>
      </c>
      <c r="J412" s="25" t="s">
        <v>269</v>
      </c>
      <c r="K412" s="25" t="n">
        <v>2</v>
      </c>
      <c r="L412" s="25" t="n">
        <v>21122.18</v>
      </c>
      <c r="M412" s="25" t="n">
        <v>15</v>
      </c>
      <c r="N412" s="25" t="n">
        <v>42244.36</v>
      </c>
      <c r="O412" s="25" t="n">
        <v>6336.65</v>
      </c>
      <c r="P412" s="25" t="n">
        <v>35907.71</v>
      </c>
      <c r="Q412" s="27" t="b">
        <f aca="false">FALSE()</f>
        <v>0</v>
      </c>
      <c r="R412" s="27" t="b">
        <f aca="false">FALSE()</f>
        <v>0</v>
      </c>
      <c r="S412" s="27" t="b">
        <f aca="false">FALSE()</f>
        <v>0</v>
      </c>
    </row>
    <row r="413" customFormat="false" ht="15" hidden="false" customHeight="false" outlineLevel="0" collapsed="false">
      <c r="A413" s="25" t="n">
        <v>412</v>
      </c>
      <c r="B413" s="25" t="s">
        <v>1311</v>
      </c>
      <c r="C413" s="25" t="s">
        <v>380</v>
      </c>
      <c r="D413" s="25" t="n">
        <v>20240430</v>
      </c>
      <c r="E413" s="25" t="n">
        <v>20</v>
      </c>
      <c r="F413" s="25" t="n">
        <v>27</v>
      </c>
      <c r="G413" s="25" t="s">
        <v>113</v>
      </c>
      <c r="H413" s="25" t="s">
        <v>25</v>
      </c>
      <c r="I413" s="25" t="s">
        <v>1770</v>
      </c>
      <c r="J413" s="25" t="s">
        <v>269</v>
      </c>
      <c r="K413" s="25" t="n">
        <v>4</v>
      </c>
      <c r="L413" s="25" t="n">
        <v>20550.39</v>
      </c>
      <c r="M413" s="25" t="n">
        <v>0</v>
      </c>
      <c r="N413" s="25" t="n">
        <v>82201.56</v>
      </c>
      <c r="O413" s="25" t="n">
        <v>0</v>
      </c>
      <c r="P413" s="25" t="n">
        <v>82201.56</v>
      </c>
      <c r="Q413" s="27" t="b">
        <f aca="false">FALSE()</f>
        <v>0</v>
      </c>
      <c r="R413" s="27" t="b">
        <f aca="false">FALSE()</f>
        <v>0</v>
      </c>
      <c r="S413" s="27" t="b">
        <f aca="false">FALSE()</f>
        <v>0</v>
      </c>
    </row>
    <row r="414" customFormat="false" ht="15" hidden="false" customHeight="false" outlineLevel="0" collapsed="false">
      <c r="A414" s="25" t="n">
        <v>413</v>
      </c>
      <c r="B414" s="25" t="s">
        <v>1312</v>
      </c>
      <c r="C414" s="25" t="s">
        <v>380</v>
      </c>
      <c r="D414" s="25" t="n">
        <v>20240430</v>
      </c>
      <c r="E414" s="25" t="n">
        <v>20</v>
      </c>
      <c r="F414" s="25" t="n">
        <v>46</v>
      </c>
      <c r="G414" s="25" t="s">
        <v>113</v>
      </c>
      <c r="H414" s="25" t="s">
        <v>25</v>
      </c>
      <c r="I414" s="25" t="s">
        <v>1770</v>
      </c>
      <c r="J414" s="25" t="s">
        <v>269</v>
      </c>
      <c r="K414" s="25" t="n">
        <v>4</v>
      </c>
      <c r="L414" s="25" t="n">
        <v>15383.27</v>
      </c>
      <c r="M414" s="25" t="n">
        <v>10</v>
      </c>
      <c r="N414" s="25" t="n">
        <v>61533.08</v>
      </c>
      <c r="O414" s="25" t="n">
        <v>6153.31</v>
      </c>
      <c r="P414" s="25" t="n">
        <v>55379.77</v>
      </c>
      <c r="Q414" s="27" t="b">
        <f aca="false">FALSE()</f>
        <v>0</v>
      </c>
      <c r="R414" s="27" t="b">
        <f aca="false">FALSE()</f>
        <v>0</v>
      </c>
      <c r="S414" s="27" t="b">
        <f aca="false">FALSE()</f>
        <v>0</v>
      </c>
    </row>
    <row r="415" customFormat="false" ht="15" hidden="false" customHeight="false" outlineLevel="0" collapsed="false">
      <c r="A415" s="25" t="n">
        <v>414</v>
      </c>
      <c r="B415" s="25" t="s">
        <v>1313</v>
      </c>
      <c r="C415" s="25" t="s">
        <v>574</v>
      </c>
      <c r="D415" s="25" t="n">
        <v>20250807</v>
      </c>
      <c r="E415" s="25" t="n">
        <v>154</v>
      </c>
      <c r="F415" s="25" t="n">
        <v>68</v>
      </c>
      <c r="G415" s="25" t="s">
        <v>113</v>
      </c>
      <c r="H415" s="25" t="s">
        <v>2270</v>
      </c>
      <c r="I415" s="25" t="s">
        <v>1738</v>
      </c>
      <c r="J415" s="25" t="s">
        <v>242</v>
      </c>
      <c r="K415" s="25" t="n">
        <v>2</v>
      </c>
      <c r="L415" s="25" t="n">
        <v>21978.46</v>
      </c>
      <c r="M415" s="25" t="n">
        <v>15</v>
      </c>
      <c r="N415" s="25" t="n">
        <v>43956.92</v>
      </c>
      <c r="O415" s="25" t="n">
        <v>6593.54</v>
      </c>
      <c r="P415" s="25" t="n">
        <v>37363.38</v>
      </c>
      <c r="Q415" s="27" t="b">
        <f aca="false">FALSE()</f>
        <v>0</v>
      </c>
      <c r="R415" s="27" t="b">
        <f aca="false">FALSE()</f>
        <v>0</v>
      </c>
      <c r="S415" s="27" t="b">
        <f aca="false">FALSE()</f>
        <v>0</v>
      </c>
    </row>
    <row r="416" customFormat="false" ht="15" hidden="false" customHeight="false" outlineLevel="0" collapsed="false">
      <c r="A416" s="25" t="n">
        <v>415</v>
      </c>
      <c r="B416" s="25" t="s">
        <v>1314</v>
      </c>
      <c r="C416" s="25" t="s">
        <v>574</v>
      </c>
      <c r="D416" s="25" t="n">
        <v>20250807</v>
      </c>
      <c r="E416" s="25" t="n">
        <v>154</v>
      </c>
      <c r="F416" s="25" t="n">
        <v>26</v>
      </c>
      <c r="G416" s="25" t="s">
        <v>113</v>
      </c>
      <c r="H416" s="25" t="s">
        <v>2270</v>
      </c>
      <c r="I416" s="25" t="s">
        <v>1738</v>
      </c>
      <c r="J416" s="25" t="s">
        <v>242</v>
      </c>
      <c r="K416" s="25" t="n">
        <v>2</v>
      </c>
      <c r="L416" s="25" t="n">
        <v>13038.96</v>
      </c>
      <c r="M416" s="25" t="n">
        <v>0</v>
      </c>
      <c r="N416" s="25" t="n">
        <v>26077.92</v>
      </c>
      <c r="O416" s="25" t="n">
        <v>0</v>
      </c>
      <c r="P416" s="25" t="n">
        <v>26077.92</v>
      </c>
      <c r="Q416" s="27" t="b">
        <f aca="false">FALSE()</f>
        <v>0</v>
      </c>
      <c r="R416" s="27" t="b">
        <f aca="false">FALSE()</f>
        <v>0</v>
      </c>
      <c r="S416" s="27" t="b">
        <f aca="false">FALSE()</f>
        <v>0</v>
      </c>
    </row>
    <row r="417" customFormat="false" ht="15" hidden="false" customHeight="false" outlineLevel="0" collapsed="false">
      <c r="A417" s="25" t="n">
        <v>416</v>
      </c>
      <c r="B417" s="25" t="s">
        <v>1315</v>
      </c>
      <c r="C417" s="25" t="s">
        <v>394</v>
      </c>
      <c r="D417" s="25" t="n">
        <v>20241130</v>
      </c>
      <c r="E417" s="25" t="n">
        <v>117</v>
      </c>
      <c r="F417" s="25" t="n">
        <v>63</v>
      </c>
      <c r="G417" s="25" t="s">
        <v>115</v>
      </c>
      <c r="H417" s="25" t="s">
        <v>25</v>
      </c>
      <c r="I417" s="25" t="s">
        <v>94</v>
      </c>
      <c r="J417" s="25" t="s">
        <v>246</v>
      </c>
      <c r="K417" s="25" t="n">
        <v>4</v>
      </c>
      <c r="L417" s="25" t="n">
        <v>9269.43</v>
      </c>
      <c r="M417" s="25" t="n">
        <v>5</v>
      </c>
      <c r="N417" s="25" t="n">
        <v>37077.72</v>
      </c>
      <c r="O417" s="25" t="n">
        <v>1853.89</v>
      </c>
      <c r="P417" s="25" t="n">
        <v>35223.83</v>
      </c>
      <c r="Q417" s="27" t="b">
        <f aca="false">FALSE()</f>
        <v>0</v>
      </c>
      <c r="R417" s="27" t="b">
        <f aca="false">FALSE()</f>
        <v>0</v>
      </c>
      <c r="S417" s="27" t="b">
        <f aca="false">FALSE()</f>
        <v>0</v>
      </c>
    </row>
    <row r="418" customFormat="false" ht="15" hidden="false" customHeight="false" outlineLevel="0" collapsed="false">
      <c r="A418" s="25" t="n">
        <v>417</v>
      </c>
      <c r="B418" s="25" t="s">
        <v>1316</v>
      </c>
      <c r="C418" s="25" t="s">
        <v>394</v>
      </c>
      <c r="D418" s="25" t="n">
        <v>20241130</v>
      </c>
      <c r="E418" s="25" t="n">
        <v>117</v>
      </c>
      <c r="F418" s="25" t="n">
        <v>48</v>
      </c>
      <c r="G418" s="25" t="s">
        <v>115</v>
      </c>
      <c r="H418" s="25" t="s">
        <v>25</v>
      </c>
      <c r="I418" s="25" t="s">
        <v>94</v>
      </c>
      <c r="J418" s="25" t="s">
        <v>246</v>
      </c>
      <c r="K418" s="25" t="n">
        <v>1</v>
      </c>
      <c r="L418" s="25" t="n">
        <v>25643.17</v>
      </c>
      <c r="M418" s="25" t="n">
        <v>0</v>
      </c>
      <c r="N418" s="25" t="n">
        <v>25643.17</v>
      </c>
      <c r="O418" s="25" t="n">
        <v>0</v>
      </c>
      <c r="P418" s="25" t="n">
        <v>25643.17</v>
      </c>
      <c r="Q418" s="27" t="b">
        <f aca="false">FALSE()</f>
        <v>0</v>
      </c>
      <c r="R418" s="27" t="b">
        <f aca="false">FALSE()</f>
        <v>0</v>
      </c>
      <c r="S418" s="27" t="b">
        <f aca="false">FALSE()</f>
        <v>0</v>
      </c>
    </row>
    <row r="419" customFormat="false" ht="15" hidden="false" customHeight="false" outlineLevel="0" collapsed="false">
      <c r="A419" s="25" t="n">
        <v>418</v>
      </c>
      <c r="B419" s="25" t="s">
        <v>1317</v>
      </c>
      <c r="C419" s="25" t="s">
        <v>394</v>
      </c>
      <c r="D419" s="25" t="n">
        <v>20241130</v>
      </c>
      <c r="E419" s="25" t="n">
        <v>117</v>
      </c>
      <c r="F419" s="25" t="n">
        <v>43</v>
      </c>
      <c r="G419" s="25" t="s">
        <v>115</v>
      </c>
      <c r="H419" s="25" t="s">
        <v>25</v>
      </c>
      <c r="I419" s="25" t="s">
        <v>94</v>
      </c>
      <c r="J419" s="25" t="s">
        <v>246</v>
      </c>
      <c r="K419" s="25" t="n">
        <v>3</v>
      </c>
      <c r="L419" s="25" t="n">
        <v>4511.74</v>
      </c>
      <c r="M419" s="25" t="n">
        <v>20</v>
      </c>
      <c r="N419" s="25" t="n">
        <v>13535.22</v>
      </c>
      <c r="O419" s="25" t="n">
        <v>2707.04</v>
      </c>
      <c r="P419" s="25" t="n">
        <v>10828.18</v>
      </c>
      <c r="Q419" s="27" t="b">
        <f aca="false">FALSE()</f>
        <v>0</v>
      </c>
      <c r="R419" s="27" t="b">
        <f aca="false">FALSE()</f>
        <v>0</v>
      </c>
      <c r="S419" s="27" t="b">
        <f aca="false">FALSE()</f>
        <v>0</v>
      </c>
    </row>
    <row r="420" customFormat="false" ht="15" hidden="false" customHeight="false" outlineLevel="0" collapsed="false">
      <c r="A420" s="25" t="n">
        <v>419</v>
      </c>
      <c r="B420" s="25" t="s">
        <v>1318</v>
      </c>
      <c r="C420" s="25" t="s">
        <v>394</v>
      </c>
      <c r="D420" s="25" t="n">
        <v>20241130</v>
      </c>
      <c r="E420" s="25" t="n">
        <v>117</v>
      </c>
      <c r="F420" s="25" t="n">
        <v>36</v>
      </c>
      <c r="G420" s="25" t="s">
        <v>115</v>
      </c>
      <c r="H420" s="25" t="s">
        <v>25</v>
      </c>
      <c r="I420" s="25" t="s">
        <v>94</v>
      </c>
      <c r="J420" s="25" t="s">
        <v>246</v>
      </c>
      <c r="K420" s="25" t="n">
        <v>5</v>
      </c>
      <c r="L420" s="25" t="n">
        <v>4574.41</v>
      </c>
      <c r="M420" s="25" t="n">
        <v>0</v>
      </c>
      <c r="N420" s="25" t="n">
        <v>22872.05</v>
      </c>
      <c r="O420" s="25" t="n">
        <v>0</v>
      </c>
      <c r="P420" s="25" t="n">
        <v>22872.05</v>
      </c>
      <c r="Q420" s="27" t="b">
        <f aca="false">FALSE()</f>
        <v>0</v>
      </c>
      <c r="R420" s="27" t="b">
        <f aca="false">FALSE()</f>
        <v>0</v>
      </c>
      <c r="S420" s="27" t="b">
        <f aca="false">FALSE()</f>
        <v>0</v>
      </c>
    </row>
    <row r="421" customFormat="false" ht="15" hidden="false" customHeight="false" outlineLevel="0" collapsed="false">
      <c r="A421" s="25" t="n">
        <v>420</v>
      </c>
      <c r="B421" s="25" t="s">
        <v>1319</v>
      </c>
      <c r="C421" s="25" t="s">
        <v>497</v>
      </c>
      <c r="D421" s="25" t="n">
        <v>20240726</v>
      </c>
      <c r="E421" s="25" t="n">
        <v>20</v>
      </c>
      <c r="F421" s="25" t="n">
        <v>27</v>
      </c>
      <c r="G421" s="25" t="s">
        <v>115</v>
      </c>
      <c r="H421" s="25" t="s">
        <v>25</v>
      </c>
      <c r="I421" s="25" t="s">
        <v>83</v>
      </c>
      <c r="J421" s="25" t="s">
        <v>246</v>
      </c>
      <c r="K421" s="25" t="n">
        <v>5</v>
      </c>
      <c r="L421" s="25" t="n">
        <v>20550.39</v>
      </c>
      <c r="M421" s="25" t="n">
        <v>0</v>
      </c>
      <c r="N421" s="25" t="n">
        <v>102751.95</v>
      </c>
      <c r="O421" s="25" t="n">
        <v>0</v>
      </c>
      <c r="P421" s="25" t="n">
        <v>102751.95</v>
      </c>
      <c r="Q421" s="27" t="b">
        <f aca="false">FALSE()</f>
        <v>0</v>
      </c>
      <c r="R421" s="27" t="b">
        <f aca="false">FALSE()</f>
        <v>0</v>
      </c>
      <c r="S421" s="27" t="b">
        <f aca="false">FALSE()</f>
        <v>0</v>
      </c>
    </row>
    <row r="422" customFormat="false" ht="15" hidden="false" customHeight="false" outlineLevel="0" collapsed="false">
      <c r="A422" s="25" t="n">
        <v>421</v>
      </c>
      <c r="B422" s="25" t="s">
        <v>1320</v>
      </c>
      <c r="C422" s="25" t="s">
        <v>476</v>
      </c>
      <c r="D422" s="25" t="n">
        <v>20250223</v>
      </c>
      <c r="E422" s="25" t="n">
        <v>1</v>
      </c>
      <c r="F422" s="25" t="n">
        <v>8</v>
      </c>
      <c r="G422" s="25" t="s">
        <v>113</v>
      </c>
      <c r="H422" s="25" t="s">
        <v>25</v>
      </c>
      <c r="I422" s="25" t="s">
        <v>1738</v>
      </c>
      <c r="J422" s="25" t="s">
        <v>242</v>
      </c>
      <c r="K422" s="25" t="n">
        <v>5</v>
      </c>
      <c r="L422" s="25" t="n">
        <v>15176.98</v>
      </c>
      <c r="M422" s="25" t="n">
        <v>15</v>
      </c>
      <c r="N422" s="25" t="n">
        <v>75884.9</v>
      </c>
      <c r="O422" s="25" t="n">
        <v>11382.74</v>
      </c>
      <c r="P422" s="25" t="n">
        <v>64502.16</v>
      </c>
      <c r="Q422" s="27" t="b">
        <f aca="false">FALSE()</f>
        <v>0</v>
      </c>
      <c r="R422" s="27" t="b">
        <f aca="false">FALSE()</f>
        <v>0</v>
      </c>
      <c r="S422" s="27" t="b">
        <f aca="false">FALSE()</f>
        <v>0</v>
      </c>
    </row>
    <row r="423" customFormat="false" ht="15" hidden="false" customHeight="false" outlineLevel="0" collapsed="false">
      <c r="A423" s="25" t="n">
        <v>422</v>
      </c>
      <c r="B423" s="25" t="s">
        <v>1321</v>
      </c>
      <c r="C423" s="25" t="s">
        <v>577</v>
      </c>
      <c r="D423" s="25" t="n">
        <v>20240615</v>
      </c>
      <c r="E423" s="25" t="n">
        <v>14</v>
      </c>
      <c r="F423" s="25" t="n">
        <v>58</v>
      </c>
      <c r="G423" s="25" t="s">
        <v>113</v>
      </c>
      <c r="H423" s="25" t="s">
        <v>25</v>
      </c>
      <c r="I423" s="25" t="s">
        <v>1770</v>
      </c>
      <c r="J423" s="25" t="s">
        <v>269</v>
      </c>
      <c r="K423" s="25" t="n">
        <v>4</v>
      </c>
      <c r="L423" s="25" t="n">
        <v>22572.25</v>
      </c>
      <c r="M423" s="25" t="n">
        <v>10</v>
      </c>
      <c r="N423" s="25" t="n">
        <v>90289</v>
      </c>
      <c r="O423" s="25" t="n">
        <v>9028.9</v>
      </c>
      <c r="P423" s="25" t="n">
        <v>81260.1</v>
      </c>
      <c r="Q423" s="27" t="b">
        <f aca="false">FALSE()</f>
        <v>0</v>
      </c>
      <c r="R423" s="27" t="b">
        <f aca="false">FALSE()</f>
        <v>0</v>
      </c>
      <c r="S423" s="27" t="b">
        <f aca="false">FALSE()</f>
        <v>0</v>
      </c>
    </row>
    <row r="424" customFormat="false" ht="15" hidden="false" customHeight="false" outlineLevel="0" collapsed="false">
      <c r="A424" s="25" t="n">
        <v>423</v>
      </c>
      <c r="B424" s="25" t="s">
        <v>1323</v>
      </c>
      <c r="C424" s="25" t="s">
        <v>440</v>
      </c>
      <c r="D424" s="25" t="n">
        <v>20240418</v>
      </c>
      <c r="E424" s="25" t="n">
        <v>21</v>
      </c>
      <c r="F424" s="25" t="n">
        <v>15</v>
      </c>
      <c r="G424" s="25" t="s">
        <v>114</v>
      </c>
      <c r="H424" s="25" t="s">
        <v>25</v>
      </c>
      <c r="I424" s="25" t="s">
        <v>83</v>
      </c>
      <c r="J424" s="25" t="s">
        <v>242</v>
      </c>
      <c r="K424" s="25" t="n">
        <v>5</v>
      </c>
      <c r="L424" s="25" t="n">
        <v>4516.1</v>
      </c>
      <c r="M424" s="25" t="n">
        <v>0</v>
      </c>
      <c r="N424" s="25" t="n">
        <v>22580.5</v>
      </c>
      <c r="O424" s="25" t="n">
        <v>0</v>
      </c>
      <c r="P424" s="25" t="n">
        <v>22580.5</v>
      </c>
      <c r="Q424" s="27" t="b">
        <f aca="false">FALSE()</f>
        <v>0</v>
      </c>
      <c r="R424" s="27" t="b">
        <f aca="false">FALSE()</f>
        <v>0</v>
      </c>
      <c r="S424" s="27" t="b">
        <f aca="false">FALSE()</f>
        <v>0</v>
      </c>
    </row>
    <row r="425" customFormat="false" ht="15" hidden="false" customHeight="false" outlineLevel="0" collapsed="false">
      <c r="A425" s="25" t="n">
        <v>424</v>
      </c>
      <c r="B425" s="25" t="s">
        <v>1324</v>
      </c>
      <c r="C425" s="25" t="s">
        <v>546</v>
      </c>
      <c r="D425" s="25" t="n">
        <v>20240113</v>
      </c>
      <c r="E425" s="25" t="n">
        <v>-1</v>
      </c>
      <c r="F425" s="25" t="n">
        <v>64</v>
      </c>
      <c r="G425" s="25" t="s">
        <v>113</v>
      </c>
      <c r="H425" s="25" t="s">
        <v>25</v>
      </c>
      <c r="I425" s="25" t="s">
        <v>89</v>
      </c>
      <c r="J425" s="25" t="s">
        <v>269</v>
      </c>
      <c r="K425" s="25" t="n">
        <v>1</v>
      </c>
      <c r="L425" s="25" t="n">
        <v>11089.19</v>
      </c>
      <c r="M425" s="25" t="n">
        <v>0</v>
      </c>
      <c r="N425" s="25" t="n">
        <v>11089.19</v>
      </c>
      <c r="O425" s="25" t="n">
        <v>0</v>
      </c>
      <c r="P425" s="25" t="n">
        <v>11089.19</v>
      </c>
      <c r="Q425" s="27" t="b">
        <f aca="false">FALSE()</f>
        <v>0</v>
      </c>
      <c r="R425" s="27" t="b">
        <f aca="false">FALSE()</f>
        <v>0</v>
      </c>
      <c r="S425" s="27" t="b">
        <f aca="false">FALSE()</f>
        <v>0</v>
      </c>
    </row>
    <row r="426" customFormat="false" ht="15" hidden="false" customHeight="false" outlineLevel="0" collapsed="false">
      <c r="A426" s="25" t="n">
        <v>425</v>
      </c>
      <c r="B426" s="25" t="s">
        <v>1325</v>
      </c>
      <c r="C426" s="25" t="s">
        <v>330</v>
      </c>
      <c r="D426" s="25" t="n">
        <v>20240414</v>
      </c>
      <c r="E426" s="25" t="n">
        <v>49</v>
      </c>
      <c r="F426" s="25" t="n">
        <v>36</v>
      </c>
      <c r="G426" s="25" t="s">
        <v>115</v>
      </c>
      <c r="H426" s="25" t="s">
        <v>25</v>
      </c>
      <c r="I426" s="25" t="s">
        <v>75</v>
      </c>
      <c r="J426" s="25" t="s">
        <v>269</v>
      </c>
      <c r="K426" s="25" t="n">
        <v>4</v>
      </c>
      <c r="L426" s="25" t="n">
        <v>4574.41</v>
      </c>
      <c r="M426" s="25" t="n">
        <v>15</v>
      </c>
      <c r="N426" s="25" t="n">
        <v>18297.64</v>
      </c>
      <c r="O426" s="25" t="n">
        <v>2744.65</v>
      </c>
      <c r="P426" s="25" t="n">
        <v>15552.99</v>
      </c>
      <c r="Q426" s="27" t="b">
        <f aca="false">FALSE()</f>
        <v>0</v>
      </c>
      <c r="R426" s="27" t="b">
        <f aca="false">FALSE()</f>
        <v>0</v>
      </c>
      <c r="S426" s="27" t="b">
        <f aca="false">FALSE()</f>
        <v>0</v>
      </c>
    </row>
    <row r="427" customFormat="false" ht="15" hidden="false" customHeight="false" outlineLevel="0" collapsed="false">
      <c r="A427" s="25" t="n">
        <v>426</v>
      </c>
      <c r="B427" s="25" t="s">
        <v>1326</v>
      </c>
      <c r="C427" s="25" t="s">
        <v>330</v>
      </c>
      <c r="D427" s="25" t="n">
        <v>20240414</v>
      </c>
      <c r="E427" s="25" t="n">
        <v>49</v>
      </c>
      <c r="F427" s="25" t="n">
        <v>7</v>
      </c>
      <c r="G427" s="25" t="s">
        <v>115</v>
      </c>
      <c r="H427" s="25" t="s">
        <v>25</v>
      </c>
      <c r="I427" s="25" t="s">
        <v>75</v>
      </c>
      <c r="J427" s="25" t="s">
        <v>269</v>
      </c>
      <c r="K427" s="25" t="n">
        <v>1</v>
      </c>
      <c r="L427" s="25" t="n">
        <v>20278.89</v>
      </c>
      <c r="M427" s="25" t="n">
        <v>0</v>
      </c>
      <c r="N427" s="25" t="n">
        <v>20278.89</v>
      </c>
      <c r="O427" s="25" t="n">
        <v>0</v>
      </c>
      <c r="P427" s="25" t="n">
        <v>20278.89</v>
      </c>
      <c r="Q427" s="27" t="b">
        <f aca="false">FALSE()</f>
        <v>0</v>
      </c>
      <c r="R427" s="27" t="b">
        <f aca="false">FALSE()</f>
        <v>0</v>
      </c>
      <c r="S427" s="27" t="b">
        <f aca="false">FALSE()</f>
        <v>0</v>
      </c>
    </row>
    <row r="428" customFormat="false" ht="15" hidden="false" customHeight="false" outlineLevel="0" collapsed="false">
      <c r="A428" s="25" t="n">
        <v>427</v>
      </c>
      <c r="B428" s="25" t="s">
        <v>1327</v>
      </c>
      <c r="C428" s="25" t="s">
        <v>330</v>
      </c>
      <c r="D428" s="25" t="n">
        <v>20240414</v>
      </c>
      <c r="E428" s="25" t="n">
        <v>49</v>
      </c>
      <c r="F428" s="25" t="n">
        <v>31</v>
      </c>
      <c r="G428" s="25" t="s">
        <v>115</v>
      </c>
      <c r="H428" s="25" t="s">
        <v>25</v>
      </c>
      <c r="I428" s="25" t="s">
        <v>75</v>
      </c>
      <c r="J428" s="25" t="s">
        <v>269</v>
      </c>
      <c r="K428" s="25" t="n">
        <v>2</v>
      </c>
      <c r="L428" s="25" t="n">
        <v>20098.63</v>
      </c>
      <c r="M428" s="25" t="n">
        <v>0</v>
      </c>
      <c r="N428" s="25" t="n">
        <v>40197.26</v>
      </c>
      <c r="O428" s="25" t="n">
        <v>0</v>
      </c>
      <c r="P428" s="25" t="n">
        <v>40197.26</v>
      </c>
      <c r="Q428" s="27" t="b">
        <f aca="false">FALSE()</f>
        <v>0</v>
      </c>
      <c r="R428" s="27" t="b">
        <f aca="false">FALSE()</f>
        <v>0</v>
      </c>
      <c r="S428" s="27" t="b">
        <f aca="false">FALSE()</f>
        <v>0</v>
      </c>
    </row>
    <row r="429" customFormat="false" ht="15" hidden="false" customHeight="false" outlineLevel="0" collapsed="false">
      <c r="A429" s="25" t="n">
        <v>428</v>
      </c>
      <c r="B429" s="25" t="s">
        <v>1328</v>
      </c>
      <c r="C429" s="25" t="s">
        <v>293</v>
      </c>
      <c r="D429" s="25" t="n">
        <v>20241104</v>
      </c>
      <c r="E429" s="25" t="n">
        <v>26</v>
      </c>
      <c r="F429" s="25" t="n">
        <v>4</v>
      </c>
      <c r="G429" s="25" t="s">
        <v>114</v>
      </c>
      <c r="H429" s="25" t="s">
        <v>2267</v>
      </c>
      <c r="I429" s="25" t="s">
        <v>94</v>
      </c>
      <c r="J429" s="25" t="s">
        <v>242</v>
      </c>
      <c r="K429" s="25" t="n">
        <v>1</v>
      </c>
      <c r="L429" s="25" t="n">
        <v>21122.18</v>
      </c>
      <c r="M429" s="25" t="n">
        <v>0</v>
      </c>
      <c r="N429" s="25" t="n">
        <v>21122.18</v>
      </c>
      <c r="O429" s="25" t="n">
        <v>0</v>
      </c>
      <c r="P429" s="25" t="n">
        <v>21122.18</v>
      </c>
      <c r="Q429" s="27" t="b">
        <f aca="false">FALSE()</f>
        <v>0</v>
      </c>
      <c r="R429" s="27" t="b">
        <f aca="false">FALSE()</f>
        <v>0</v>
      </c>
      <c r="S429" s="27" t="b">
        <f aca="false">FALSE()</f>
        <v>0</v>
      </c>
    </row>
    <row r="430" customFormat="false" ht="15" hidden="false" customHeight="false" outlineLevel="0" collapsed="false">
      <c r="A430" s="25" t="n">
        <v>429</v>
      </c>
      <c r="B430" s="25" t="s">
        <v>1329</v>
      </c>
      <c r="C430" s="25" t="s">
        <v>293</v>
      </c>
      <c r="D430" s="25" t="n">
        <v>20241104</v>
      </c>
      <c r="E430" s="25" t="n">
        <v>26</v>
      </c>
      <c r="F430" s="25" t="n">
        <v>68</v>
      </c>
      <c r="G430" s="25" t="s">
        <v>114</v>
      </c>
      <c r="H430" s="25" t="s">
        <v>2267</v>
      </c>
      <c r="I430" s="25" t="s">
        <v>94</v>
      </c>
      <c r="J430" s="25" t="s">
        <v>242</v>
      </c>
      <c r="K430" s="25" t="n">
        <v>5</v>
      </c>
      <c r="L430" s="25" t="n">
        <v>21978.46</v>
      </c>
      <c r="M430" s="25" t="n">
        <v>0</v>
      </c>
      <c r="N430" s="25" t="n">
        <v>109892.3</v>
      </c>
      <c r="O430" s="25" t="n">
        <v>0</v>
      </c>
      <c r="P430" s="25" t="n">
        <v>109892.3</v>
      </c>
      <c r="Q430" s="27" t="b">
        <f aca="false">FALSE()</f>
        <v>0</v>
      </c>
      <c r="R430" s="27" t="b">
        <f aca="false">FALSE()</f>
        <v>0</v>
      </c>
      <c r="S430" s="27" t="b">
        <f aca="false">FALSE()</f>
        <v>0</v>
      </c>
    </row>
    <row r="431" customFormat="false" ht="15" hidden="false" customHeight="false" outlineLevel="0" collapsed="false">
      <c r="A431" s="25" t="n">
        <v>430</v>
      </c>
      <c r="B431" s="25" t="s">
        <v>1330</v>
      </c>
      <c r="C431" s="25" t="s">
        <v>258</v>
      </c>
      <c r="D431" s="25" t="n">
        <v>20240301</v>
      </c>
      <c r="E431" s="25" t="n">
        <v>4</v>
      </c>
      <c r="F431" s="25" t="n">
        <v>8</v>
      </c>
      <c r="G431" s="25" t="s">
        <v>114</v>
      </c>
      <c r="H431" s="25" t="s">
        <v>25</v>
      </c>
      <c r="I431" s="25" t="s">
        <v>86</v>
      </c>
      <c r="J431" s="25" t="s">
        <v>242</v>
      </c>
      <c r="K431" s="25" t="n">
        <v>4</v>
      </c>
      <c r="L431" s="25" t="n">
        <v>15176.98</v>
      </c>
      <c r="M431" s="25" t="n">
        <v>5</v>
      </c>
      <c r="N431" s="25" t="n">
        <v>60707.92</v>
      </c>
      <c r="O431" s="25" t="n">
        <v>3035.4</v>
      </c>
      <c r="P431" s="25" t="n">
        <v>57672.52</v>
      </c>
      <c r="Q431" s="27" t="b">
        <f aca="false">FALSE()</f>
        <v>0</v>
      </c>
      <c r="R431" s="27" t="b">
        <f aca="false">FALSE()</f>
        <v>0</v>
      </c>
      <c r="S431" s="27" t="b">
        <f aca="false">FALSE()</f>
        <v>0</v>
      </c>
    </row>
    <row r="432" customFormat="false" ht="15" hidden="false" customHeight="false" outlineLevel="0" collapsed="false">
      <c r="A432" s="25" t="n">
        <v>431</v>
      </c>
      <c r="B432" s="25" t="s">
        <v>1331</v>
      </c>
      <c r="C432" s="25" t="s">
        <v>317</v>
      </c>
      <c r="D432" s="25" t="n">
        <v>20250821</v>
      </c>
      <c r="E432" s="25" t="n">
        <v>6</v>
      </c>
      <c r="F432" s="25" t="n">
        <v>14</v>
      </c>
      <c r="G432" s="25" t="s">
        <v>113</v>
      </c>
      <c r="H432" s="25" t="s">
        <v>25</v>
      </c>
      <c r="I432" s="25" t="s">
        <v>75</v>
      </c>
      <c r="J432" s="25" t="s">
        <v>242</v>
      </c>
      <c r="K432" s="25" t="n">
        <v>5</v>
      </c>
      <c r="L432" s="25" t="n">
        <v>13809.86</v>
      </c>
      <c r="M432" s="25" t="n">
        <v>10</v>
      </c>
      <c r="N432" s="25" t="n">
        <v>69049.3</v>
      </c>
      <c r="O432" s="25" t="n">
        <v>6904.93</v>
      </c>
      <c r="P432" s="25" t="n">
        <v>62144.37</v>
      </c>
      <c r="Q432" s="27" t="b">
        <f aca="false">FALSE()</f>
        <v>0</v>
      </c>
      <c r="R432" s="27" t="b">
        <f aca="false">FALSE()</f>
        <v>0</v>
      </c>
      <c r="S432" s="27" t="b">
        <f aca="false">FALSE()</f>
        <v>0</v>
      </c>
    </row>
    <row r="433" customFormat="false" ht="15" hidden="false" customHeight="false" outlineLevel="0" collapsed="false">
      <c r="A433" s="25" t="n">
        <v>432</v>
      </c>
      <c r="B433" s="25" t="s">
        <v>1332</v>
      </c>
      <c r="C433" s="25" t="s">
        <v>317</v>
      </c>
      <c r="D433" s="25" t="n">
        <v>20250821</v>
      </c>
      <c r="E433" s="25" t="n">
        <v>6</v>
      </c>
      <c r="F433" s="25" t="n">
        <v>60</v>
      </c>
      <c r="G433" s="25" t="s">
        <v>113</v>
      </c>
      <c r="H433" s="25" t="s">
        <v>25</v>
      </c>
      <c r="I433" s="25" t="s">
        <v>75</v>
      </c>
      <c r="J433" s="25" t="s">
        <v>242</v>
      </c>
      <c r="K433" s="25" t="n">
        <v>4</v>
      </c>
      <c r="L433" s="25" t="n">
        <v>11569.57</v>
      </c>
      <c r="M433" s="25" t="n">
        <v>10</v>
      </c>
      <c r="N433" s="25" t="n">
        <v>46278.28</v>
      </c>
      <c r="O433" s="25" t="n">
        <v>4627.83</v>
      </c>
      <c r="P433" s="25" t="n">
        <v>41650.45</v>
      </c>
      <c r="Q433" s="27" t="b">
        <f aca="false">FALSE()</f>
        <v>0</v>
      </c>
      <c r="R433" s="27" t="b">
        <f aca="false">FALSE()</f>
        <v>0</v>
      </c>
      <c r="S433" s="27" t="b">
        <f aca="false">FALSE()</f>
        <v>0</v>
      </c>
    </row>
    <row r="434" customFormat="false" ht="15" hidden="false" customHeight="false" outlineLevel="0" collapsed="false">
      <c r="A434" s="25" t="n">
        <v>433</v>
      </c>
      <c r="B434" s="25" t="s">
        <v>1333</v>
      </c>
      <c r="C434" s="25" t="s">
        <v>522</v>
      </c>
      <c r="D434" s="25" t="n">
        <v>20240921</v>
      </c>
      <c r="E434" s="25" t="n">
        <v>154</v>
      </c>
      <c r="F434" s="25" t="n">
        <v>55</v>
      </c>
      <c r="G434" s="25" t="s">
        <v>113</v>
      </c>
      <c r="H434" s="25" t="s">
        <v>2266</v>
      </c>
      <c r="I434" s="25" t="s">
        <v>94</v>
      </c>
      <c r="J434" s="25" t="s">
        <v>269</v>
      </c>
      <c r="K434" s="25" t="n">
        <v>5</v>
      </c>
      <c r="L434" s="25" t="n">
        <v>5471.28</v>
      </c>
      <c r="M434" s="25" t="n">
        <v>20</v>
      </c>
      <c r="N434" s="25" t="n">
        <v>27356.4</v>
      </c>
      <c r="O434" s="25" t="n">
        <v>5471.28</v>
      </c>
      <c r="P434" s="25" t="n">
        <v>21885.12</v>
      </c>
      <c r="Q434" s="27" t="b">
        <f aca="false">FALSE()</f>
        <v>0</v>
      </c>
      <c r="R434" s="27" t="b">
        <f aca="false">FALSE()</f>
        <v>0</v>
      </c>
      <c r="S434" s="27" t="b">
        <f aca="false">FALSE()</f>
        <v>0</v>
      </c>
    </row>
    <row r="435" customFormat="false" ht="15" hidden="false" customHeight="false" outlineLevel="0" collapsed="false">
      <c r="A435" s="25" t="n">
        <v>434</v>
      </c>
      <c r="B435" s="25" t="s">
        <v>1334</v>
      </c>
      <c r="C435" s="25" t="s">
        <v>522</v>
      </c>
      <c r="D435" s="25" t="n">
        <v>20240921</v>
      </c>
      <c r="E435" s="25" t="n">
        <v>154</v>
      </c>
      <c r="F435" s="25" t="n">
        <v>31</v>
      </c>
      <c r="G435" s="25" t="s">
        <v>113</v>
      </c>
      <c r="H435" s="25" t="s">
        <v>2266</v>
      </c>
      <c r="I435" s="25" t="s">
        <v>94</v>
      </c>
      <c r="J435" s="25" t="s">
        <v>269</v>
      </c>
      <c r="K435" s="25" t="n">
        <v>4</v>
      </c>
      <c r="L435" s="25" t="n">
        <v>20098.63</v>
      </c>
      <c r="M435" s="25" t="n">
        <v>0</v>
      </c>
      <c r="N435" s="25" t="n">
        <v>80394.52</v>
      </c>
      <c r="O435" s="25" t="n">
        <v>0</v>
      </c>
      <c r="P435" s="25" t="n">
        <v>80394.52</v>
      </c>
      <c r="Q435" s="27" t="b">
        <f aca="false">FALSE()</f>
        <v>0</v>
      </c>
      <c r="R435" s="27" t="b">
        <f aca="false">FALSE()</f>
        <v>0</v>
      </c>
      <c r="S435" s="27" t="b">
        <f aca="false">FALSE()</f>
        <v>0</v>
      </c>
    </row>
    <row r="436" customFormat="false" ht="15" hidden="false" customHeight="false" outlineLevel="0" collapsed="false">
      <c r="A436" s="25" t="n">
        <v>435</v>
      </c>
      <c r="B436" s="25" t="s">
        <v>1335</v>
      </c>
      <c r="C436" s="25" t="s">
        <v>522</v>
      </c>
      <c r="D436" s="25" t="n">
        <v>20240921</v>
      </c>
      <c r="E436" s="25" t="n">
        <v>154</v>
      </c>
      <c r="F436" s="25" t="n">
        <v>42</v>
      </c>
      <c r="G436" s="25" t="s">
        <v>113</v>
      </c>
      <c r="H436" s="25" t="s">
        <v>2266</v>
      </c>
      <c r="I436" s="25" t="s">
        <v>94</v>
      </c>
      <c r="J436" s="25" t="s">
        <v>269</v>
      </c>
      <c r="K436" s="25" t="n">
        <v>5</v>
      </c>
      <c r="L436" s="25" t="n">
        <v>11284.39</v>
      </c>
      <c r="M436" s="25" t="n">
        <v>0</v>
      </c>
      <c r="N436" s="25" t="n">
        <v>56421.95</v>
      </c>
      <c r="O436" s="25" t="n">
        <v>0</v>
      </c>
      <c r="P436" s="25" t="n">
        <v>56421.95</v>
      </c>
      <c r="Q436" s="27" t="b">
        <f aca="false">FALSE()</f>
        <v>0</v>
      </c>
      <c r="R436" s="27" t="b">
        <f aca="false">FALSE()</f>
        <v>0</v>
      </c>
      <c r="S436" s="27" t="b">
        <f aca="false">FALSE()</f>
        <v>0</v>
      </c>
    </row>
    <row r="437" customFormat="false" ht="15" hidden="false" customHeight="false" outlineLevel="0" collapsed="false">
      <c r="A437" s="25" t="n">
        <v>436</v>
      </c>
      <c r="B437" s="25" t="s">
        <v>1336</v>
      </c>
      <c r="C437" s="25" t="s">
        <v>522</v>
      </c>
      <c r="D437" s="25" t="n">
        <v>20240921</v>
      </c>
      <c r="E437" s="25" t="n">
        <v>154</v>
      </c>
      <c r="F437" s="25" t="n">
        <v>29</v>
      </c>
      <c r="G437" s="25" t="s">
        <v>113</v>
      </c>
      <c r="H437" s="25" t="s">
        <v>2266</v>
      </c>
      <c r="I437" s="25" t="s">
        <v>94</v>
      </c>
      <c r="J437" s="25" t="s">
        <v>269</v>
      </c>
      <c r="K437" s="25" t="n">
        <v>4</v>
      </c>
      <c r="L437" s="25" t="n">
        <v>7855.79</v>
      </c>
      <c r="M437" s="25" t="n">
        <v>0</v>
      </c>
      <c r="N437" s="25" t="n">
        <v>31423.16</v>
      </c>
      <c r="O437" s="25" t="n">
        <v>0</v>
      </c>
      <c r="P437" s="25" t="n">
        <v>31423.16</v>
      </c>
      <c r="Q437" s="27" t="b">
        <f aca="false">FALSE()</f>
        <v>0</v>
      </c>
      <c r="R437" s="27" t="b">
        <f aca="false">FALSE()</f>
        <v>0</v>
      </c>
      <c r="S437" s="27" t="b">
        <f aca="false">FALSE()</f>
        <v>0</v>
      </c>
    </row>
    <row r="438" customFormat="false" ht="15" hidden="false" customHeight="false" outlineLevel="0" collapsed="false">
      <c r="A438" s="25" t="n">
        <v>437</v>
      </c>
      <c r="B438" s="25" t="s">
        <v>1337</v>
      </c>
      <c r="C438" s="25" t="s">
        <v>487</v>
      </c>
      <c r="D438" s="25" t="n">
        <v>20241024</v>
      </c>
      <c r="E438" s="25" t="n">
        <v>115</v>
      </c>
      <c r="F438" s="25" t="n">
        <v>33</v>
      </c>
      <c r="G438" s="25" t="s">
        <v>114</v>
      </c>
      <c r="H438" s="25" t="s">
        <v>25</v>
      </c>
      <c r="I438" s="25" t="s">
        <v>75</v>
      </c>
      <c r="J438" s="25" t="s">
        <v>246</v>
      </c>
      <c r="K438" s="25" t="n">
        <v>1</v>
      </c>
      <c r="L438" s="25" t="n">
        <v>11865.75</v>
      </c>
      <c r="M438" s="25" t="n">
        <v>20</v>
      </c>
      <c r="N438" s="25" t="n">
        <v>11865.75</v>
      </c>
      <c r="O438" s="25" t="n">
        <v>2373.15</v>
      </c>
      <c r="P438" s="25" t="n">
        <v>9492.6</v>
      </c>
      <c r="Q438" s="27" t="b">
        <f aca="false">FALSE()</f>
        <v>0</v>
      </c>
      <c r="R438" s="27" t="b">
        <f aca="false">FALSE()</f>
        <v>0</v>
      </c>
      <c r="S438" s="27" t="b">
        <f aca="false">FALSE()</f>
        <v>0</v>
      </c>
    </row>
    <row r="439" customFormat="false" ht="15" hidden="false" customHeight="false" outlineLevel="0" collapsed="false">
      <c r="A439" s="25" t="n">
        <v>438</v>
      </c>
      <c r="B439" s="25" t="s">
        <v>1339</v>
      </c>
      <c r="C439" s="25" t="s">
        <v>487</v>
      </c>
      <c r="D439" s="25" t="n">
        <v>20241024</v>
      </c>
      <c r="E439" s="25" t="n">
        <v>115</v>
      </c>
      <c r="F439" s="25" t="n">
        <v>11</v>
      </c>
      <c r="G439" s="25" t="s">
        <v>114</v>
      </c>
      <c r="H439" s="25" t="s">
        <v>25</v>
      </c>
      <c r="I439" s="25" t="s">
        <v>75</v>
      </c>
      <c r="J439" s="25" t="s">
        <v>246</v>
      </c>
      <c r="K439" s="25" t="n">
        <v>4</v>
      </c>
      <c r="L439" s="25" t="n">
        <v>1179.68</v>
      </c>
      <c r="M439" s="25" t="n">
        <v>10</v>
      </c>
      <c r="N439" s="25" t="n">
        <v>4718.72</v>
      </c>
      <c r="O439" s="25" t="n">
        <v>471.87</v>
      </c>
      <c r="P439" s="25" t="n">
        <v>4246.85</v>
      </c>
      <c r="Q439" s="27" t="b">
        <f aca="false">FALSE()</f>
        <v>0</v>
      </c>
      <c r="R439" s="27" t="b">
        <f aca="false">FALSE()</f>
        <v>0</v>
      </c>
      <c r="S439" s="27" t="b">
        <f aca="false">FALSE()</f>
        <v>0</v>
      </c>
    </row>
    <row r="440" customFormat="false" ht="15" hidden="false" customHeight="false" outlineLevel="0" collapsed="false">
      <c r="A440" s="25" t="n">
        <v>439</v>
      </c>
      <c r="B440" s="25" t="s">
        <v>1340</v>
      </c>
      <c r="C440" s="25" t="s">
        <v>487</v>
      </c>
      <c r="D440" s="25" t="n">
        <v>20241024</v>
      </c>
      <c r="E440" s="25" t="n">
        <v>115</v>
      </c>
      <c r="F440" s="25" t="n">
        <v>21</v>
      </c>
      <c r="G440" s="25" t="s">
        <v>114</v>
      </c>
      <c r="H440" s="25" t="s">
        <v>25</v>
      </c>
      <c r="I440" s="25" t="s">
        <v>75</v>
      </c>
      <c r="J440" s="25" t="s">
        <v>246</v>
      </c>
      <c r="K440" s="25" t="n">
        <v>3</v>
      </c>
      <c r="L440" s="25" t="n">
        <v>3184.81</v>
      </c>
      <c r="M440" s="25" t="n">
        <v>5</v>
      </c>
      <c r="N440" s="25" t="n">
        <v>9554.43</v>
      </c>
      <c r="O440" s="25" t="n">
        <v>477.72</v>
      </c>
      <c r="P440" s="25" t="n">
        <v>9076.71</v>
      </c>
      <c r="Q440" s="27" t="b">
        <f aca="false">FALSE()</f>
        <v>0</v>
      </c>
      <c r="R440" s="27" t="b">
        <f aca="false">FALSE()</f>
        <v>0</v>
      </c>
      <c r="S440" s="27" t="b">
        <f aca="false">FALSE()</f>
        <v>0</v>
      </c>
    </row>
    <row r="441" customFormat="false" ht="15" hidden="false" customHeight="false" outlineLevel="0" collapsed="false">
      <c r="A441" s="25" t="n">
        <v>440</v>
      </c>
      <c r="B441" s="25" t="s">
        <v>1341</v>
      </c>
      <c r="C441" s="25" t="s">
        <v>540</v>
      </c>
      <c r="D441" s="25" t="n">
        <v>20241207</v>
      </c>
      <c r="E441" s="25" t="n">
        <v>142</v>
      </c>
      <c r="F441" s="25" t="n">
        <v>24</v>
      </c>
      <c r="G441" s="25" t="s">
        <v>115</v>
      </c>
      <c r="H441" s="25" t="s">
        <v>2266</v>
      </c>
      <c r="I441" s="25" t="s">
        <v>1770</v>
      </c>
      <c r="J441" s="25" t="s">
        <v>242</v>
      </c>
      <c r="K441" s="25" t="n">
        <v>5</v>
      </c>
      <c r="L441" s="25" t="n">
        <v>11175.62</v>
      </c>
      <c r="M441" s="25" t="n">
        <v>0</v>
      </c>
      <c r="N441" s="25" t="n">
        <v>55878.1</v>
      </c>
      <c r="O441" s="25" t="n">
        <v>0</v>
      </c>
      <c r="P441" s="25" t="n">
        <v>55878.1</v>
      </c>
      <c r="Q441" s="27" t="b">
        <f aca="false">FALSE()</f>
        <v>0</v>
      </c>
      <c r="R441" s="27" t="b">
        <f aca="false">FALSE()</f>
        <v>0</v>
      </c>
      <c r="S441" s="27" t="b">
        <f aca="false">FALSE()</f>
        <v>0</v>
      </c>
    </row>
    <row r="442" customFormat="false" ht="15" hidden="false" customHeight="false" outlineLevel="0" collapsed="false">
      <c r="A442" s="25" t="n">
        <v>441</v>
      </c>
      <c r="B442" s="25" t="s">
        <v>1342</v>
      </c>
      <c r="C442" s="25" t="s">
        <v>568</v>
      </c>
      <c r="D442" s="25" t="n">
        <v>20250602</v>
      </c>
      <c r="E442" s="25" t="n">
        <v>106</v>
      </c>
      <c r="F442" s="25" t="n">
        <v>40</v>
      </c>
      <c r="G442" s="25" t="s">
        <v>114</v>
      </c>
      <c r="H442" s="25" t="s">
        <v>25</v>
      </c>
      <c r="I442" s="25" t="s">
        <v>86</v>
      </c>
      <c r="J442" s="25" t="s">
        <v>250</v>
      </c>
      <c r="K442" s="25" t="n">
        <v>5</v>
      </c>
      <c r="L442" s="25" t="n">
        <v>4449.14</v>
      </c>
      <c r="M442" s="25" t="n">
        <v>15</v>
      </c>
      <c r="N442" s="25" t="n">
        <v>22245.7</v>
      </c>
      <c r="O442" s="25" t="n">
        <v>3336.86</v>
      </c>
      <c r="P442" s="25" t="n">
        <v>18908.84</v>
      </c>
      <c r="Q442" s="27" t="b">
        <f aca="false">FALSE()</f>
        <v>0</v>
      </c>
      <c r="R442" s="27" t="b">
        <f aca="false">FALSE()</f>
        <v>0</v>
      </c>
      <c r="S442" s="27" t="b">
        <f aca="false">FALSE()</f>
        <v>0</v>
      </c>
    </row>
    <row r="443" customFormat="false" ht="15" hidden="false" customHeight="false" outlineLevel="0" collapsed="false">
      <c r="A443" s="25" t="n">
        <v>442</v>
      </c>
      <c r="B443" s="25" t="s">
        <v>1343</v>
      </c>
      <c r="C443" s="25" t="s">
        <v>568</v>
      </c>
      <c r="D443" s="25" t="n">
        <v>20250602</v>
      </c>
      <c r="E443" s="25" t="n">
        <v>106</v>
      </c>
      <c r="F443" s="25" t="n">
        <v>4</v>
      </c>
      <c r="G443" s="25" t="s">
        <v>114</v>
      </c>
      <c r="H443" s="25" t="s">
        <v>25</v>
      </c>
      <c r="I443" s="25" t="s">
        <v>86</v>
      </c>
      <c r="J443" s="25" t="s">
        <v>250</v>
      </c>
      <c r="K443" s="25" t="n">
        <v>4</v>
      </c>
      <c r="L443" s="25" t="n">
        <v>21122.18</v>
      </c>
      <c r="M443" s="25" t="n">
        <v>0</v>
      </c>
      <c r="N443" s="25" t="n">
        <v>84488.72</v>
      </c>
      <c r="O443" s="25" t="n">
        <v>0</v>
      </c>
      <c r="P443" s="25" t="n">
        <v>84488.72</v>
      </c>
      <c r="Q443" s="27" t="b">
        <f aca="false">FALSE()</f>
        <v>0</v>
      </c>
      <c r="R443" s="27" t="b">
        <f aca="false">FALSE()</f>
        <v>0</v>
      </c>
      <c r="S443" s="27" t="b">
        <f aca="false">FALSE()</f>
        <v>0</v>
      </c>
    </row>
    <row r="444" customFormat="false" ht="15" hidden="false" customHeight="false" outlineLevel="0" collapsed="false">
      <c r="A444" s="25" t="n">
        <v>443</v>
      </c>
      <c r="B444" s="25" t="s">
        <v>1344</v>
      </c>
      <c r="C444" s="25" t="s">
        <v>568</v>
      </c>
      <c r="D444" s="25" t="n">
        <v>20250602</v>
      </c>
      <c r="E444" s="25" t="n">
        <v>106</v>
      </c>
      <c r="F444" s="25" t="n">
        <v>21</v>
      </c>
      <c r="G444" s="25" t="s">
        <v>114</v>
      </c>
      <c r="H444" s="25" t="s">
        <v>25</v>
      </c>
      <c r="I444" s="25" t="s">
        <v>86</v>
      </c>
      <c r="J444" s="25" t="s">
        <v>250</v>
      </c>
      <c r="K444" s="25" t="n">
        <v>5</v>
      </c>
      <c r="L444" s="25" t="n">
        <v>3184.81</v>
      </c>
      <c r="M444" s="25" t="n">
        <v>5</v>
      </c>
      <c r="N444" s="25" t="n">
        <v>15924.05</v>
      </c>
      <c r="O444" s="25" t="n">
        <v>796.2</v>
      </c>
      <c r="P444" s="25" t="n">
        <v>15127.85</v>
      </c>
      <c r="Q444" s="27" t="b">
        <f aca="false">FALSE()</f>
        <v>0</v>
      </c>
      <c r="R444" s="27" t="b">
        <f aca="false">FALSE()</f>
        <v>0</v>
      </c>
      <c r="S444" s="27" t="b">
        <f aca="false">FALSE()</f>
        <v>0</v>
      </c>
    </row>
    <row r="445" customFormat="false" ht="15" hidden="false" customHeight="false" outlineLevel="0" collapsed="false">
      <c r="A445" s="25" t="n">
        <v>444</v>
      </c>
      <c r="B445" s="25" t="s">
        <v>1345</v>
      </c>
      <c r="C445" s="25" t="s">
        <v>568</v>
      </c>
      <c r="D445" s="25" t="n">
        <v>20250602</v>
      </c>
      <c r="E445" s="25" t="n">
        <v>106</v>
      </c>
      <c r="F445" s="25" t="n">
        <v>41</v>
      </c>
      <c r="G445" s="25" t="s">
        <v>114</v>
      </c>
      <c r="H445" s="25" t="s">
        <v>25</v>
      </c>
      <c r="I445" s="25" t="s">
        <v>86</v>
      </c>
      <c r="J445" s="25" t="s">
        <v>250</v>
      </c>
      <c r="K445" s="25" t="n">
        <v>2</v>
      </c>
      <c r="L445" s="25" t="n">
        <v>11992.92</v>
      </c>
      <c r="M445" s="25" t="n">
        <v>15</v>
      </c>
      <c r="N445" s="25" t="n">
        <v>23985.84</v>
      </c>
      <c r="O445" s="25" t="n">
        <v>3597.88</v>
      </c>
      <c r="P445" s="25" t="n">
        <v>20387.96</v>
      </c>
      <c r="Q445" s="27" t="b">
        <f aca="false">FALSE()</f>
        <v>0</v>
      </c>
      <c r="R445" s="27" t="b">
        <f aca="false">FALSE()</f>
        <v>0</v>
      </c>
      <c r="S445" s="27" t="b">
        <f aca="false">FALSE()</f>
        <v>0</v>
      </c>
    </row>
    <row r="446" customFormat="false" ht="15" hidden="false" customHeight="false" outlineLevel="0" collapsed="false">
      <c r="A446" s="25" t="n">
        <v>445</v>
      </c>
      <c r="B446" s="25" t="s">
        <v>1346</v>
      </c>
      <c r="C446" s="25" t="s">
        <v>430</v>
      </c>
      <c r="D446" s="25" t="n">
        <v>20241007</v>
      </c>
      <c r="E446" s="25" t="n">
        <v>83</v>
      </c>
      <c r="F446" s="25" t="n">
        <v>56</v>
      </c>
      <c r="G446" s="25" t="s">
        <v>113</v>
      </c>
      <c r="H446" s="25" t="s">
        <v>2267</v>
      </c>
      <c r="I446" s="25" t="s">
        <v>71</v>
      </c>
      <c r="J446" s="25" t="s">
        <v>250</v>
      </c>
      <c r="K446" s="25" t="n">
        <v>5</v>
      </c>
      <c r="L446" s="25" t="n">
        <v>16535.66</v>
      </c>
      <c r="M446" s="25" t="n">
        <v>5</v>
      </c>
      <c r="N446" s="25" t="n">
        <v>82678.3</v>
      </c>
      <c r="O446" s="25" t="n">
        <v>4133.92</v>
      </c>
      <c r="P446" s="25" t="n">
        <v>78544.38</v>
      </c>
      <c r="Q446" s="27" t="b">
        <f aca="false">FALSE()</f>
        <v>0</v>
      </c>
      <c r="R446" s="27" t="b">
        <f aca="false">FALSE()</f>
        <v>0</v>
      </c>
      <c r="S446" s="27" t="b">
        <f aca="false">FALSE()</f>
        <v>0</v>
      </c>
    </row>
    <row r="447" customFormat="false" ht="15" hidden="false" customHeight="false" outlineLevel="0" collapsed="false">
      <c r="A447" s="25" t="n">
        <v>446</v>
      </c>
      <c r="B447" s="25" t="s">
        <v>1347</v>
      </c>
      <c r="C447" s="25" t="s">
        <v>430</v>
      </c>
      <c r="D447" s="25" t="n">
        <v>20241007</v>
      </c>
      <c r="E447" s="25" t="n">
        <v>83</v>
      </c>
      <c r="F447" s="25" t="n">
        <v>11</v>
      </c>
      <c r="G447" s="25" t="s">
        <v>113</v>
      </c>
      <c r="H447" s="25" t="s">
        <v>2267</v>
      </c>
      <c r="I447" s="25" t="s">
        <v>71</v>
      </c>
      <c r="J447" s="25" t="s">
        <v>250</v>
      </c>
      <c r="K447" s="25" t="n">
        <v>2</v>
      </c>
      <c r="L447" s="25" t="n">
        <v>1179.68</v>
      </c>
      <c r="M447" s="25" t="n">
        <v>0</v>
      </c>
      <c r="N447" s="25" t="n">
        <v>2359.36</v>
      </c>
      <c r="O447" s="25" t="n">
        <v>0</v>
      </c>
      <c r="P447" s="25" t="n">
        <v>2359.36</v>
      </c>
      <c r="Q447" s="27" t="b">
        <f aca="false">FALSE()</f>
        <v>0</v>
      </c>
      <c r="R447" s="27" t="b">
        <f aca="false">FALSE()</f>
        <v>0</v>
      </c>
      <c r="S447" s="27" t="b">
        <f aca="false">FALSE()</f>
        <v>0</v>
      </c>
    </row>
    <row r="448" customFormat="false" ht="15" hidden="false" customHeight="false" outlineLevel="0" collapsed="false">
      <c r="A448" s="25" t="n">
        <v>447</v>
      </c>
      <c r="B448" s="25" t="s">
        <v>1348</v>
      </c>
      <c r="C448" s="25" t="s">
        <v>430</v>
      </c>
      <c r="D448" s="25" t="n">
        <v>20241007</v>
      </c>
      <c r="E448" s="25" t="n">
        <v>83</v>
      </c>
      <c r="F448" s="25" t="n">
        <v>6</v>
      </c>
      <c r="G448" s="25" t="s">
        <v>113</v>
      </c>
      <c r="H448" s="25" t="s">
        <v>2267</v>
      </c>
      <c r="I448" s="25" t="s">
        <v>71</v>
      </c>
      <c r="J448" s="25" t="s">
        <v>250</v>
      </c>
      <c r="K448" s="25" t="n">
        <v>5</v>
      </c>
      <c r="L448" s="25" t="n">
        <v>2863.09</v>
      </c>
      <c r="M448" s="25" t="n">
        <v>15</v>
      </c>
      <c r="N448" s="25" t="n">
        <v>14315.45</v>
      </c>
      <c r="O448" s="25" t="n">
        <v>2147.32</v>
      </c>
      <c r="P448" s="25" t="n">
        <v>12168.13</v>
      </c>
      <c r="Q448" s="27" t="b">
        <f aca="false">FALSE()</f>
        <v>0</v>
      </c>
      <c r="R448" s="27" t="b">
        <f aca="false">FALSE()</f>
        <v>0</v>
      </c>
      <c r="S448" s="27" t="b">
        <f aca="false">FALSE()</f>
        <v>0</v>
      </c>
    </row>
    <row r="449" customFormat="false" ht="15" hidden="false" customHeight="false" outlineLevel="0" collapsed="false">
      <c r="A449" s="25" t="n">
        <v>448</v>
      </c>
      <c r="B449" s="25" t="s">
        <v>1349</v>
      </c>
      <c r="C449" s="25" t="s">
        <v>472</v>
      </c>
      <c r="D449" s="25" t="n">
        <v>20250815</v>
      </c>
      <c r="E449" s="25" t="n">
        <v>52</v>
      </c>
      <c r="F449" s="25" t="n">
        <v>48</v>
      </c>
      <c r="G449" s="25" t="s">
        <v>113</v>
      </c>
      <c r="H449" s="25" t="s">
        <v>25</v>
      </c>
      <c r="I449" s="25" t="s">
        <v>83</v>
      </c>
      <c r="J449" s="25" t="s">
        <v>250</v>
      </c>
      <c r="K449" s="25" t="n">
        <v>3</v>
      </c>
      <c r="L449" s="25" t="n">
        <v>25643.17</v>
      </c>
      <c r="M449" s="25" t="n">
        <v>20</v>
      </c>
      <c r="N449" s="25" t="n">
        <v>76929.51</v>
      </c>
      <c r="O449" s="25" t="n">
        <v>15385.9</v>
      </c>
      <c r="P449" s="25" t="n">
        <v>61543.61</v>
      </c>
      <c r="Q449" s="27" t="b">
        <f aca="false">FALSE()</f>
        <v>0</v>
      </c>
      <c r="R449" s="27" t="b">
        <f aca="false">FALSE()</f>
        <v>0</v>
      </c>
      <c r="S449" s="27" t="b">
        <f aca="false">FALSE()</f>
        <v>0</v>
      </c>
    </row>
    <row r="450" customFormat="false" ht="15" hidden="false" customHeight="false" outlineLevel="0" collapsed="false">
      <c r="A450" s="25" t="n">
        <v>449</v>
      </c>
      <c r="B450" s="25" t="s">
        <v>1350</v>
      </c>
      <c r="C450" s="25" t="s">
        <v>472</v>
      </c>
      <c r="D450" s="25" t="n">
        <v>20250815</v>
      </c>
      <c r="E450" s="25" t="n">
        <v>52</v>
      </c>
      <c r="F450" s="25" t="n">
        <v>37</v>
      </c>
      <c r="G450" s="25" t="s">
        <v>113</v>
      </c>
      <c r="H450" s="25" t="s">
        <v>25</v>
      </c>
      <c r="I450" s="25" t="s">
        <v>83</v>
      </c>
      <c r="J450" s="25" t="s">
        <v>250</v>
      </c>
      <c r="K450" s="25" t="n">
        <v>1</v>
      </c>
      <c r="L450" s="25" t="n">
        <v>16084.14</v>
      </c>
      <c r="M450" s="25" t="n">
        <v>20</v>
      </c>
      <c r="N450" s="25" t="n">
        <v>16084.14</v>
      </c>
      <c r="O450" s="25" t="n">
        <v>3216.83</v>
      </c>
      <c r="P450" s="25" t="n">
        <v>12867.31</v>
      </c>
      <c r="Q450" s="27" t="b">
        <f aca="false">FALSE()</f>
        <v>0</v>
      </c>
      <c r="R450" s="27" t="b">
        <f aca="false">FALSE()</f>
        <v>0</v>
      </c>
      <c r="S450" s="27" t="b">
        <f aca="false">FALSE()</f>
        <v>0</v>
      </c>
    </row>
    <row r="451" customFormat="false" ht="15" hidden="false" customHeight="false" outlineLevel="0" collapsed="false">
      <c r="A451" s="25" t="n">
        <v>450</v>
      </c>
      <c r="B451" s="25" t="s">
        <v>1351</v>
      </c>
      <c r="C451" s="25" t="s">
        <v>472</v>
      </c>
      <c r="D451" s="25" t="n">
        <v>20250815</v>
      </c>
      <c r="E451" s="25" t="n">
        <v>52</v>
      </c>
      <c r="F451" s="25" t="n">
        <v>33</v>
      </c>
      <c r="G451" s="25" t="s">
        <v>113</v>
      </c>
      <c r="H451" s="25" t="s">
        <v>25</v>
      </c>
      <c r="I451" s="25" t="s">
        <v>83</v>
      </c>
      <c r="J451" s="25" t="s">
        <v>250</v>
      </c>
      <c r="K451" s="25" t="n">
        <v>3</v>
      </c>
      <c r="L451" s="25" t="n">
        <v>11865.75</v>
      </c>
      <c r="M451" s="25" t="n">
        <v>20</v>
      </c>
      <c r="N451" s="25" t="n">
        <v>35597.25</v>
      </c>
      <c r="O451" s="25" t="n">
        <v>7119.45</v>
      </c>
      <c r="P451" s="25" t="n">
        <v>28477.8</v>
      </c>
      <c r="Q451" s="27" t="b">
        <f aca="false">FALSE()</f>
        <v>0</v>
      </c>
      <c r="R451" s="27" t="b">
        <f aca="false">FALSE()</f>
        <v>0</v>
      </c>
      <c r="S451" s="27" t="b">
        <f aca="false">FALSE()</f>
        <v>0</v>
      </c>
    </row>
    <row r="452" customFormat="false" ht="15" hidden="false" customHeight="false" outlineLevel="0" collapsed="false">
      <c r="A452" s="25" t="n">
        <v>451</v>
      </c>
      <c r="B452" s="25" t="s">
        <v>1352</v>
      </c>
      <c r="C452" s="25" t="s">
        <v>563</v>
      </c>
      <c r="D452" s="25" t="n">
        <v>20250613</v>
      </c>
      <c r="E452" s="25" t="n">
        <v>129</v>
      </c>
      <c r="F452" s="25" t="n">
        <v>20</v>
      </c>
      <c r="G452" s="25" t="s">
        <v>115</v>
      </c>
      <c r="H452" s="25" t="s">
        <v>2277</v>
      </c>
      <c r="I452" s="25" t="s">
        <v>75</v>
      </c>
      <c r="J452" s="25" t="s">
        <v>269</v>
      </c>
      <c r="K452" s="25" t="n">
        <v>1</v>
      </c>
      <c r="L452" s="25" t="n">
        <v>3634.57</v>
      </c>
      <c r="M452" s="25" t="n">
        <v>10</v>
      </c>
      <c r="N452" s="25" t="n">
        <v>3634.57</v>
      </c>
      <c r="O452" s="25" t="n">
        <v>363.46</v>
      </c>
      <c r="P452" s="25" t="n">
        <v>3271.11</v>
      </c>
      <c r="Q452" s="27" t="b">
        <f aca="false">FALSE()</f>
        <v>0</v>
      </c>
      <c r="R452" s="27" t="b">
        <f aca="false">FALSE()</f>
        <v>0</v>
      </c>
      <c r="S452" s="27" t="b">
        <f aca="false">FALSE()</f>
        <v>0</v>
      </c>
    </row>
    <row r="453" customFormat="false" ht="15" hidden="false" customHeight="false" outlineLevel="0" collapsed="false">
      <c r="A453" s="25" t="n">
        <v>452</v>
      </c>
      <c r="B453" s="25" t="s">
        <v>1353</v>
      </c>
      <c r="C453" s="25" t="s">
        <v>563</v>
      </c>
      <c r="D453" s="25" t="n">
        <v>20250613</v>
      </c>
      <c r="E453" s="25" t="n">
        <v>129</v>
      </c>
      <c r="F453" s="25" t="n">
        <v>21</v>
      </c>
      <c r="G453" s="25" t="s">
        <v>115</v>
      </c>
      <c r="H453" s="25" t="s">
        <v>2277</v>
      </c>
      <c r="I453" s="25" t="s">
        <v>75</v>
      </c>
      <c r="J453" s="25" t="s">
        <v>269</v>
      </c>
      <c r="K453" s="25" t="n">
        <v>1</v>
      </c>
      <c r="L453" s="25" t="n">
        <v>3184.81</v>
      </c>
      <c r="M453" s="25" t="n">
        <v>10</v>
      </c>
      <c r="N453" s="25" t="n">
        <v>3184.81</v>
      </c>
      <c r="O453" s="25" t="n">
        <v>318.48</v>
      </c>
      <c r="P453" s="25" t="n">
        <v>2866.33</v>
      </c>
      <c r="Q453" s="27" t="b">
        <f aca="false">FALSE()</f>
        <v>0</v>
      </c>
      <c r="R453" s="27" t="b">
        <f aca="false">FALSE()</f>
        <v>0</v>
      </c>
      <c r="S453" s="27" t="b">
        <f aca="false">FALSE()</f>
        <v>0</v>
      </c>
    </row>
    <row r="454" customFormat="false" ht="15" hidden="false" customHeight="false" outlineLevel="0" collapsed="false">
      <c r="A454" s="25" t="n">
        <v>453</v>
      </c>
      <c r="B454" s="25" t="s">
        <v>1354</v>
      </c>
      <c r="C454" s="25" t="s">
        <v>563</v>
      </c>
      <c r="D454" s="25" t="n">
        <v>20250613</v>
      </c>
      <c r="E454" s="25" t="n">
        <v>129</v>
      </c>
      <c r="F454" s="25" t="n">
        <v>27</v>
      </c>
      <c r="G454" s="25" t="s">
        <v>115</v>
      </c>
      <c r="H454" s="25" t="s">
        <v>2277</v>
      </c>
      <c r="I454" s="25" t="s">
        <v>75</v>
      </c>
      <c r="J454" s="25" t="s">
        <v>269</v>
      </c>
      <c r="K454" s="25" t="n">
        <v>5</v>
      </c>
      <c r="L454" s="25" t="n">
        <v>20550.39</v>
      </c>
      <c r="M454" s="25" t="n">
        <v>15</v>
      </c>
      <c r="N454" s="25" t="n">
        <v>102751.95</v>
      </c>
      <c r="O454" s="25" t="n">
        <v>15412.79</v>
      </c>
      <c r="P454" s="25" t="n">
        <v>87339.16</v>
      </c>
      <c r="Q454" s="27" t="b">
        <f aca="false">FALSE()</f>
        <v>0</v>
      </c>
      <c r="R454" s="27" t="b">
        <f aca="false">FALSE()</f>
        <v>0</v>
      </c>
      <c r="S454" s="27" t="b">
        <f aca="false">FALSE()</f>
        <v>0</v>
      </c>
    </row>
    <row r="455" customFormat="false" ht="15" hidden="false" customHeight="false" outlineLevel="0" collapsed="false">
      <c r="A455" s="25" t="n">
        <v>454</v>
      </c>
      <c r="B455" s="25" t="s">
        <v>1355</v>
      </c>
      <c r="C455" s="25" t="s">
        <v>446</v>
      </c>
      <c r="D455" s="25" t="n">
        <v>20240630</v>
      </c>
      <c r="E455" s="25" t="n">
        <v>28</v>
      </c>
      <c r="F455" s="25" t="n">
        <v>52</v>
      </c>
      <c r="G455" s="25" t="s">
        <v>113</v>
      </c>
      <c r="H455" s="25" t="s">
        <v>25</v>
      </c>
      <c r="I455" s="25" t="s">
        <v>1770</v>
      </c>
      <c r="J455" s="25" t="s">
        <v>269</v>
      </c>
      <c r="K455" s="25" t="n">
        <v>5</v>
      </c>
      <c r="L455" s="25" t="n">
        <v>17637.28</v>
      </c>
      <c r="M455" s="25" t="n">
        <v>20</v>
      </c>
      <c r="N455" s="25" t="n">
        <v>88186.4</v>
      </c>
      <c r="O455" s="25" t="n">
        <v>17637.28</v>
      </c>
      <c r="P455" s="25" t="n">
        <v>70549.12</v>
      </c>
      <c r="Q455" s="27" t="b">
        <f aca="false">FALSE()</f>
        <v>0</v>
      </c>
      <c r="R455" s="27" t="b">
        <f aca="false">FALSE()</f>
        <v>0</v>
      </c>
      <c r="S455" s="27" t="b">
        <f aca="false">FALSE()</f>
        <v>0</v>
      </c>
    </row>
    <row r="456" customFormat="false" ht="15" hidden="false" customHeight="false" outlineLevel="0" collapsed="false">
      <c r="A456" s="25" t="n">
        <v>455</v>
      </c>
      <c r="B456" s="25" t="s">
        <v>1357</v>
      </c>
      <c r="C456" s="25" t="s">
        <v>446</v>
      </c>
      <c r="D456" s="25" t="n">
        <v>20240630</v>
      </c>
      <c r="E456" s="25" t="n">
        <v>28</v>
      </c>
      <c r="F456" s="25" t="n">
        <v>54</v>
      </c>
      <c r="G456" s="25" t="s">
        <v>113</v>
      </c>
      <c r="H456" s="25" t="s">
        <v>25</v>
      </c>
      <c r="I456" s="25" t="s">
        <v>1770</v>
      </c>
      <c r="J456" s="25" t="s">
        <v>269</v>
      </c>
      <c r="K456" s="25" t="n">
        <v>5</v>
      </c>
      <c r="L456" s="25" t="n">
        <v>20481.04</v>
      </c>
      <c r="M456" s="25" t="n">
        <v>20</v>
      </c>
      <c r="N456" s="25" t="n">
        <v>102405.2</v>
      </c>
      <c r="O456" s="25" t="n">
        <v>20481.04</v>
      </c>
      <c r="P456" s="25" t="n">
        <v>81924.16</v>
      </c>
      <c r="Q456" s="27" t="b">
        <f aca="false">FALSE()</f>
        <v>0</v>
      </c>
      <c r="R456" s="27" t="b">
        <f aca="false">FALSE()</f>
        <v>0</v>
      </c>
      <c r="S456" s="27" t="b">
        <f aca="false">FALSE()</f>
        <v>0</v>
      </c>
    </row>
    <row r="457" customFormat="false" ht="15" hidden="false" customHeight="false" outlineLevel="0" collapsed="false">
      <c r="A457" s="25" t="n">
        <v>456</v>
      </c>
      <c r="B457" s="25" t="s">
        <v>1358</v>
      </c>
      <c r="C457" s="25" t="s">
        <v>296</v>
      </c>
      <c r="D457" s="25" t="n">
        <v>20240318</v>
      </c>
      <c r="E457" s="25" t="n">
        <v>88</v>
      </c>
      <c r="F457" s="25" t="n">
        <v>31</v>
      </c>
      <c r="G457" s="25" t="s">
        <v>113</v>
      </c>
      <c r="H457" s="25" t="s">
        <v>25</v>
      </c>
      <c r="I457" s="25" t="s">
        <v>71</v>
      </c>
      <c r="J457" s="25" t="s">
        <v>242</v>
      </c>
      <c r="K457" s="25" t="n">
        <v>2</v>
      </c>
      <c r="L457" s="25" t="n">
        <v>20098.63</v>
      </c>
      <c r="M457" s="25" t="n">
        <v>20</v>
      </c>
      <c r="N457" s="25" t="n">
        <v>40197.26</v>
      </c>
      <c r="O457" s="25" t="n">
        <v>8039.45</v>
      </c>
      <c r="P457" s="25" t="n">
        <v>32157.81</v>
      </c>
      <c r="Q457" s="27" t="b">
        <f aca="false">FALSE()</f>
        <v>0</v>
      </c>
      <c r="R457" s="27" t="b">
        <f aca="false">FALSE()</f>
        <v>0</v>
      </c>
      <c r="S457" s="27" t="b">
        <f aca="false">FALSE()</f>
        <v>0</v>
      </c>
    </row>
    <row r="458" customFormat="false" ht="15" hidden="false" customHeight="false" outlineLevel="0" collapsed="false">
      <c r="A458" s="25" t="n">
        <v>457</v>
      </c>
      <c r="B458" s="25" t="s">
        <v>1359</v>
      </c>
      <c r="C458" s="25" t="s">
        <v>297</v>
      </c>
      <c r="D458" s="25" t="n">
        <v>20240215</v>
      </c>
      <c r="E458" s="25" t="n">
        <v>14</v>
      </c>
      <c r="F458" s="25" t="n">
        <v>35</v>
      </c>
      <c r="G458" s="25" t="s">
        <v>115</v>
      </c>
      <c r="H458" s="25" t="s">
        <v>25</v>
      </c>
      <c r="I458" s="25" t="s">
        <v>86</v>
      </c>
      <c r="J458" s="25" t="s">
        <v>242</v>
      </c>
      <c r="K458" s="25" t="n">
        <v>1</v>
      </c>
      <c r="L458" s="25" t="n">
        <v>1741.05</v>
      </c>
      <c r="M458" s="25" t="n">
        <v>10</v>
      </c>
      <c r="N458" s="25" t="n">
        <v>1741.05</v>
      </c>
      <c r="O458" s="25" t="n">
        <v>174.1</v>
      </c>
      <c r="P458" s="25" t="n">
        <v>1566.95</v>
      </c>
      <c r="Q458" s="27" t="b">
        <f aca="false">FALSE()</f>
        <v>0</v>
      </c>
      <c r="R458" s="27" t="b">
        <f aca="false">FALSE()</f>
        <v>0</v>
      </c>
      <c r="S458" s="27" t="b">
        <f aca="false">FALSE()</f>
        <v>0</v>
      </c>
    </row>
    <row r="459" customFormat="false" ht="15" hidden="false" customHeight="false" outlineLevel="0" collapsed="false">
      <c r="A459" s="25" t="n">
        <v>458</v>
      </c>
      <c r="B459" s="25" t="s">
        <v>1360</v>
      </c>
      <c r="C459" s="25" t="s">
        <v>297</v>
      </c>
      <c r="D459" s="25" t="n">
        <v>20240215</v>
      </c>
      <c r="E459" s="25" t="n">
        <v>14</v>
      </c>
      <c r="F459" s="25" t="n">
        <v>65</v>
      </c>
      <c r="G459" s="25" t="s">
        <v>115</v>
      </c>
      <c r="H459" s="25" t="s">
        <v>25</v>
      </c>
      <c r="I459" s="25" t="s">
        <v>86</v>
      </c>
      <c r="J459" s="25" t="s">
        <v>242</v>
      </c>
      <c r="K459" s="25" t="n">
        <v>4</v>
      </c>
      <c r="L459" s="25" t="n">
        <v>15706.03</v>
      </c>
      <c r="M459" s="25" t="n">
        <v>0</v>
      </c>
      <c r="N459" s="25" t="n">
        <v>62824.12</v>
      </c>
      <c r="O459" s="25" t="n">
        <v>0</v>
      </c>
      <c r="P459" s="25" t="n">
        <v>62824.12</v>
      </c>
      <c r="Q459" s="27" t="b">
        <f aca="false">FALSE()</f>
        <v>0</v>
      </c>
      <c r="R459" s="27" t="b">
        <f aca="false">FALSE()</f>
        <v>0</v>
      </c>
      <c r="S459" s="27" t="b">
        <f aca="false">FALSE()</f>
        <v>0</v>
      </c>
    </row>
    <row r="460" customFormat="false" ht="15" hidden="false" customHeight="false" outlineLevel="0" collapsed="false">
      <c r="A460" s="25" t="n">
        <v>459</v>
      </c>
      <c r="B460" s="25" t="s">
        <v>1361</v>
      </c>
      <c r="C460" s="25" t="s">
        <v>297</v>
      </c>
      <c r="D460" s="25" t="n">
        <v>20240215</v>
      </c>
      <c r="E460" s="25" t="n">
        <v>14</v>
      </c>
      <c r="F460" s="25" t="n">
        <v>34</v>
      </c>
      <c r="G460" s="25" t="s">
        <v>115</v>
      </c>
      <c r="H460" s="25" t="s">
        <v>25</v>
      </c>
      <c r="I460" s="25" t="s">
        <v>86</v>
      </c>
      <c r="J460" s="25" t="s">
        <v>242</v>
      </c>
      <c r="K460" s="25" t="n">
        <v>4</v>
      </c>
      <c r="L460" s="25" t="n">
        <v>11932.31</v>
      </c>
      <c r="M460" s="25" t="n">
        <v>15</v>
      </c>
      <c r="N460" s="25" t="n">
        <v>47729.24</v>
      </c>
      <c r="O460" s="25" t="n">
        <v>7159.39</v>
      </c>
      <c r="P460" s="25" t="n">
        <v>40569.85</v>
      </c>
      <c r="Q460" s="27" t="b">
        <f aca="false">FALSE()</f>
        <v>0</v>
      </c>
      <c r="R460" s="27" t="b">
        <f aca="false">FALSE()</f>
        <v>0</v>
      </c>
      <c r="S460" s="27" t="b">
        <f aca="false">FALSE()</f>
        <v>0</v>
      </c>
    </row>
    <row r="461" customFormat="false" ht="15" hidden="false" customHeight="false" outlineLevel="0" collapsed="false">
      <c r="A461" s="25" t="n">
        <v>460</v>
      </c>
      <c r="B461" s="25" t="s">
        <v>1362</v>
      </c>
      <c r="C461" s="25" t="s">
        <v>297</v>
      </c>
      <c r="D461" s="25" t="n">
        <v>20240215</v>
      </c>
      <c r="E461" s="25" t="n">
        <v>14</v>
      </c>
      <c r="F461" s="25" t="n">
        <v>11</v>
      </c>
      <c r="G461" s="25" t="s">
        <v>115</v>
      </c>
      <c r="H461" s="25" t="s">
        <v>25</v>
      </c>
      <c r="I461" s="25" t="s">
        <v>86</v>
      </c>
      <c r="J461" s="25" t="s">
        <v>242</v>
      </c>
      <c r="K461" s="25" t="n">
        <v>3</v>
      </c>
      <c r="L461" s="25" t="n">
        <v>1179.68</v>
      </c>
      <c r="M461" s="25" t="n">
        <v>15</v>
      </c>
      <c r="N461" s="25" t="n">
        <v>3539.04</v>
      </c>
      <c r="O461" s="25" t="n">
        <v>530.86</v>
      </c>
      <c r="P461" s="25" t="n">
        <v>3008.18</v>
      </c>
      <c r="Q461" s="27" t="b">
        <f aca="false">FALSE()</f>
        <v>0</v>
      </c>
      <c r="R461" s="27" t="b">
        <f aca="false">FALSE()</f>
        <v>0</v>
      </c>
      <c r="S461" s="27" t="b">
        <f aca="false">FALSE()</f>
        <v>0</v>
      </c>
    </row>
    <row r="462" customFormat="false" ht="15" hidden="false" customHeight="false" outlineLevel="0" collapsed="false">
      <c r="A462" s="25" t="n">
        <v>461</v>
      </c>
      <c r="B462" s="25" t="s">
        <v>1363</v>
      </c>
      <c r="C462" s="25" t="s">
        <v>354</v>
      </c>
      <c r="D462" s="25" t="n">
        <v>20241227</v>
      </c>
      <c r="E462" s="25" t="n">
        <v>21</v>
      </c>
      <c r="F462" s="25" t="n">
        <v>37</v>
      </c>
      <c r="G462" s="25" t="s">
        <v>115</v>
      </c>
      <c r="H462" s="25" t="s">
        <v>25</v>
      </c>
      <c r="I462" s="25" t="s">
        <v>94</v>
      </c>
      <c r="J462" s="25" t="s">
        <v>242</v>
      </c>
      <c r="K462" s="25" t="n">
        <v>4</v>
      </c>
      <c r="L462" s="25" t="n">
        <v>16084.14</v>
      </c>
      <c r="M462" s="25" t="n">
        <v>20</v>
      </c>
      <c r="N462" s="25" t="n">
        <v>64336.56</v>
      </c>
      <c r="O462" s="25" t="n">
        <v>12867.31</v>
      </c>
      <c r="P462" s="25" t="n">
        <v>51469.25</v>
      </c>
      <c r="Q462" s="27" t="b">
        <f aca="false">FALSE()</f>
        <v>0</v>
      </c>
      <c r="R462" s="27" t="b">
        <f aca="false">FALSE()</f>
        <v>0</v>
      </c>
      <c r="S462" s="27" t="b">
        <f aca="false">FALSE()</f>
        <v>0</v>
      </c>
    </row>
    <row r="463" customFormat="false" ht="15" hidden="false" customHeight="false" outlineLevel="0" collapsed="false">
      <c r="A463" s="25" t="n">
        <v>462</v>
      </c>
      <c r="B463" s="25" t="s">
        <v>1364</v>
      </c>
      <c r="C463" s="25" t="s">
        <v>354</v>
      </c>
      <c r="D463" s="25" t="n">
        <v>20241227</v>
      </c>
      <c r="E463" s="25" t="n">
        <v>21</v>
      </c>
      <c r="F463" s="25" t="n">
        <v>53</v>
      </c>
      <c r="G463" s="25" t="s">
        <v>115</v>
      </c>
      <c r="H463" s="25" t="s">
        <v>25</v>
      </c>
      <c r="I463" s="25" t="s">
        <v>94</v>
      </c>
      <c r="J463" s="25" t="s">
        <v>242</v>
      </c>
      <c r="K463" s="25" t="n">
        <v>2</v>
      </c>
      <c r="L463" s="25" t="n">
        <v>7313.65</v>
      </c>
      <c r="M463" s="25" t="n">
        <v>15</v>
      </c>
      <c r="N463" s="25" t="n">
        <v>14627.3</v>
      </c>
      <c r="O463" s="25" t="n">
        <v>2194.09</v>
      </c>
      <c r="P463" s="25" t="n">
        <v>12433.21</v>
      </c>
      <c r="Q463" s="27" t="b">
        <f aca="false">FALSE()</f>
        <v>0</v>
      </c>
      <c r="R463" s="27" t="b">
        <f aca="false">FALSE()</f>
        <v>0</v>
      </c>
      <c r="S463" s="27" t="b">
        <f aca="false">FALSE()</f>
        <v>0</v>
      </c>
    </row>
    <row r="464" customFormat="false" ht="15" hidden="false" customHeight="false" outlineLevel="0" collapsed="false">
      <c r="A464" s="25" t="n">
        <v>463</v>
      </c>
      <c r="B464" s="25" t="s">
        <v>1365</v>
      </c>
      <c r="C464" s="25" t="s">
        <v>354</v>
      </c>
      <c r="D464" s="25" t="n">
        <v>20241227</v>
      </c>
      <c r="E464" s="25" t="n">
        <v>21</v>
      </c>
      <c r="F464" s="25" t="n">
        <v>65</v>
      </c>
      <c r="G464" s="25" t="s">
        <v>115</v>
      </c>
      <c r="H464" s="25" t="s">
        <v>25</v>
      </c>
      <c r="I464" s="25" t="s">
        <v>94</v>
      </c>
      <c r="J464" s="25" t="s">
        <v>242</v>
      </c>
      <c r="K464" s="25" t="n">
        <v>4</v>
      </c>
      <c r="L464" s="25" t="n">
        <v>15706.03</v>
      </c>
      <c r="M464" s="25" t="n">
        <v>0</v>
      </c>
      <c r="N464" s="25" t="n">
        <v>62824.12</v>
      </c>
      <c r="O464" s="25" t="n">
        <v>0</v>
      </c>
      <c r="P464" s="25" t="n">
        <v>62824.12</v>
      </c>
      <c r="Q464" s="27" t="b">
        <f aca="false">FALSE()</f>
        <v>0</v>
      </c>
      <c r="R464" s="27" t="b">
        <f aca="false">FALSE()</f>
        <v>0</v>
      </c>
      <c r="S464" s="27" t="b">
        <f aca="false">FALSE()</f>
        <v>0</v>
      </c>
    </row>
    <row r="465" customFormat="false" ht="15" hidden="false" customHeight="false" outlineLevel="0" collapsed="false">
      <c r="A465" s="25" t="n">
        <v>464</v>
      </c>
      <c r="B465" s="25" t="s">
        <v>1366</v>
      </c>
      <c r="C465" s="25" t="s">
        <v>354</v>
      </c>
      <c r="D465" s="25" t="n">
        <v>20241227</v>
      </c>
      <c r="E465" s="25" t="n">
        <v>21</v>
      </c>
      <c r="F465" s="25" t="n">
        <v>19</v>
      </c>
      <c r="G465" s="25" t="s">
        <v>115</v>
      </c>
      <c r="H465" s="25" t="s">
        <v>25</v>
      </c>
      <c r="I465" s="25" t="s">
        <v>94</v>
      </c>
      <c r="J465" s="25" t="s">
        <v>242</v>
      </c>
      <c r="K465" s="25" t="n">
        <v>1</v>
      </c>
      <c r="L465" s="25" t="n">
        <v>7877.61</v>
      </c>
      <c r="M465" s="25" t="n">
        <v>20</v>
      </c>
      <c r="N465" s="25" t="n">
        <v>7877.61</v>
      </c>
      <c r="O465" s="25" t="n">
        <v>1575.52</v>
      </c>
      <c r="P465" s="25" t="n">
        <v>6302.09</v>
      </c>
      <c r="Q465" s="27" t="b">
        <f aca="false">FALSE()</f>
        <v>0</v>
      </c>
      <c r="R465" s="27" t="b">
        <f aca="false">FALSE()</f>
        <v>0</v>
      </c>
      <c r="S465" s="27" t="b">
        <f aca="false">FALSE()</f>
        <v>0</v>
      </c>
    </row>
    <row r="466" customFormat="false" ht="15" hidden="false" customHeight="false" outlineLevel="0" collapsed="false">
      <c r="A466" s="25" t="n">
        <v>465</v>
      </c>
      <c r="B466" s="25" t="s">
        <v>1367</v>
      </c>
      <c r="C466" s="25" t="s">
        <v>382</v>
      </c>
      <c r="D466" s="25" t="n">
        <v>20250120</v>
      </c>
      <c r="E466" s="25" t="n">
        <v>149</v>
      </c>
      <c r="F466" s="25" t="n">
        <v>55</v>
      </c>
      <c r="G466" s="25" t="s">
        <v>114</v>
      </c>
      <c r="H466" s="25" t="s">
        <v>2271</v>
      </c>
      <c r="I466" s="25" t="s">
        <v>75</v>
      </c>
      <c r="J466" s="25" t="s">
        <v>242</v>
      </c>
      <c r="K466" s="25" t="n">
        <v>2</v>
      </c>
      <c r="L466" s="25" t="n">
        <v>5471.28</v>
      </c>
      <c r="M466" s="25" t="n">
        <v>15</v>
      </c>
      <c r="N466" s="25" t="n">
        <v>10942.56</v>
      </c>
      <c r="O466" s="25" t="n">
        <v>1641.38</v>
      </c>
      <c r="P466" s="25" t="n">
        <v>9301.18</v>
      </c>
      <c r="Q466" s="27" t="b">
        <f aca="false">FALSE()</f>
        <v>0</v>
      </c>
      <c r="R466" s="27" t="b">
        <f aca="false">FALSE()</f>
        <v>0</v>
      </c>
      <c r="S466" s="27" t="b">
        <f aca="false">FALSE()</f>
        <v>0</v>
      </c>
    </row>
    <row r="467" customFormat="false" ht="15" hidden="false" customHeight="false" outlineLevel="0" collapsed="false">
      <c r="A467" s="25" t="n">
        <v>466</v>
      </c>
      <c r="B467" s="25" t="s">
        <v>1368</v>
      </c>
      <c r="C467" s="25" t="s">
        <v>562</v>
      </c>
      <c r="D467" s="25" t="n">
        <v>20240611</v>
      </c>
      <c r="E467" s="25" t="n">
        <v>148</v>
      </c>
      <c r="F467" s="25" t="n">
        <v>62</v>
      </c>
      <c r="G467" s="25" t="s">
        <v>114</v>
      </c>
      <c r="H467" s="25" t="s">
        <v>2267</v>
      </c>
      <c r="I467" s="25" t="s">
        <v>71</v>
      </c>
      <c r="J467" s="25" t="s">
        <v>242</v>
      </c>
      <c r="K467" s="25" t="n">
        <v>5</v>
      </c>
      <c r="L467" s="25" t="n">
        <v>8493.72</v>
      </c>
      <c r="M467" s="25" t="n">
        <v>5</v>
      </c>
      <c r="N467" s="25" t="n">
        <v>42468.6</v>
      </c>
      <c r="O467" s="25" t="n">
        <v>2123.43</v>
      </c>
      <c r="P467" s="25" t="n">
        <v>40345.17</v>
      </c>
      <c r="Q467" s="27" t="b">
        <f aca="false">FALSE()</f>
        <v>0</v>
      </c>
      <c r="R467" s="27" t="b">
        <f aca="false">FALSE()</f>
        <v>0</v>
      </c>
      <c r="S467" s="27" t="b">
        <f aca="false">FALSE()</f>
        <v>0</v>
      </c>
    </row>
    <row r="468" customFormat="false" ht="15" hidden="false" customHeight="false" outlineLevel="0" collapsed="false">
      <c r="A468" s="25" t="n">
        <v>467</v>
      </c>
      <c r="B468" s="25" t="s">
        <v>1369</v>
      </c>
      <c r="C468" s="25" t="s">
        <v>562</v>
      </c>
      <c r="D468" s="25" t="n">
        <v>20240611</v>
      </c>
      <c r="E468" s="25" t="n">
        <v>148</v>
      </c>
      <c r="F468" s="25" t="n">
        <v>5</v>
      </c>
      <c r="G468" s="25" t="s">
        <v>114</v>
      </c>
      <c r="H468" s="25" t="s">
        <v>2267</v>
      </c>
      <c r="I468" s="25" t="s">
        <v>71</v>
      </c>
      <c r="J468" s="25" t="s">
        <v>242</v>
      </c>
      <c r="K468" s="25" t="n">
        <v>1</v>
      </c>
      <c r="L468" s="25" t="n">
        <v>17935.95</v>
      </c>
      <c r="M468" s="25" t="n">
        <v>5</v>
      </c>
      <c r="N468" s="25" t="n">
        <v>17935.95</v>
      </c>
      <c r="O468" s="25" t="n">
        <v>896.8</v>
      </c>
      <c r="P468" s="25" t="n">
        <v>17039.15</v>
      </c>
      <c r="Q468" s="27" t="b">
        <f aca="false">FALSE()</f>
        <v>0</v>
      </c>
      <c r="R468" s="27" t="b">
        <f aca="false">FALSE()</f>
        <v>0</v>
      </c>
      <c r="S468" s="27" t="b">
        <f aca="false">FALSE()</f>
        <v>0</v>
      </c>
    </row>
    <row r="469" customFormat="false" ht="15" hidden="false" customHeight="false" outlineLevel="0" collapsed="false">
      <c r="A469" s="25" t="n">
        <v>468</v>
      </c>
      <c r="B469" s="25" t="s">
        <v>1370</v>
      </c>
      <c r="C469" s="25" t="s">
        <v>562</v>
      </c>
      <c r="D469" s="25" t="n">
        <v>20240611</v>
      </c>
      <c r="E469" s="25" t="n">
        <v>148</v>
      </c>
      <c r="F469" s="25" t="n">
        <v>66</v>
      </c>
      <c r="G469" s="25" t="s">
        <v>114</v>
      </c>
      <c r="H469" s="25" t="s">
        <v>2267</v>
      </c>
      <c r="I469" s="25" t="s">
        <v>71</v>
      </c>
      <c r="J469" s="25" t="s">
        <v>242</v>
      </c>
      <c r="K469" s="25" t="n">
        <v>3</v>
      </c>
      <c r="L469" s="25" t="n">
        <v>19639.31</v>
      </c>
      <c r="M469" s="25" t="n">
        <v>5</v>
      </c>
      <c r="N469" s="25" t="n">
        <v>58917.93</v>
      </c>
      <c r="O469" s="25" t="n">
        <v>2945.9</v>
      </c>
      <c r="P469" s="25" t="n">
        <v>55972.03</v>
      </c>
      <c r="Q469" s="27" t="b">
        <f aca="false">FALSE()</f>
        <v>0</v>
      </c>
      <c r="R469" s="27" t="b">
        <f aca="false">FALSE()</f>
        <v>0</v>
      </c>
      <c r="S469" s="27" t="b">
        <f aca="false">FALSE()</f>
        <v>0</v>
      </c>
    </row>
    <row r="470" customFormat="false" ht="15" hidden="false" customHeight="false" outlineLevel="0" collapsed="false">
      <c r="A470" s="25" t="n">
        <v>469</v>
      </c>
      <c r="B470" s="25" t="s">
        <v>1371</v>
      </c>
      <c r="C470" s="25" t="s">
        <v>562</v>
      </c>
      <c r="D470" s="25" t="n">
        <v>20240611</v>
      </c>
      <c r="E470" s="25" t="n">
        <v>148</v>
      </c>
      <c r="F470" s="25" t="n">
        <v>25</v>
      </c>
      <c r="G470" s="25" t="s">
        <v>114</v>
      </c>
      <c r="H470" s="25" t="s">
        <v>2267</v>
      </c>
      <c r="I470" s="25" t="s">
        <v>71</v>
      </c>
      <c r="J470" s="25" t="s">
        <v>242</v>
      </c>
      <c r="K470" s="25" t="n">
        <v>2</v>
      </c>
      <c r="L470" s="25" t="n">
        <v>19632.52</v>
      </c>
      <c r="M470" s="25" t="n">
        <v>0</v>
      </c>
      <c r="N470" s="25" t="n">
        <v>39265.04</v>
      </c>
      <c r="O470" s="25" t="n">
        <v>0</v>
      </c>
      <c r="P470" s="25" t="n">
        <v>39265.04</v>
      </c>
      <c r="Q470" s="27" t="b">
        <f aca="false">FALSE()</f>
        <v>0</v>
      </c>
      <c r="R470" s="27" t="b">
        <f aca="false">FALSE()</f>
        <v>0</v>
      </c>
      <c r="S470" s="27" t="b">
        <f aca="false">FALSE()</f>
        <v>0</v>
      </c>
    </row>
    <row r="471" customFormat="false" ht="15" hidden="false" customHeight="false" outlineLevel="0" collapsed="false">
      <c r="A471" s="25" t="n">
        <v>470</v>
      </c>
      <c r="B471" s="25" t="s">
        <v>1372</v>
      </c>
      <c r="C471" s="25" t="s">
        <v>502</v>
      </c>
      <c r="D471" s="25" t="n">
        <v>20240901</v>
      </c>
      <c r="E471" s="25" t="n">
        <v>37</v>
      </c>
      <c r="F471" s="25" t="n">
        <v>58</v>
      </c>
      <c r="G471" s="25" t="s">
        <v>114</v>
      </c>
      <c r="H471" s="25" t="s">
        <v>25</v>
      </c>
      <c r="I471" s="25" t="s">
        <v>75</v>
      </c>
      <c r="J471" s="25" t="s">
        <v>269</v>
      </c>
      <c r="K471" s="25" t="n">
        <v>3</v>
      </c>
      <c r="L471" s="25" t="n">
        <v>22572.25</v>
      </c>
      <c r="M471" s="25" t="n">
        <v>5</v>
      </c>
      <c r="N471" s="25" t="n">
        <v>67716.75</v>
      </c>
      <c r="O471" s="25" t="n">
        <v>3385.84</v>
      </c>
      <c r="P471" s="25" t="n">
        <v>64330.91</v>
      </c>
      <c r="Q471" s="27" t="b">
        <f aca="false">TRUE()</f>
        <v>1</v>
      </c>
      <c r="R471" s="27" t="b">
        <f aca="false">FALSE()</f>
        <v>0</v>
      </c>
      <c r="S471" s="27" t="b">
        <f aca="false">FALSE()</f>
        <v>0</v>
      </c>
    </row>
    <row r="472" customFormat="false" ht="15" hidden="false" customHeight="false" outlineLevel="0" collapsed="false">
      <c r="A472" s="25" t="n">
        <v>471</v>
      </c>
      <c r="B472" s="25" t="s">
        <v>1373</v>
      </c>
      <c r="C472" s="25" t="s">
        <v>502</v>
      </c>
      <c r="D472" s="25" t="n">
        <v>20240901</v>
      </c>
      <c r="E472" s="25" t="n">
        <v>37</v>
      </c>
      <c r="F472" s="25" t="n">
        <v>56</v>
      </c>
      <c r="G472" s="25" t="s">
        <v>114</v>
      </c>
      <c r="H472" s="25" t="s">
        <v>25</v>
      </c>
      <c r="I472" s="25" t="s">
        <v>75</v>
      </c>
      <c r="J472" s="25" t="s">
        <v>269</v>
      </c>
      <c r="K472" s="25" t="n">
        <v>4</v>
      </c>
      <c r="L472" s="25" t="n">
        <v>16535.66</v>
      </c>
      <c r="M472" s="25" t="n">
        <v>0</v>
      </c>
      <c r="N472" s="25" t="n">
        <v>66142.64</v>
      </c>
      <c r="O472" s="25" t="n">
        <v>0</v>
      </c>
      <c r="P472" s="25" t="n">
        <v>66142.64</v>
      </c>
      <c r="Q472" s="27" t="b">
        <f aca="false">FALSE()</f>
        <v>0</v>
      </c>
      <c r="R472" s="27" t="b">
        <f aca="false">FALSE()</f>
        <v>0</v>
      </c>
      <c r="S472" s="27" t="b">
        <f aca="false">FALSE()</f>
        <v>0</v>
      </c>
    </row>
    <row r="473" customFormat="false" ht="15" hidden="false" customHeight="false" outlineLevel="0" collapsed="false">
      <c r="A473" s="25" t="n">
        <v>472</v>
      </c>
      <c r="B473" s="25" t="s">
        <v>1374</v>
      </c>
      <c r="C473" s="25" t="s">
        <v>502</v>
      </c>
      <c r="D473" s="25" t="n">
        <v>20240901</v>
      </c>
      <c r="E473" s="25" t="n">
        <v>37</v>
      </c>
      <c r="F473" s="25" t="n">
        <v>20</v>
      </c>
      <c r="G473" s="25" t="s">
        <v>114</v>
      </c>
      <c r="H473" s="25" t="s">
        <v>25</v>
      </c>
      <c r="I473" s="25" t="s">
        <v>75</v>
      </c>
      <c r="J473" s="25" t="s">
        <v>269</v>
      </c>
      <c r="K473" s="25" t="n">
        <v>1</v>
      </c>
      <c r="L473" s="25" t="n">
        <v>3634.57</v>
      </c>
      <c r="M473" s="25" t="n">
        <v>0</v>
      </c>
      <c r="N473" s="25" t="n">
        <v>3634.57</v>
      </c>
      <c r="O473" s="25" t="n">
        <v>0</v>
      </c>
      <c r="P473" s="25" t="n">
        <v>3634.57</v>
      </c>
      <c r="Q473" s="27" t="b">
        <f aca="false">FALSE()</f>
        <v>0</v>
      </c>
      <c r="R473" s="27" t="b">
        <f aca="false">FALSE()</f>
        <v>0</v>
      </c>
      <c r="S473" s="27" t="b">
        <f aca="false">FALSE()</f>
        <v>0</v>
      </c>
    </row>
    <row r="474" customFormat="false" ht="15" hidden="false" customHeight="false" outlineLevel="0" collapsed="false">
      <c r="A474" s="25" t="n">
        <v>473</v>
      </c>
      <c r="B474" s="25" t="s">
        <v>1375</v>
      </c>
      <c r="C474" s="25" t="s">
        <v>502</v>
      </c>
      <c r="D474" s="25" t="n">
        <v>20240901</v>
      </c>
      <c r="E474" s="25" t="n">
        <v>37</v>
      </c>
      <c r="F474" s="25" t="n">
        <v>53</v>
      </c>
      <c r="G474" s="25" t="s">
        <v>114</v>
      </c>
      <c r="H474" s="25" t="s">
        <v>25</v>
      </c>
      <c r="I474" s="25" t="s">
        <v>75</v>
      </c>
      <c r="J474" s="25" t="s">
        <v>269</v>
      </c>
      <c r="K474" s="25" t="n">
        <v>3</v>
      </c>
      <c r="L474" s="25" t="n">
        <v>7313.65</v>
      </c>
      <c r="M474" s="25" t="n">
        <v>15</v>
      </c>
      <c r="N474" s="25" t="n">
        <v>21940.95</v>
      </c>
      <c r="O474" s="25" t="n">
        <v>3291.14</v>
      </c>
      <c r="P474" s="25" t="n">
        <v>18649.81</v>
      </c>
      <c r="Q474" s="27" t="b">
        <f aca="false">FALSE()</f>
        <v>0</v>
      </c>
      <c r="R474" s="27" t="b">
        <f aca="false">FALSE()</f>
        <v>0</v>
      </c>
      <c r="S474" s="27" t="b">
        <f aca="false">FALSE()</f>
        <v>0</v>
      </c>
    </row>
    <row r="475" customFormat="false" ht="15" hidden="false" customHeight="false" outlineLevel="0" collapsed="false">
      <c r="A475" s="25" t="n">
        <v>474</v>
      </c>
      <c r="B475" s="25" t="s">
        <v>1376</v>
      </c>
      <c r="C475" s="25" t="s">
        <v>291</v>
      </c>
      <c r="D475" s="25" t="n">
        <v>20251005</v>
      </c>
      <c r="E475" s="25" t="n">
        <v>136</v>
      </c>
      <c r="F475" s="25" t="n">
        <v>27</v>
      </c>
      <c r="G475" s="25" t="s">
        <v>114</v>
      </c>
      <c r="H475" s="25" t="s">
        <v>25</v>
      </c>
      <c r="I475" s="25" t="s">
        <v>94</v>
      </c>
      <c r="J475" s="25" t="s">
        <v>250</v>
      </c>
      <c r="K475" s="25" t="n">
        <v>4</v>
      </c>
      <c r="L475" s="25" t="n">
        <v>20550.39</v>
      </c>
      <c r="M475" s="25" t="n">
        <v>20</v>
      </c>
      <c r="N475" s="25" t="n">
        <v>82201.56</v>
      </c>
      <c r="O475" s="25" t="n">
        <v>16440.31</v>
      </c>
      <c r="P475" s="25" t="n">
        <v>65761.25</v>
      </c>
      <c r="Q475" s="27" t="b">
        <f aca="false">FALSE()</f>
        <v>0</v>
      </c>
      <c r="R475" s="27" t="b">
        <f aca="false">FALSE()</f>
        <v>0</v>
      </c>
      <c r="S475" s="27" t="b">
        <f aca="false">FALSE()</f>
        <v>0</v>
      </c>
    </row>
    <row r="476" customFormat="false" ht="15" hidden="false" customHeight="false" outlineLevel="0" collapsed="false">
      <c r="A476" s="25" t="n">
        <v>475</v>
      </c>
      <c r="B476" s="25" t="s">
        <v>1377</v>
      </c>
      <c r="C476" s="25" t="s">
        <v>291</v>
      </c>
      <c r="D476" s="25" t="n">
        <v>20251005</v>
      </c>
      <c r="E476" s="25" t="n">
        <v>136</v>
      </c>
      <c r="F476" s="25" t="n">
        <v>65</v>
      </c>
      <c r="G476" s="25" t="s">
        <v>114</v>
      </c>
      <c r="H476" s="25" t="s">
        <v>25</v>
      </c>
      <c r="I476" s="25" t="s">
        <v>94</v>
      </c>
      <c r="J476" s="25" t="s">
        <v>250</v>
      </c>
      <c r="K476" s="25" t="n">
        <v>5</v>
      </c>
      <c r="L476" s="25" t="n">
        <v>15706.03</v>
      </c>
      <c r="M476" s="25" t="n">
        <v>20</v>
      </c>
      <c r="N476" s="25" t="n">
        <v>78530.15</v>
      </c>
      <c r="O476" s="25" t="n">
        <v>15706.03</v>
      </c>
      <c r="P476" s="25" t="n">
        <v>62824.12</v>
      </c>
      <c r="Q476" s="27" t="b">
        <f aca="false">FALSE()</f>
        <v>0</v>
      </c>
      <c r="R476" s="27" t="b">
        <f aca="false">FALSE()</f>
        <v>0</v>
      </c>
      <c r="S476" s="27" t="b">
        <f aca="false">FALSE()</f>
        <v>0</v>
      </c>
    </row>
    <row r="477" customFormat="false" ht="15" hidden="false" customHeight="false" outlineLevel="0" collapsed="false">
      <c r="A477" s="25" t="n">
        <v>476</v>
      </c>
      <c r="B477" s="25" t="s">
        <v>1378</v>
      </c>
      <c r="C477" s="25" t="s">
        <v>291</v>
      </c>
      <c r="D477" s="25" t="n">
        <v>20251005</v>
      </c>
      <c r="E477" s="25" t="n">
        <v>136</v>
      </c>
      <c r="F477" s="25" t="n">
        <v>55</v>
      </c>
      <c r="G477" s="25" t="s">
        <v>114</v>
      </c>
      <c r="H477" s="25" t="s">
        <v>25</v>
      </c>
      <c r="I477" s="25" t="s">
        <v>94</v>
      </c>
      <c r="J477" s="25" t="s">
        <v>250</v>
      </c>
      <c r="K477" s="25" t="n">
        <v>4</v>
      </c>
      <c r="L477" s="25" t="n">
        <v>5471.28</v>
      </c>
      <c r="M477" s="25" t="n">
        <v>0</v>
      </c>
      <c r="N477" s="25" t="n">
        <v>21885.12</v>
      </c>
      <c r="O477" s="25" t="n">
        <v>0</v>
      </c>
      <c r="P477" s="25" t="n">
        <v>21885.12</v>
      </c>
      <c r="Q477" s="27" t="b">
        <f aca="false">FALSE()</f>
        <v>0</v>
      </c>
      <c r="R477" s="27" t="b">
        <f aca="false">FALSE()</f>
        <v>0</v>
      </c>
      <c r="S477" s="27" t="b">
        <f aca="false">FALSE()</f>
        <v>0</v>
      </c>
    </row>
    <row r="478" customFormat="false" ht="15" hidden="false" customHeight="false" outlineLevel="0" collapsed="false">
      <c r="A478" s="25" t="n">
        <v>477</v>
      </c>
      <c r="B478" s="25" t="s">
        <v>1379</v>
      </c>
      <c r="C478" s="25" t="s">
        <v>291</v>
      </c>
      <c r="D478" s="25" t="n">
        <v>20251005</v>
      </c>
      <c r="E478" s="25" t="n">
        <v>136</v>
      </c>
      <c r="F478" s="25" t="n">
        <v>57</v>
      </c>
      <c r="G478" s="25" t="s">
        <v>114</v>
      </c>
      <c r="H478" s="25" t="s">
        <v>25</v>
      </c>
      <c r="I478" s="25" t="s">
        <v>94</v>
      </c>
      <c r="J478" s="25" t="s">
        <v>250</v>
      </c>
      <c r="K478" s="25" t="n">
        <v>5</v>
      </c>
      <c r="L478" s="25" t="n">
        <v>11518.86</v>
      </c>
      <c r="M478" s="25" t="n">
        <v>20</v>
      </c>
      <c r="N478" s="25" t="n">
        <v>57594.3</v>
      </c>
      <c r="O478" s="25" t="n">
        <v>11518.86</v>
      </c>
      <c r="P478" s="25" t="n">
        <v>46075.44</v>
      </c>
      <c r="Q478" s="27" t="b">
        <f aca="false">FALSE()</f>
        <v>0</v>
      </c>
      <c r="R478" s="27" t="b">
        <f aca="false">FALSE()</f>
        <v>0</v>
      </c>
      <c r="S478" s="27" t="b">
        <f aca="false">FALSE()</f>
        <v>0</v>
      </c>
    </row>
    <row r="479" customFormat="false" ht="15" hidden="false" customHeight="false" outlineLevel="0" collapsed="false">
      <c r="A479" s="25" t="n">
        <v>478</v>
      </c>
      <c r="B479" s="25" t="s">
        <v>1380</v>
      </c>
      <c r="C479" s="25" t="s">
        <v>443</v>
      </c>
      <c r="D479" s="25" t="n">
        <v>20240713</v>
      </c>
      <c r="E479" s="25" t="n">
        <v>13</v>
      </c>
      <c r="F479" s="25" t="n">
        <v>41</v>
      </c>
      <c r="G479" s="25" t="s">
        <v>115</v>
      </c>
      <c r="H479" s="25" t="s">
        <v>25</v>
      </c>
      <c r="I479" s="25" t="s">
        <v>83</v>
      </c>
      <c r="J479" s="25" t="s">
        <v>242</v>
      </c>
      <c r="K479" s="25" t="n">
        <v>4</v>
      </c>
      <c r="L479" s="25" t="n">
        <v>11992.92</v>
      </c>
      <c r="M479" s="25" t="n">
        <v>5</v>
      </c>
      <c r="N479" s="25" t="n">
        <v>47971.68</v>
      </c>
      <c r="O479" s="25" t="n">
        <v>2398.58</v>
      </c>
      <c r="P479" s="25" t="n">
        <v>45573.1</v>
      </c>
      <c r="Q479" s="27" t="b">
        <f aca="false">FALSE()</f>
        <v>0</v>
      </c>
      <c r="R479" s="27" t="b">
        <f aca="false">FALSE()</f>
        <v>0</v>
      </c>
      <c r="S479" s="27" t="b">
        <f aca="false">FALSE()</f>
        <v>0</v>
      </c>
    </row>
    <row r="480" customFormat="false" ht="15" hidden="false" customHeight="false" outlineLevel="0" collapsed="false">
      <c r="A480" s="25" t="n">
        <v>479</v>
      </c>
      <c r="B480" s="25" t="s">
        <v>1381</v>
      </c>
      <c r="C480" s="25" t="s">
        <v>443</v>
      </c>
      <c r="D480" s="25" t="n">
        <v>20240713</v>
      </c>
      <c r="E480" s="25" t="n">
        <v>13</v>
      </c>
      <c r="F480" s="25" t="n">
        <v>67</v>
      </c>
      <c r="G480" s="25" t="s">
        <v>115</v>
      </c>
      <c r="H480" s="25" t="s">
        <v>25</v>
      </c>
      <c r="I480" s="25" t="s">
        <v>83</v>
      </c>
      <c r="J480" s="25" t="s">
        <v>242</v>
      </c>
      <c r="K480" s="25" t="n">
        <v>4</v>
      </c>
      <c r="L480" s="25" t="n">
        <v>14595.44</v>
      </c>
      <c r="M480" s="25" t="n">
        <v>20</v>
      </c>
      <c r="N480" s="25" t="n">
        <v>58381.76</v>
      </c>
      <c r="O480" s="25" t="n">
        <v>11676.35</v>
      </c>
      <c r="P480" s="25" t="n">
        <v>46705.41</v>
      </c>
      <c r="Q480" s="27" t="b">
        <f aca="false">FALSE()</f>
        <v>0</v>
      </c>
      <c r="R480" s="27" t="b">
        <f aca="false">FALSE()</f>
        <v>0</v>
      </c>
      <c r="S480" s="27" t="b">
        <f aca="false">FALSE()</f>
        <v>0</v>
      </c>
    </row>
    <row r="481" customFormat="false" ht="15" hidden="false" customHeight="false" outlineLevel="0" collapsed="false">
      <c r="A481" s="25" t="n">
        <v>480</v>
      </c>
      <c r="B481" s="25" t="s">
        <v>1382</v>
      </c>
      <c r="C481" s="25" t="s">
        <v>443</v>
      </c>
      <c r="D481" s="25" t="n">
        <v>20240713</v>
      </c>
      <c r="E481" s="25" t="n">
        <v>13</v>
      </c>
      <c r="F481" s="25" t="n">
        <v>-1</v>
      </c>
      <c r="G481" s="25" t="s">
        <v>115</v>
      </c>
      <c r="H481" s="25" t="s">
        <v>25</v>
      </c>
      <c r="I481" s="25" t="s">
        <v>83</v>
      </c>
      <c r="J481" s="25" t="s">
        <v>242</v>
      </c>
      <c r="K481" s="25" t="n">
        <v>2</v>
      </c>
      <c r="L481" s="25" t="n">
        <v>11175.62</v>
      </c>
      <c r="M481" s="25" t="n">
        <v>15</v>
      </c>
      <c r="N481" s="25" t="n">
        <v>22351.24</v>
      </c>
      <c r="O481" s="25" t="n">
        <v>3352.69</v>
      </c>
      <c r="P481" s="25" t="n">
        <v>18998.55</v>
      </c>
      <c r="Q481" s="27" t="b">
        <f aca="false">FALSE()</f>
        <v>0</v>
      </c>
      <c r="R481" s="27" t="b">
        <f aca="false">FALSE()</f>
        <v>0</v>
      </c>
      <c r="S481" s="27" t="b">
        <f aca="false">FALSE()</f>
        <v>0</v>
      </c>
    </row>
    <row r="482" customFormat="false" ht="15" hidden="false" customHeight="false" outlineLevel="0" collapsed="false">
      <c r="A482" s="25" t="n">
        <v>481</v>
      </c>
      <c r="B482" s="25" t="s">
        <v>1383</v>
      </c>
      <c r="C482" s="25" t="s">
        <v>443</v>
      </c>
      <c r="D482" s="25" t="n">
        <v>20240713</v>
      </c>
      <c r="E482" s="25" t="n">
        <v>13</v>
      </c>
      <c r="F482" s="25" t="n">
        <v>6</v>
      </c>
      <c r="G482" s="25" t="s">
        <v>115</v>
      </c>
      <c r="H482" s="25" t="s">
        <v>25</v>
      </c>
      <c r="I482" s="25" t="s">
        <v>83</v>
      </c>
      <c r="J482" s="25" t="s">
        <v>242</v>
      </c>
      <c r="K482" s="25" t="n">
        <v>3</v>
      </c>
      <c r="L482" s="25" t="n">
        <v>2863.09</v>
      </c>
      <c r="M482" s="25" t="n">
        <v>15</v>
      </c>
      <c r="N482" s="25" t="n">
        <v>8589.27</v>
      </c>
      <c r="O482" s="25" t="n">
        <v>1288.39</v>
      </c>
      <c r="P482" s="25" t="n">
        <v>7300.88</v>
      </c>
      <c r="Q482" s="27" t="b">
        <f aca="false">FALSE()</f>
        <v>0</v>
      </c>
      <c r="R482" s="27" t="b">
        <f aca="false">FALSE()</f>
        <v>0</v>
      </c>
      <c r="S482" s="27" t="b">
        <f aca="false">FALSE()</f>
        <v>0</v>
      </c>
    </row>
    <row r="483" customFormat="false" ht="15" hidden="false" customHeight="false" outlineLevel="0" collapsed="false">
      <c r="A483" s="25" t="n">
        <v>482</v>
      </c>
      <c r="B483" s="25" t="s">
        <v>1384</v>
      </c>
      <c r="C483" s="25" t="s">
        <v>542</v>
      </c>
      <c r="D483" s="25" t="n">
        <v>20250217</v>
      </c>
      <c r="E483" s="25" t="n">
        <v>96</v>
      </c>
      <c r="F483" s="25" t="n">
        <v>29</v>
      </c>
      <c r="G483" s="25" t="s">
        <v>113</v>
      </c>
      <c r="H483" s="25" t="s">
        <v>25</v>
      </c>
      <c r="I483" s="25" t="s">
        <v>75</v>
      </c>
      <c r="J483" s="25" t="s">
        <v>242</v>
      </c>
      <c r="K483" s="25" t="n">
        <v>5</v>
      </c>
      <c r="L483" s="25" t="n">
        <v>7855.79</v>
      </c>
      <c r="M483" s="25" t="n">
        <v>15</v>
      </c>
      <c r="N483" s="25" t="n">
        <v>39278.95</v>
      </c>
      <c r="O483" s="25" t="n">
        <v>5891.84</v>
      </c>
      <c r="P483" s="25" t="n">
        <v>33387.11</v>
      </c>
      <c r="Q483" s="27" t="b">
        <f aca="false">FALSE()</f>
        <v>0</v>
      </c>
      <c r="R483" s="27" t="b">
        <f aca="false">FALSE()</f>
        <v>0</v>
      </c>
      <c r="S483" s="27" t="b">
        <f aca="false">FALSE()</f>
        <v>0</v>
      </c>
    </row>
    <row r="484" customFormat="false" ht="15" hidden="false" customHeight="false" outlineLevel="0" collapsed="false">
      <c r="A484" s="25" t="n">
        <v>483</v>
      </c>
      <c r="B484" s="25" t="s">
        <v>1386</v>
      </c>
      <c r="C484" s="25" t="s">
        <v>312</v>
      </c>
      <c r="D484" s="25" t="n">
        <v>20250703</v>
      </c>
      <c r="E484" s="25" t="n">
        <v>64</v>
      </c>
      <c r="F484" s="25" t="n">
        <v>11</v>
      </c>
      <c r="G484" s="25" t="s">
        <v>114</v>
      </c>
      <c r="H484" s="25" t="s">
        <v>2270</v>
      </c>
      <c r="I484" s="25" t="s">
        <v>1743</v>
      </c>
      <c r="J484" s="25" t="s">
        <v>250</v>
      </c>
      <c r="K484" s="25" t="n">
        <v>4</v>
      </c>
      <c r="L484" s="25" t="n">
        <v>1179.68</v>
      </c>
      <c r="M484" s="25" t="n">
        <v>15</v>
      </c>
      <c r="N484" s="25" t="n">
        <v>4718.72</v>
      </c>
      <c r="O484" s="25" t="n">
        <v>707.81</v>
      </c>
      <c r="P484" s="25" t="n">
        <v>4010.91</v>
      </c>
      <c r="Q484" s="27" t="b">
        <f aca="false">FALSE()</f>
        <v>0</v>
      </c>
      <c r="R484" s="27" t="b">
        <f aca="false">FALSE()</f>
        <v>0</v>
      </c>
      <c r="S484" s="27" t="b">
        <f aca="false">FALSE()</f>
        <v>0</v>
      </c>
    </row>
    <row r="485" customFormat="false" ht="15" hidden="false" customHeight="false" outlineLevel="0" collapsed="false">
      <c r="A485" s="25" t="n">
        <v>484</v>
      </c>
      <c r="B485" s="25" t="s">
        <v>1387</v>
      </c>
      <c r="C485" s="25" t="s">
        <v>484</v>
      </c>
      <c r="D485" s="25" t="n">
        <v>20251014</v>
      </c>
      <c r="E485" s="25" t="n">
        <v>66</v>
      </c>
      <c r="F485" s="25" t="n">
        <v>20</v>
      </c>
      <c r="G485" s="25" t="s">
        <v>115</v>
      </c>
      <c r="H485" s="25" t="s">
        <v>25</v>
      </c>
      <c r="I485" s="25" t="s">
        <v>1743</v>
      </c>
      <c r="J485" s="25" t="s">
        <v>242</v>
      </c>
      <c r="K485" s="25" t="n">
        <v>5</v>
      </c>
      <c r="L485" s="25" t="n">
        <v>3634.57</v>
      </c>
      <c r="M485" s="25" t="n">
        <v>0</v>
      </c>
      <c r="N485" s="25" t="n">
        <v>18172.85</v>
      </c>
      <c r="O485" s="25" t="n">
        <v>0</v>
      </c>
      <c r="P485" s="25" t="n">
        <v>18172.85</v>
      </c>
      <c r="Q485" s="27" t="b">
        <f aca="false">FALSE()</f>
        <v>0</v>
      </c>
      <c r="R485" s="27" t="b">
        <f aca="false">FALSE()</f>
        <v>0</v>
      </c>
      <c r="S485" s="27" t="b">
        <f aca="false">FALSE()</f>
        <v>0</v>
      </c>
    </row>
    <row r="486" customFormat="false" ht="15" hidden="false" customHeight="false" outlineLevel="0" collapsed="false">
      <c r="A486" s="25" t="n">
        <v>485</v>
      </c>
      <c r="B486" s="25" t="s">
        <v>1388</v>
      </c>
      <c r="C486" s="25" t="s">
        <v>256</v>
      </c>
      <c r="D486" s="25" t="n">
        <v>20240215</v>
      </c>
      <c r="E486" s="25" t="n">
        <v>122</v>
      </c>
      <c r="F486" s="25" t="n">
        <v>24</v>
      </c>
      <c r="G486" s="25" t="s">
        <v>114</v>
      </c>
      <c r="H486" s="25" t="s">
        <v>25</v>
      </c>
      <c r="I486" s="25" t="s">
        <v>71</v>
      </c>
      <c r="J486" s="25" t="s">
        <v>242</v>
      </c>
      <c r="K486" s="25" t="n">
        <v>2</v>
      </c>
      <c r="L486" s="25" t="n">
        <v>11175.62</v>
      </c>
      <c r="M486" s="25" t="n">
        <v>20</v>
      </c>
      <c r="N486" s="25" t="n">
        <v>22351.24</v>
      </c>
      <c r="O486" s="25" t="n">
        <v>4470.25</v>
      </c>
      <c r="P486" s="25" t="n">
        <v>17880.99</v>
      </c>
      <c r="Q486" s="27" t="b">
        <f aca="false">FALSE()</f>
        <v>0</v>
      </c>
      <c r="R486" s="27" t="b">
        <f aca="false">FALSE()</f>
        <v>0</v>
      </c>
      <c r="S486" s="27" t="b">
        <f aca="false">FALSE()</f>
        <v>0</v>
      </c>
    </row>
    <row r="487" customFormat="false" ht="15" hidden="false" customHeight="false" outlineLevel="0" collapsed="false">
      <c r="A487" s="25" t="n">
        <v>486</v>
      </c>
      <c r="B487" s="25" t="s">
        <v>1389</v>
      </c>
      <c r="C487" s="25" t="s">
        <v>344</v>
      </c>
      <c r="D487" s="25" t="n">
        <v>20250408</v>
      </c>
      <c r="E487" s="25" t="n">
        <v>45</v>
      </c>
      <c r="F487" s="25" t="n">
        <v>29</v>
      </c>
      <c r="G487" s="25" t="s">
        <v>113</v>
      </c>
      <c r="H487" s="25" t="s">
        <v>25</v>
      </c>
      <c r="I487" s="25" t="s">
        <v>1770</v>
      </c>
      <c r="J487" s="25" t="s">
        <v>242</v>
      </c>
      <c r="K487" s="25" t="n">
        <v>5</v>
      </c>
      <c r="L487" s="25" t="n">
        <v>7855.79</v>
      </c>
      <c r="M487" s="25" t="n">
        <v>5</v>
      </c>
      <c r="N487" s="25" t="n">
        <v>39278.95</v>
      </c>
      <c r="O487" s="25" t="n">
        <v>1963.95</v>
      </c>
      <c r="P487" s="25" t="n">
        <v>37315</v>
      </c>
      <c r="Q487" s="27" t="b">
        <f aca="false">FALSE()</f>
        <v>0</v>
      </c>
      <c r="R487" s="27" t="b">
        <f aca="false">FALSE()</f>
        <v>0</v>
      </c>
      <c r="S487" s="27" t="b">
        <f aca="false">FALSE()</f>
        <v>0</v>
      </c>
    </row>
    <row r="488" customFormat="false" ht="15" hidden="false" customHeight="false" outlineLevel="0" collapsed="false">
      <c r="A488" s="25" t="n">
        <v>487</v>
      </c>
      <c r="B488" s="25" t="s">
        <v>1390</v>
      </c>
      <c r="C488" s="25" t="s">
        <v>344</v>
      </c>
      <c r="D488" s="25" t="n">
        <v>20250408</v>
      </c>
      <c r="E488" s="25" t="n">
        <v>45</v>
      </c>
      <c r="F488" s="25" t="n">
        <v>2</v>
      </c>
      <c r="G488" s="25" t="s">
        <v>113</v>
      </c>
      <c r="H488" s="25" t="s">
        <v>25</v>
      </c>
      <c r="I488" s="25" t="s">
        <v>1770</v>
      </c>
      <c r="J488" s="25" t="s">
        <v>242</v>
      </c>
      <c r="K488" s="25" t="n">
        <v>4</v>
      </c>
      <c r="L488" s="25" t="n">
        <v>9953.59</v>
      </c>
      <c r="M488" s="25" t="n">
        <v>0</v>
      </c>
      <c r="N488" s="25" t="n">
        <v>39814.36</v>
      </c>
      <c r="O488" s="25" t="n">
        <v>0</v>
      </c>
      <c r="P488" s="25" t="n">
        <v>39814.36</v>
      </c>
      <c r="Q488" s="27" t="b">
        <f aca="false">FALSE()</f>
        <v>0</v>
      </c>
      <c r="R488" s="27" t="b">
        <f aca="false">FALSE()</f>
        <v>0</v>
      </c>
      <c r="S488" s="27" t="b">
        <f aca="false">FALSE()</f>
        <v>0</v>
      </c>
    </row>
    <row r="489" customFormat="false" ht="15" hidden="false" customHeight="false" outlineLevel="0" collapsed="false">
      <c r="A489" s="25" t="n">
        <v>488</v>
      </c>
      <c r="B489" s="25" t="s">
        <v>1391</v>
      </c>
      <c r="C489" s="25" t="s">
        <v>344</v>
      </c>
      <c r="D489" s="25" t="n">
        <v>20250408</v>
      </c>
      <c r="E489" s="25" t="n">
        <v>45</v>
      </c>
      <c r="F489" s="25" t="n">
        <v>27</v>
      </c>
      <c r="G489" s="25" t="s">
        <v>113</v>
      </c>
      <c r="H489" s="25" t="s">
        <v>25</v>
      </c>
      <c r="I489" s="25" t="s">
        <v>1770</v>
      </c>
      <c r="J489" s="25" t="s">
        <v>242</v>
      </c>
      <c r="K489" s="25" t="n">
        <v>4</v>
      </c>
      <c r="L489" s="25" t="n">
        <v>20550.39</v>
      </c>
      <c r="M489" s="25" t="n">
        <v>0</v>
      </c>
      <c r="N489" s="25" t="n">
        <v>82201.56</v>
      </c>
      <c r="O489" s="25" t="n">
        <v>0</v>
      </c>
      <c r="P489" s="25" t="n">
        <v>82201.56</v>
      </c>
      <c r="Q489" s="27" t="b">
        <f aca="false">FALSE()</f>
        <v>0</v>
      </c>
      <c r="R489" s="27" t="b">
        <f aca="false">FALSE()</f>
        <v>0</v>
      </c>
      <c r="S489" s="27" t="b">
        <f aca="false">FALSE()</f>
        <v>0</v>
      </c>
    </row>
    <row r="490" customFormat="false" ht="15" hidden="false" customHeight="false" outlineLevel="0" collapsed="false">
      <c r="A490" s="25" t="n">
        <v>489</v>
      </c>
      <c r="B490" s="25" t="s">
        <v>1392</v>
      </c>
      <c r="C490" s="25" t="s">
        <v>344</v>
      </c>
      <c r="D490" s="25" t="n">
        <v>20250408</v>
      </c>
      <c r="E490" s="25" t="n">
        <v>45</v>
      </c>
      <c r="F490" s="25" t="n">
        <v>22</v>
      </c>
      <c r="G490" s="25" t="s">
        <v>113</v>
      </c>
      <c r="H490" s="25" t="s">
        <v>25</v>
      </c>
      <c r="I490" s="25" t="s">
        <v>1770</v>
      </c>
      <c r="J490" s="25" t="s">
        <v>242</v>
      </c>
      <c r="K490" s="25" t="n">
        <v>3</v>
      </c>
      <c r="L490" s="25" t="n">
        <v>19552.29</v>
      </c>
      <c r="M490" s="25" t="n">
        <v>0</v>
      </c>
      <c r="N490" s="25" t="n">
        <v>58656.87</v>
      </c>
      <c r="O490" s="25" t="n">
        <v>0</v>
      </c>
      <c r="P490" s="25" t="n">
        <v>58656.87</v>
      </c>
      <c r="Q490" s="27" t="b">
        <f aca="false">FALSE()</f>
        <v>0</v>
      </c>
      <c r="R490" s="27" t="b">
        <f aca="false">FALSE()</f>
        <v>0</v>
      </c>
      <c r="S490" s="27" t="b">
        <f aca="false">FALSE()</f>
        <v>0</v>
      </c>
    </row>
    <row r="491" customFormat="false" ht="15" hidden="false" customHeight="false" outlineLevel="0" collapsed="false">
      <c r="A491" s="25" t="n">
        <v>490</v>
      </c>
      <c r="B491" s="25" t="s">
        <v>1393</v>
      </c>
      <c r="C491" s="25" t="s">
        <v>490</v>
      </c>
      <c r="D491" s="25" t="n">
        <v>20240428</v>
      </c>
      <c r="E491" s="25" t="n">
        <v>66</v>
      </c>
      <c r="F491" s="25" t="n">
        <v>63</v>
      </c>
      <c r="G491" s="25" t="s">
        <v>115</v>
      </c>
      <c r="H491" s="25" t="s">
        <v>25</v>
      </c>
      <c r="I491" s="25" t="s">
        <v>75</v>
      </c>
      <c r="J491" s="25" t="s">
        <v>246</v>
      </c>
      <c r="K491" s="25" t="n">
        <v>3</v>
      </c>
      <c r="L491" s="25" t="n">
        <v>9269.43</v>
      </c>
      <c r="M491" s="25" t="n">
        <v>0</v>
      </c>
      <c r="N491" s="25" t="n">
        <v>27808.29</v>
      </c>
      <c r="O491" s="25" t="n">
        <v>0</v>
      </c>
      <c r="P491" s="25" t="n">
        <v>27808.29</v>
      </c>
      <c r="Q491" s="27" t="b">
        <f aca="false">FALSE()</f>
        <v>0</v>
      </c>
      <c r="R491" s="27" t="b">
        <f aca="false">FALSE()</f>
        <v>0</v>
      </c>
      <c r="S491" s="27" t="b">
        <f aca="false">FALSE()</f>
        <v>0</v>
      </c>
    </row>
    <row r="492" customFormat="false" ht="15" hidden="false" customHeight="false" outlineLevel="0" collapsed="false">
      <c r="A492" s="25" t="n">
        <v>491</v>
      </c>
      <c r="B492" s="25" t="s">
        <v>1394</v>
      </c>
      <c r="C492" s="25" t="s">
        <v>503</v>
      </c>
      <c r="D492" s="25" t="n">
        <v>20240622</v>
      </c>
      <c r="E492" s="25" t="n">
        <v>123</v>
      </c>
      <c r="F492" s="25" t="n">
        <v>45</v>
      </c>
      <c r="G492" s="25" t="s">
        <v>115</v>
      </c>
      <c r="H492" s="25" t="s">
        <v>25</v>
      </c>
      <c r="I492" s="25" t="s">
        <v>1738</v>
      </c>
      <c r="J492" s="25" t="s">
        <v>250</v>
      </c>
      <c r="K492" s="25" t="n">
        <v>2</v>
      </c>
      <c r="L492" s="25" t="n">
        <v>27280.24</v>
      </c>
      <c r="M492" s="25" t="n">
        <v>5</v>
      </c>
      <c r="N492" s="25" t="n">
        <v>54560.48</v>
      </c>
      <c r="O492" s="25" t="n">
        <v>2728.02</v>
      </c>
      <c r="P492" s="25" t="n">
        <v>51832.46</v>
      </c>
      <c r="Q492" s="27" t="b">
        <f aca="false">FALSE()</f>
        <v>0</v>
      </c>
      <c r="R492" s="27" t="b">
        <f aca="false">FALSE()</f>
        <v>0</v>
      </c>
      <c r="S492" s="27" t="b">
        <f aca="false">FALSE()</f>
        <v>0</v>
      </c>
    </row>
    <row r="493" customFormat="false" ht="15" hidden="false" customHeight="false" outlineLevel="0" collapsed="false">
      <c r="A493" s="25" t="n">
        <v>492</v>
      </c>
      <c r="B493" s="25" t="s">
        <v>1395</v>
      </c>
      <c r="C493" s="25" t="s">
        <v>503</v>
      </c>
      <c r="D493" s="25" t="n">
        <v>20240622</v>
      </c>
      <c r="E493" s="25" t="n">
        <v>123</v>
      </c>
      <c r="F493" s="25" t="n">
        <v>35</v>
      </c>
      <c r="G493" s="25" t="s">
        <v>115</v>
      </c>
      <c r="H493" s="25" t="s">
        <v>25</v>
      </c>
      <c r="I493" s="25" t="s">
        <v>1738</v>
      </c>
      <c r="J493" s="25" t="s">
        <v>250</v>
      </c>
      <c r="K493" s="25" t="n">
        <v>1</v>
      </c>
      <c r="L493" s="25" t="n">
        <v>1741.05</v>
      </c>
      <c r="M493" s="25" t="n">
        <v>15</v>
      </c>
      <c r="N493" s="25" t="n">
        <v>1741.05</v>
      </c>
      <c r="O493" s="25" t="n">
        <v>261.16</v>
      </c>
      <c r="P493" s="25" t="n">
        <v>1479.89</v>
      </c>
      <c r="Q493" s="27" t="b">
        <f aca="false">FALSE()</f>
        <v>0</v>
      </c>
      <c r="R493" s="27" t="b">
        <f aca="false">FALSE()</f>
        <v>0</v>
      </c>
      <c r="S493" s="27" t="b">
        <f aca="false">FALSE()</f>
        <v>0</v>
      </c>
    </row>
    <row r="494" customFormat="false" ht="15" hidden="false" customHeight="false" outlineLevel="0" collapsed="false">
      <c r="A494" s="25" t="n">
        <v>493</v>
      </c>
      <c r="B494" s="25" t="s">
        <v>1396</v>
      </c>
      <c r="C494" s="25" t="s">
        <v>264</v>
      </c>
      <c r="D494" s="25" t="n">
        <v>20240820</v>
      </c>
      <c r="E494" s="25" t="n">
        <v>96</v>
      </c>
      <c r="F494" s="25" t="n">
        <v>1</v>
      </c>
      <c r="G494" s="25" t="s">
        <v>115</v>
      </c>
      <c r="H494" s="25" t="s">
        <v>25</v>
      </c>
      <c r="I494" s="25" t="s">
        <v>1738</v>
      </c>
      <c r="J494" s="25" t="s">
        <v>242</v>
      </c>
      <c r="K494" s="25" t="n">
        <v>1</v>
      </c>
      <c r="L494" s="25" t="n">
        <v>10660.79</v>
      </c>
      <c r="M494" s="25" t="n">
        <v>5</v>
      </c>
      <c r="N494" s="25" t="n">
        <v>10660.79</v>
      </c>
      <c r="O494" s="25" t="n">
        <v>533.04</v>
      </c>
      <c r="P494" s="25" t="n">
        <v>10127.75</v>
      </c>
      <c r="Q494" s="27" t="b">
        <f aca="false">FALSE()</f>
        <v>0</v>
      </c>
      <c r="R494" s="27" t="b">
        <f aca="false">FALSE()</f>
        <v>0</v>
      </c>
      <c r="S494" s="27" t="b">
        <f aca="false">FALSE()</f>
        <v>0</v>
      </c>
    </row>
    <row r="495" customFormat="false" ht="15" hidden="false" customHeight="false" outlineLevel="0" collapsed="false">
      <c r="A495" s="25" t="n">
        <v>494</v>
      </c>
      <c r="B495" s="25" t="s">
        <v>1397</v>
      </c>
      <c r="C495" s="25" t="s">
        <v>264</v>
      </c>
      <c r="D495" s="25" t="n">
        <v>20240820</v>
      </c>
      <c r="E495" s="25" t="n">
        <v>96</v>
      </c>
      <c r="F495" s="25" t="n">
        <v>41</v>
      </c>
      <c r="G495" s="25" t="s">
        <v>115</v>
      </c>
      <c r="H495" s="25" t="s">
        <v>25</v>
      </c>
      <c r="I495" s="25" t="s">
        <v>1738</v>
      </c>
      <c r="J495" s="25" t="s">
        <v>242</v>
      </c>
      <c r="K495" s="25" t="n">
        <v>2</v>
      </c>
      <c r="L495" s="25" t="n">
        <v>11992.92</v>
      </c>
      <c r="M495" s="25" t="n">
        <v>10</v>
      </c>
      <c r="N495" s="25" t="n">
        <v>23985.84</v>
      </c>
      <c r="O495" s="25" t="n">
        <v>2398.58</v>
      </c>
      <c r="P495" s="25" t="n">
        <v>21587.26</v>
      </c>
      <c r="Q495" s="27" t="b">
        <f aca="false">FALSE()</f>
        <v>0</v>
      </c>
      <c r="R495" s="27" t="b">
        <f aca="false">FALSE()</f>
        <v>0</v>
      </c>
      <c r="S495" s="27" t="b">
        <f aca="false">FALSE()</f>
        <v>0</v>
      </c>
    </row>
    <row r="496" customFormat="false" ht="15" hidden="false" customHeight="false" outlineLevel="0" collapsed="false">
      <c r="A496" s="25" t="n">
        <v>495</v>
      </c>
      <c r="B496" s="25" t="s">
        <v>1398</v>
      </c>
      <c r="C496" s="25" t="s">
        <v>264</v>
      </c>
      <c r="D496" s="25" t="n">
        <v>20240820</v>
      </c>
      <c r="E496" s="25" t="n">
        <v>96</v>
      </c>
      <c r="F496" s="25" t="n">
        <v>57</v>
      </c>
      <c r="G496" s="25" t="s">
        <v>115</v>
      </c>
      <c r="H496" s="25" t="s">
        <v>25</v>
      </c>
      <c r="I496" s="25" t="s">
        <v>1738</v>
      </c>
      <c r="J496" s="25" t="s">
        <v>242</v>
      </c>
      <c r="K496" s="25" t="n">
        <v>1</v>
      </c>
      <c r="L496" s="25" t="n">
        <v>11518.86</v>
      </c>
      <c r="M496" s="25" t="n">
        <v>0</v>
      </c>
      <c r="N496" s="25" t="n">
        <v>11518.86</v>
      </c>
      <c r="O496" s="25" t="n">
        <v>0</v>
      </c>
      <c r="P496" s="25" t="n">
        <v>11518.86</v>
      </c>
      <c r="Q496" s="27" t="b">
        <f aca="false">FALSE()</f>
        <v>0</v>
      </c>
      <c r="R496" s="27" t="b">
        <f aca="false">FALSE()</f>
        <v>0</v>
      </c>
      <c r="S496" s="27" t="b">
        <f aca="false">FALSE()</f>
        <v>0</v>
      </c>
    </row>
    <row r="497" customFormat="false" ht="15" hidden="false" customHeight="false" outlineLevel="0" collapsed="false">
      <c r="A497" s="25" t="n">
        <v>496</v>
      </c>
      <c r="B497" s="25" t="s">
        <v>1399</v>
      </c>
      <c r="C497" s="25" t="s">
        <v>373</v>
      </c>
      <c r="D497" s="25" t="n">
        <v>20240901</v>
      </c>
      <c r="E497" s="25" t="n">
        <v>104</v>
      </c>
      <c r="F497" s="25" t="n">
        <v>48</v>
      </c>
      <c r="G497" s="25" t="s">
        <v>115</v>
      </c>
      <c r="H497" s="25" t="s">
        <v>25</v>
      </c>
      <c r="I497" s="25" t="s">
        <v>1770</v>
      </c>
      <c r="J497" s="25" t="s">
        <v>242</v>
      </c>
      <c r="K497" s="25" t="n">
        <v>5</v>
      </c>
      <c r="L497" s="25" t="n">
        <v>25643.17</v>
      </c>
      <c r="M497" s="25" t="n">
        <v>0</v>
      </c>
      <c r="N497" s="25" t="n">
        <v>128215.85</v>
      </c>
      <c r="O497" s="25" t="n">
        <v>0</v>
      </c>
      <c r="P497" s="25" t="n">
        <v>128215.85</v>
      </c>
      <c r="Q497" s="27" t="b">
        <f aca="false">FALSE()</f>
        <v>0</v>
      </c>
      <c r="R497" s="27" t="b">
        <f aca="false">FALSE()</f>
        <v>0</v>
      </c>
      <c r="S497" s="27" t="b">
        <f aca="false">FALSE()</f>
        <v>0</v>
      </c>
    </row>
    <row r="498" customFormat="false" ht="15" hidden="false" customHeight="false" outlineLevel="0" collapsed="false">
      <c r="A498" s="25" t="n">
        <v>497</v>
      </c>
      <c r="B498" s="25" t="s">
        <v>1401</v>
      </c>
      <c r="C498" s="25" t="s">
        <v>373</v>
      </c>
      <c r="D498" s="25" t="n">
        <v>20240901</v>
      </c>
      <c r="E498" s="25" t="n">
        <v>104</v>
      </c>
      <c r="F498" s="25" t="n">
        <v>7</v>
      </c>
      <c r="G498" s="25" t="s">
        <v>115</v>
      </c>
      <c r="H498" s="25" t="s">
        <v>25</v>
      </c>
      <c r="I498" s="25" t="s">
        <v>1770</v>
      </c>
      <c r="J498" s="25" t="s">
        <v>242</v>
      </c>
      <c r="K498" s="25" t="n">
        <v>5</v>
      </c>
      <c r="L498" s="25" t="n">
        <v>20278.89</v>
      </c>
      <c r="M498" s="25" t="n">
        <v>10</v>
      </c>
      <c r="N498" s="25" t="n">
        <v>101394.45</v>
      </c>
      <c r="O498" s="25" t="n">
        <v>10139.44</v>
      </c>
      <c r="P498" s="25" t="n">
        <v>91255.01</v>
      </c>
      <c r="Q498" s="27" t="b">
        <f aca="false">FALSE()</f>
        <v>0</v>
      </c>
      <c r="R498" s="27" t="b">
        <f aca="false">FALSE()</f>
        <v>0</v>
      </c>
      <c r="S498" s="27" t="b">
        <f aca="false">FALSE()</f>
        <v>0</v>
      </c>
    </row>
    <row r="499" customFormat="false" ht="15" hidden="false" customHeight="false" outlineLevel="0" collapsed="false">
      <c r="A499" s="25" t="n">
        <v>498</v>
      </c>
      <c r="B499" s="25" t="s">
        <v>1402</v>
      </c>
      <c r="C499" s="25" t="s">
        <v>422</v>
      </c>
      <c r="D499" s="25" t="n">
        <v>20240426</v>
      </c>
      <c r="E499" s="25" t="n">
        <v>18</v>
      </c>
      <c r="F499" s="25" t="n">
        <v>8</v>
      </c>
      <c r="G499" s="25" t="s">
        <v>113</v>
      </c>
      <c r="H499" s="25" t="s">
        <v>25</v>
      </c>
      <c r="I499" s="25" t="s">
        <v>94</v>
      </c>
      <c r="J499" s="25" t="s">
        <v>242</v>
      </c>
      <c r="K499" s="25" t="n">
        <v>4</v>
      </c>
      <c r="L499" s="25" t="n">
        <v>15176.98</v>
      </c>
      <c r="M499" s="25" t="n">
        <v>15</v>
      </c>
      <c r="N499" s="25" t="n">
        <v>60707.92</v>
      </c>
      <c r="O499" s="25" t="n">
        <v>9106.19</v>
      </c>
      <c r="P499" s="25" t="n">
        <v>51601.73</v>
      </c>
      <c r="Q499" s="27" t="b">
        <f aca="false">FALSE()</f>
        <v>0</v>
      </c>
      <c r="R499" s="27" t="b">
        <f aca="false">TRUE()</f>
        <v>1</v>
      </c>
      <c r="S499" s="27" t="b">
        <f aca="false">FALSE()</f>
        <v>0</v>
      </c>
    </row>
    <row r="500" customFormat="false" ht="15" hidden="false" customHeight="false" outlineLevel="0" collapsed="false">
      <c r="A500" s="25" t="n">
        <v>499</v>
      </c>
      <c r="B500" s="25" t="s">
        <v>1403</v>
      </c>
      <c r="C500" s="25" t="s">
        <v>318</v>
      </c>
      <c r="D500" s="25" t="n">
        <v>20240629</v>
      </c>
      <c r="E500" s="25" t="n">
        <v>98</v>
      </c>
      <c r="F500" s="25" t="n">
        <v>49</v>
      </c>
      <c r="G500" s="25" t="s">
        <v>114</v>
      </c>
      <c r="H500" s="25" t="s">
        <v>2273</v>
      </c>
      <c r="I500" s="25" t="s">
        <v>75</v>
      </c>
      <c r="J500" s="25" t="s">
        <v>269</v>
      </c>
      <c r="K500" s="25" t="n">
        <v>4</v>
      </c>
      <c r="L500" s="25" t="n">
        <v>12393.99</v>
      </c>
      <c r="M500" s="25" t="n">
        <v>20</v>
      </c>
      <c r="N500" s="25" t="n">
        <v>49575.96</v>
      </c>
      <c r="O500" s="25" t="n">
        <v>9915.19</v>
      </c>
      <c r="P500" s="25" t="n">
        <v>39660.77</v>
      </c>
      <c r="Q500" s="27" t="b">
        <f aca="false">FALSE()</f>
        <v>0</v>
      </c>
      <c r="R500" s="27" t="b">
        <f aca="false">FALSE()</f>
        <v>0</v>
      </c>
      <c r="S500" s="27" t="b">
        <f aca="false">FALSE()</f>
        <v>0</v>
      </c>
    </row>
    <row r="501" customFormat="false" ht="15" hidden="false" customHeight="false" outlineLevel="0" collapsed="false">
      <c r="A501" s="25" t="n">
        <v>500</v>
      </c>
      <c r="B501" s="25" t="s">
        <v>1404</v>
      </c>
      <c r="C501" s="25" t="s">
        <v>318</v>
      </c>
      <c r="D501" s="25" t="n">
        <v>20240629</v>
      </c>
      <c r="E501" s="25" t="n">
        <v>98</v>
      </c>
      <c r="F501" s="25" t="n">
        <v>60</v>
      </c>
      <c r="G501" s="25" t="s">
        <v>114</v>
      </c>
      <c r="H501" s="25" t="s">
        <v>2273</v>
      </c>
      <c r="I501" s="25" t="s">
        <v>75</v>
      </c>
      <c r="J501" s="25" t="s">
        <v>269</v>
      </c>
      <c r="K501" s="25" t="n">
        <v>1</v>
      </c>
      <c r="L501" s="25" t="n">
        <v>11569.57</v>
      </c>
      <c r="M501" s="25" t="n">
        <v>5</v>
      </c>
      <c r="N501" s="25" t="n">
        <v>11569.57</v>
      </c>
      <c r="O501" s="25" t="n">
        <v>578.48</v>
      </c>
      <c r="P501" s="25" t="n">
        <v>10991.09</v>
      </c>
      <c r="Q501" s="27" t="b">
        <f aca="false">FALSE()</f>
        <v>0</v>
      </c>
      <c r="R501" s="27" t="b">
        <f aca="false">FALSE()</f>
        <v>0</v>
      </c>
      <c r="S501" s="27" t="b">
        <f aca="false">FALSE()</f>
        <v>0</v>
      </c>
    </row>
    <row r="502" customFormat="false" ht="15" hidden="false" customHeight="false" outlineLevel="0" collapsed="false">
      <c r="A502" s="25" t="n">
        <v>501</v>
      </c>
      <c r="B502" s="25" t="s">
        <v>1405</v>
      </c>
      <c r="C502" s="25" t="s">
        <v>318</v>
      </c>
      <c r="D502" s="25" t="n">
        <v>20240629</v>
      </c>
      <c r="E502" s="25" t="n">
        <v>98</v>
      </c>
      <c r="F502" s="25" t="n">
        <v>63</v>
      </c>
      <c r="G502" s="25" t="s">
        <v>114</v>
      </c>
      <c r="H502" s="25" t="s">
        <v>2273</v>
      </c>
      <c r="I502" s="25" t="s">
        <v>75</v>
      </c>
      <c r="J502" s="25" t="s">
        <v>269</v>
      </c>
      <c r="K502" s="25" t="n">
        <v>5</v>
      </c>
      <c r="L502" s="25" t="n">
        <v>9269.43</v>
      </c>
      <c r="M502" s="25" t="n">
        <v>20</v>
      </c>
      <c r="N502" s="25" t="n">
        <v>46347.15</v>
      </c>
      <c r="O502" s="25" t="n">
        <v>9269.43</v>
      </c>
      <c r="P502" s="25" t="n">
        <v>37077.72</v>
      </c>
      <c r="Q502" s="27" t="b">
        <f aca="false">FALSE()</f>
        <v>0</v>
      </c>
      <c r="R502" s="27" t="b">
        <f aca="false">FALSE()</f>
        <v>0</v>
      </c>
      <c r="S502" s="27" t="b">
        <f aca="false">FALSE()</f>
        <v>0</v>
      </c>
    </row>
    <row r="503" customFormat="false" ht="15" hidden="false" customHeight="false" outlineLevel="0" collapsed="false">
      <c r="A503" s="25" t="n">
        <v>502</v>
      </c>
      <c r="B503" s="25" t="s">
        <v>1406</v>
      </c>
      <c r="C503" s="25" t="s">
        <v>318</v>
      </c>
      <c r="D503" s="25" t="n">
        <v>20240629</v>
      </c>
      <c r="E503" s="25" t="n">
        <v>98</v>
      </c>
      <c r="F503" s="25" t="n">
        <v>65</v>
      </c>
      <c r="G503" s="25" t="s">
        <v>114</v>
      </c>
      <c r="H503" s="25" t="s">
        <v>2273</v>
      </c>
      <c r="I503" s="25" t="s">
        <v>75</v>
      </c>
      <c r="J503" s="25" t="s">
        <v>269</v>
      </c>
      <c r="K503" s="25" t="n">
        <v>4</v>
      </c>
      <c r="L503" s="25" t="n">
        <v>15706.03</v>
      </c>
      <c r="M503" s="25" t="n">
        <v>10</v>
      </c>
      <c r="N503" s="25" t="n">
        <v>62824.12</v>
      </c>
      <c r="O503" s="25" t="n">
        <v>6282.41</v>
      </c>
      <c r="P503" s="25" t="n">
        <v>56541.71</v>
      </c>
      <c r="Q503" s="27" t="b">
        <f aca="false">FALSE()</f>
        <v>0</v>
      </c>
      <c r="R503" s="27" t="b">
        <f aca="false">FALSE()</f>
        <v>0</v>
      </c>
      <c r="S503" s="27" t="b">
        <f aca="false">FALSE()</f>
        <v>0</v>
      </c>
    </row>
    <row r="504" customFormat="false" ht="15" hidden="false" customHeight="false" outlineLevel="0" collapsed="false">
      <c r="A504" s="25" t="n">
        <v>503</v>
      </c>
      <c r="B504" s="25" t="s">
        <v>1407</v>
      </c>
      <c r="C504" s="25" t="s">
        <v>413</v>
      </c>
      <c r="D504" s="25" t="n">
        <v>20250915</v>
      </c>
      <c r="E504" s="25" t="n">
        <v>7</v>
      </c>
      <c r="F504" s="25" t="n">
        <v>64</v>
      </c>
      <c r="G504" s="25" t="s">
        <v>113</v>
      </c>
      <c r="H504" s="25" t="s">
        <v>2263</v>
      </c>
      <c r="I504" s="25" t="s">
        <v>89</v>
      </c>
      <c r="J504" s="25" t="s">
        <v>242</v>
      </c>
      <c r="K504" s="25" t="n">
        <v>2</v>
      </c>
      <c r="L504" s="25" t="n">
        <v>11089.19</v>
      </c>
      <c r="M504" s="25" t="n">
        <v>5</v>
      </c>
      <c r="N504" s="25" t="n">
        <v>22178.38</v>
      </c>
      <c r="O504" s="25" t="n">
        <v>1108.92</v>
      </c>
      <c r="P504" s="25" t="n">
        <v>21069.46</v>
      </c>
      <c r="Q504" s="27" t="b">
        <f aca="false">FALSE()</f>
        <v>0</v>
      </c>
      <c r="R504" s="27" t="b">
        <f aca="false">FALSE()</f>
        <v>0</v>
      </c>
      <c r="S504" s="27" t="b">
        <f aca="false">FALSE()</f>
        <v>0</v>
      </c>
    </row>
    <row r="505" customFormat="false" ht="15" hidden="false" customHeight="false" outlineLevel="0" collapsed="false">
      <c r="A505" s="25" t="n">
        <v>504</v>
      </c>
      <c r="B505" s="25" t="s">
        <v>1408</v>
      </c>
      <c r="C505" s="25" t="s">
        <v>370</v>
      </c>
      <c r="D505" s="25" t="n">
        <v>20240706</v>
      </c>
      <c r="E505" s="25" t="n">
        <v>113</v>
      </c>
      <c r="F505" s="25" t="n">
        <v>70</v>
      </c>
      <c r="G505" s="25" t="s">
        <v>113</v>
      </c>
      <c r="H505" s="25" t="s">
        <v>2266</v>
      </c>
      <c r="I505" s="25" t="s">
        <v>83</v>
      </c>
      <c r="J505" s="25" t="s">
        <v>242</v>
      </c>
      <c r="K505" s="25" t="n">
        <v>4</v>
      </c>
      <c r="L505" s="25" t="n">
        <v>3962.52</v>
      </c>
      <c r="M505" s="25" t="n">
        <v>15</v>
      </c>
      <c r="N505" s="25" t="n">
        <v>15850.08</v>
      </c>
      <c r="O505" s="25" t="n">
        <v>2377.51</v>
      </c>
      <c r="P505" s="25" t="n">
        <v>13472.57</v>
      </c>
      <c r="Q505" s="27" t="b">
        <f aca="false">FALSE()</f>
        <v>0</v>
      </c>
      <c r="R505" s="27" t="b">
        <f aca="false">FALSE()</f>
        <v>0</v>
      </c>
      <c r="S505" s="27" t="b">
        <f aca="false">FALSE()</f>
        <v>0</v>
      </c>
    </row>
    <row r="506" customFormat="false" ht="15" hidden="false" customHeight="false" outlineLevel="0" collapsed="false">
      <c r="A506" s="25" t="n">
        <v>505</v>
      </c>
      <c r="B506" s="25" t="s">
        <v>1409</v>
      </c>
      <c r="C506" s="25" t="s">
        <v>370</v>
      </c>
      <c r="D506" s="25" t="n">
        <v>20240706</v>
      </c>
      <c r="E506" s="25" t="n">
        <v>113</v>
      </c>
      <c r="F506" s="25" t="n">
        <v>40</v>
      </c>
      <c r="G506" s="25" t="s">
        <v>113</v>
      </c>
      <c r="H506" s="25" t="s">
        <v>2266</v>
      </c>
      <c r="I506" s="25" t="s">
        <v>83</v>
      </c>
      <c r="J506" s="25" t="s">
        <v>242</v>
      </c>
      <c r="K506" s="25" t="n">
        <v>5</v>
      </c>
      <c r="L506" s="25" t="n">
        <v>4081.95</v>
      </c>
      <c r="M506" s="25" t="n">
        <v>5</v>
      </c>
      <c r="N506" s="25" t="n">
        <v>20409.75</v>
      </c>
      <c r="O506" s="25" t="n">
        <v>1020.49</v>
      </c>
      <c r="P506" s="25" t="n">
        <v>19389.26</v>
      </c>
      <c r="Q506" s="27" t="b">
        <f aca="false">TRUE()</f>
        <v>1</v>
      </c>
      <c r="R506" s="27" t="b">
        <f aca="false">FALSE()</f>
        <v>0</v>
      </c>
      <c r="S506" s="27" t="b">
        <f aca="false">FALSE()</f>
        <v>0</v>
      </c>
    </row>
    <row r="507" customFormat="false" ht="15" hidden="false" customHeight="false" outlineLevel="0" collapsed="false">
      <c r="A507" s="25" t="n">
        <v>506</v>
      </c>
      <c r="B507" s="25" t="s">
        <v>1410</v>
      </c>
      <c r="C507" s="25" t="s">
        <v>252</v>
      </c>
      <c r="D507" s="25" t="n">
        <v>20241212</v>
      </c>
      <c r="E507" s="25" t="n">
        <v>144</v>
      </c>
      <c r="F507" s="25" t="n">
        <v>30</v>
      </c>
      <c r="G507" s="25" t="s">
        <v>114</v>
      </c>
      <c r="H507" s="25" t="s">
        <v>25</v>
      </c>
      <c r="I507" s="25" t="s">
        <v>1738</v>
      </c>
      <c r="J507" s="25" t="s">
        <v>242</v>
      </c>
      <c r="K507" s="25" t="n">
        <v>4</v>
      </c>
      <c r="L507" s="25" t="n">
        <v>20253.93</v>
      </c>
      <c r="M507" s="25" t="n">
        <v>5</v>
      </c>
      <c r="N507" s="25" t="n">
        <v>81015.72</v>
      </c>
      <c r="O507" s="25" t="n">
        <v>4050.79</v>
      </c>
      <c r="P507" s="25" t="n">
        <v>76964.93</v>
      </c>
      <c r="Q507" s="27" t="b">
        <f aca="false">FALSE()</f>
        <v>0</v>
      </c>
      <c r="R507" s="27" t="b">
        <f aca="false">FALSE()</f>
        <v>0</v>
      </c>
      <c r="S507" s="27" t="b">
        <f aca="false">FALSE()</f>
        <v>0</v>
      </c>
    </row>
    <row r="508" customFormat="false" ht="15" hidden="false" customHeight="false" outlineLevel="0" collapsed="false">
      <c r="A508" s="25" t="n">
        <v>507</v>
      </c>
      <c r="B508" s="25" t="s">
        <v>1411</v>
      </c>
      <c r="C508" s="25" t="s">
        <v>252</v>
      </c>
      <c r="D508" s="25" t="n">
        <v>20241212</v>
      </c>
      <c r="E508" s="25" t="n">
        <v>144</v>
      </c>
      <c r="F508" s="25" t="n">
        <v>45</v>
      </c>
      <c r="G508" s="25" t="s">
        <v>114</v>
      </c>
      <c r="H508" s="25" t="s">
        <v>25</v>
      </c>
      <c r="I508" s="25" t="s">
        <v>1738</v>
      </c>
      <c r="J508" s="25" t="s">
        <v>242</v>
      </c>
      <c r="K508" s="25" t="n">
        <v>4</v>
      </c>
      <c r="L508" s="25" t="n">
        <v>27280.24</v>
      </c>
      <c r="M508" s="25" t="n">
        <v>5</v>
      </c>
      <c r="N508" s="25" t="n">
        <v>109120.96</v>
      </c>
      <c r="O508" s="25" t="n">
        <v>5456.05</v>
      </c>
      <c r="P508" s="25" t="n">
        <v>103664.91</v>
      </c>
      <c r="Q508" s="27" t="b">
        <f aca="false">FALSE()</f>
        <v>0</v>
      </c>
      <c r="R508" s="27" t="b">
        <f aca="false">FALSE()</f>
        <v>0</v>
      </c>
      <c r="S508" s="27" t="b">
        <f aca="false">FALSE()</f>
        <v>0</v>
      </c>
    </row>
    <row r="509" customFormat="false" ht="15" hidden="false" customHeight="false" outlineLevel="0" collapsed="false">
      <c r="A509" s="25" t="n">
        <v>508</v>
      </c>
      <c r="B509" s="25" t="s">
        <v>1412</v>
      </c>
      <c r="C509" s="25" t="s">
        <v>566</v>
      </c>
      <c r="D509" s="25" t="n">
        <v>20250928</v>
      </c>
      <c r="E509" s="25" t="n">
        <v>20</v>
      </c>
      <c r="F509" s="25" t="n">
        <v>19</v>
      </c>
      <c r="G509" s="25" t="s">
        <v>114</v>
      </c>
      <c r="H509" s="25" t="s">
        <v>2268</v>
      </c>
      <c r="I509" s="25" t="s">
        <v>89</v>
      </c>
      <c r="J509" s="25" t="s">
        <v>242</v>
      </c>
      <c r="K509" s="25" t="n">
        <v>2</v>
      </c>
      <c r="L509" s="25" t="n">
        <v>7877.61</v>
      </c>
      <c r="M509" s="25" t="n">
        <v>20</v>
      </c>
      <c r="N509" s="25" t="n">
        <v>15755.22</v>
      </c>
      <c r="O509" s="25" t="n">
        <v>3151.04</v>
      </c>
      <c r="P509" s="25" t="n">
        <v>12604.18</v>
      </c>
      <c r="Q509" s="27" t="b">
        <f aca="false">FALSE()</f>
        <v>0</v>
      </c>
      <c r="R509" s="27" t="b">
        <f aca="false">FALSE()</f>
        <v>0</v>
      </c>
      <c r="S509" s="27" t="b">
        <f aca="false">FALSE()</f>
        <v>0</v>
      </c>
    </row>
    <row r="510" customFormat="false" ht="15" hidden="false" customHeight="false" outlineLevel="0" collapsed="false">
      <c r="A510" s="25" t="n">
        <v>509</v>
      </c>
      <c r="B510" s="25" t="s">
        <v>1413</v>
      </c>
      <c r="C510" s="25" t="s">
        <v>566</v>
      </c>
      <c r="D510" s="25" t="n">
        <v>20250928</v>
      </c>
      <c r="E510" s="25" t="n">
        <v>20</v>
      </c>
      <c r="F510" s="25" t="n">
        <v>23</v>
      </c>
      <c r="G510" s="25" t="s">
        <v>114</v>
      </c>
      <c r="H510" s="25" t="s">
        <v>2268</v>
      </c>
      <c r="I510" s="25" t="s">
        <v>89</v>
      </c>
      <c r="J510" s="25" t="s">
        <v>242</v>
      </c>
      <c r="K510" s="25" t="n">
        <v>3</v>
      </c>
      <c r="L510" s="25" t="n">
        <v>3019.36</v>
      </c>
      <c r="M510" s="25" t="n">
        <v>0</v>
      </c>
      <c r="N510" s="25" t="n">
        <v>9058.08</v>
      </c>
      <c r="O510" s="25" t="n">
        <v>0</v>
      </c>
      <c r="P510" s="25" t="n">
        <v>9058.08</v>
      </c>
      <c r="Q510" s="27" t="b">
        <f aca="false">FALSE()</f>
        <v>0</v>
      </c>
      <c r="R510" s="27" t="b">
        <f aca="false">FALSE()</f>
        <v>0</v>
      </c>
      <c r="S510" s="27" t="b">
        <f aca="false">FALSE()</f>
        <v>0</v>
      </c>
    </row>
    <row r="511" customFormat="false" ht="15" hidden="false" customHeight="false" outlineLevel="0" collapsed="false">
      <c r="A511" s="25" t="n">
        <v>510</v>
      </c>
      <c r="B511" s="25" t="s">
        <v>1414</v>
      </c>
      <c r="C511" s="25" t="s">
        <v>479</v>
      </c>
      <c r="D511" s="25" t="n">
        <v>20220219</v>
      </c>
      <c r="E511" s="25" t="n">
        <v>31</v>
      </c>
      <c r="F511" s="25" t="n">
        <v>20</v>
      </c>
      <c r="G511" s="25" t="s">
        <v>114</v>
      </c>
      <c r="H511" s="25" t="s">
        <v>25</v>
      </c>
      <c r="I511" s="25" t="s">
        <v>1738</v>
      </c>
      <c r="J511" s="25" t="s">
        <v>250</v>
      </c>
      <c r="K511" s="25" t="n">
        <v>5</v>
      </c>
      <c r="L511" s="25" t="n">
        <v>3634.57</v>
      </c>
      <c r="M511" s="25" t="n">
        <v>5</v>
      </c>
      <c r="N511" s="25" t="n">
        <v>18172.85</v>
      </c>
      <c r="O511" s="25" t="n">
        <v>908.64</v>
      </c>
      <c r="P511" s="25" t="n">
        <v>17264.21</v>
      </c>
      <c r="Q511" s="27" t="b">
        <f aca="false">FALSE()</f>
        <v>0</v>
      </c>
      <c r="R511" s="27" t="b">
        <f aca="false">FALSE()</f>
        <v>0</v>
      </c>
      <c r="S511" s="27" t="b">
        <f aca="false">FALSE()</f>
        <v>0</v>
      </c>
    </row>
    <row r="512" customFormat="false" ht="15" hidden="false" customHeight="false" outlineLevel="0" collapsed="false">
      <c r="A512" s="25" t="n">
        <v>511</v>
      </c>
      <c r="B512" s="25" t="s">
        <v>1416</v>
      </c>
      <c r="C512" s="25" t="s">
        <v>479</v>
      </c>
      <c r="D512" s="25" t="n">
        <v>20220219</v>
      </c>
      <c r="E512" s="25" t="n">
        <v>31</v>
      </c>
      <c r="F512" s="25" t="n">
        <v>32</v>
      </c>
      <c r="G512" s="25" t="s">
        <v>114</v>
      </c>
      <c r="H512" s="25" t="s">
        <v>25</v>
      </c>
      <c r="I512" s="25" t="s">
        <v>1738</v>
      </c>
      <c r="J512" s="25" t="s">
        <v>250</v>
      </c>
      <c r="K512" s="25" t="n">
        <v>5</v>
      </c>
      <c r="L512" s="25" t="n">
        <v>23243.35</v>
      </c>
      <c r="M512" s="25" t="n">
        <v>5</v>
      </c>
      <c r="N512" s="25" t="n">
        <v>116216.75</v>
      </c>
      <c r="O512" s="25" t="n">
        <v>5810.84</v>
      </c>
      <c r="P512" s="25" t="n">
        <v>110405.91</v>
      </c>
      <c r="Q512" s="27" t="b">
        <f aca="false">FALSE()</f>
        <v>0</v>
      </c>
      <c r="R512" s="27" t="b">
        <f aca="false">FALSE()</f>
        <v>0</v>
      </c>
      <c r="S512" s="27" t="b">
        <f aca="false">FALSE()</f>
        <v>0</v>
      </c>
    </row>
    <row r="513" customFormat="false" ht="15" hidden="false" customHeight="false" outlineLevel="0" collapsed="false">
      <c r="A513" s="25" t="n">
        <v>512</v>
      </c>
      <c r="B513" s="25" t="s">
        <v>1417</v>
      </c>
      <c r="C513" s="25" t="s">
        <v>479</v>
      </c>
      <c r="D513" s="25" t="n">
        <v>20220219</v>
      </c>
      <c r="E513" s="25" t="n">
        <v>31</v>
      </c>
      <c r="F513" s="25" t="n">
        <v>27</v>
      </c>
      <c r="G513" s="25" t="s">
        <v>114</v>
      </c>
      <c r="H513" s="25" t="s">
        <v>25</v>
      </c>
      <c r="I513" s="25" t="s">
        <v>1738</v>
      </c>
      <c r="J513" s="25" t="s">
        <v>250</v>
      </c>
      <c r="K513" s="25" t="n">
        <v>4</v>
      </c>
      <c r="L513" s="25" t="n">
        <v>20550.39</v>
      </c>
      <c r="M513" s="25" t="n">
        <v>5</v>
      </c>
      <c r="N513" s="25" t="n">
        <v>82201.56</v>
      </c>
      <c r="O513" s="25" t="n">
        <v>4110.08</v>
      </c>
      <c r="P513" s="25" t="n">
        <v>78091.48</v>
      </c>
      <c r="Q513" s="27" t="b">
        <f aca="false">FALSE()</f>
        <v>0</v>
      </c>
      <c r="R513" s="27" t="b">
        <f aca="false">FALSE()</f>
        <v>0</v>
      </c>
      <c r="S513" s="27" t="b">
        <f aca="false">FALSE()</f>
        <v>0</v>
      </c>
    </row>
    <row r="514" customFormat="false" ht="15" hidden="false" customHeight="false" outlineLevel="0" collapsed="false">
      <c r="A514" s="25" t="n">
        <v>513</v>
      </c>
      <c r="B514" s="25" t="s">
        <v>1418</v>
      </c>
      <c r="C514" s="25" t="s">
        <v>479</v>
      </c>
      <c r="D514" s="25" t="n">
        <v>20220219</v>
      </c>
      <c r="E514" s="25" t="n">
        <v>31</v>
      </c>
      <c r="F514" s="25" t="n">
        <v>70</v>
      </c>
      <c r="G514" s="25" t="s">
        <v>114</v>
      </c>
      <c r="H514" s="25" t="s">
        <v>25</v>
      </c>
      <c r="I514" s="25" t="s">
        <v>1738</v>
      </c>
      <c r="J514" s="25" t="s">
        <v>250</v>
      </c>
      <c r="K514" s="25" t="n">
        <v>3</v>
      </c>
      <c r="L514" s="25" t="n">
        <v>3962.52</v>
      </c>
      <c r="M514" s="25" t="n">
        <v>5</v>
      </c>
      <c r="N514" s="25" t="n">
        <v>11887.56</v>
      </c>
      <c r="O514" s="25" t="n">
        <v>594.38</v>
      </c>
      <c r="P514" s="25" t="n">
        <v>11293.18</v>
      </c>
      <c r="Q514" s="27" t="b">
        <f aca="false">FALSE()</f>
        <v>0</v>
      </c>
      <c r="R514" s="27" t="b">
        <f aca="false">FALSE()</f>
        <v>0</v>
      </c>
      <c r="S514" s="27" t="b">
        <f aca="false">FALSE()</f>
        <v>0</v>
      </c>
    </row>
    <row r="515" customFormat="false" ht="15" hidden="false" customHeight="false" outlineLevel="0" collapsed="false">
      <c r="A515" s="25" t="n">
        <v>514</v>
      </c>
      <c r="B515" s="25" t="s">
        <v>1419</v>
      </c>
      <c r="C515" s="25" t="s">
        <v>427</v>
      </c>
      <c r="D515" s="25" t="n">
        <v>20250705</v>
      </c>
      <c r="E515" s="25" t="n">
        <v>127</v>
      </c>
      <c r="F515" s="25" t="n">
        <v>55</v>
      </c>
      <c r="G515" s="25" t="s">
        <v>114</v>
      </c>
      <c r="H515" s="25" t="s">
        <v>2272</v>
      </c>
      <c r="I515" s="25" t="s">
        <v>89</v>
      </c>
      <c r="J515" s="25" t="s">
        <v>242</v>
      </c>
      <c r="K515" s="25" t="n">
        <v>3</v>
      </c>
      <c r="L515" s="25" t="n">
        <v>5471.28</v>
      </c>
      <c r="M515" s="25" t="n">
        <v>0</v>
      </c>
      <c r="N515" s="25" t="n">
        <v>16413.84</v>
      </c>
      <c r="O515" s="25" t="n">
        <v>0</v>
      </c>
      <c r="P515" s="25" t="n">
        <v>16413.84</v>
      </c>
      <c r="Q515" s="27" t="b">
        <f aca="false">FALSE()</f>
        <v>0</v>
      </c>
      <c r="R515" s="27" t="b">
        <f aca="false">FALSE()</f>
        <v>0</v>
      </c>
      <c r="S515" s="27" t="b">
        <f aca="false">FALSE()</f>
        <v>0</v>
      </c>
    </row>
    <row r="516" customFormat="false" ht="15" hidden="false" customHeight="false" outlineLevel="0" collapsed="false">
      <c r="A516" s="25" t="n">
        <v>515</v>
      </c>
      <c r="B516" s="25" t="s">
        <v>1421</v>
      </c>
      <c r="C516" s="25" t="s">
        <v>427</v>
      </c>
      <c r="D516" s="25" t="n">
        <v>20250705</v>
      </c>
      <c r="E516" s="25" t="n">
        <v>127</v>
      </c>
      <c r="F516" s="25" t="n">
        <v>54</v>
      </c>
      <c r="G516" s="25" t="s">
        <v>114</v>
      </c>
      <c r="H516" s="25" t="s">
        <v>2272</v>
      </c>
      <c r="I516" s="25" t="s">
        <v>89</v>
      </c>
      <c r="J516" s="25" t="s">
        <v>242</v>
      </c>
      <c r="K516" s="25" t="n">
        <v>1</v>
      </c>
      <c r="L516" s="25" t="n">
        <v>20481.04</v>
      </c>
      <c r="M516" s="25" t="n">
        <v>15</v>
      </c>
      <c r="N516" s="25" t="n">
        <v>20481.04</v>
      </c>
      <c r="O516" s="25" t="n">
        <v>3072.16</v>
      </c>
      <c r="P516" s="25" t="n">
        <v>17408.88</v>
      </c>
      <c r="Q516" s="27" t="b">
        <f aca="false">FALSE()</f>
        <v>0</v>
      </c>
      <c r="R516" s="27" t="b">
        <f aca="false">FALSE()</f>
        <v>0</v>
      </c>
      <c r="S516" s="27" t="b">
        <f aca="false">FALSE()</f>
        <v>0</v>
      </c>
    </row>
    <row r="517" customFormat="false" ht="15" hidden="false" customHeight="false" outlineLevel="0" collapsed="false">
      <c r="A517" s="25" t="n">
        <v>516</v>
      </c>
      <c r="B517" s="25" t="s">
        <v>1422</v>
      </c>
      <c r="C517" s="25" t="s">
        <v>488</v>
      </c>
      <c r="D517" s="25" t="n">
        <v>20251010</v>
      </c>
      <c r="E517" s="25" t="n">
        <v>114</v>
      </c>
      <c r="F517" s="25" t="n">
        <v>30</v>
      </c>
      <c r="G517" s="25" t="s">
        <v>114</v>
      </c>
      <c r="H517" s="25" t="s">
        <v>2278</v>
      </c>
      <c r="I517" s="25" t="s">
        <v>1743</v>
      </c>
      <c r="J517" s="25" t="s">
        <v>246</v>
      </c>
      <c r="K517" s="25" t="n">
        <v>2</v>
      </c>
      <c r="L517" s="25" t="n">
        <v>20253.93</v>
      </c>
      <c r="M517" s="25" t="n">
        <v>10</v>
      </c>
      <c r="N517" s="25" t="n">
        <v>40507.86</v>
      </c>
      <c r="O517" s="25" t="n">
        <v>4050.79</v>
      </c>
      <c r="P517" s="25" t="n">
        <v>36457.07</v>
      </c>
      <c r="Q517" s="27" t="b">
        <f aca="false">FALSE()</f>
        <v>0</v>
      </c>
      <c r="R517" s="27" t="b">
        <f aca="false">FALSE()</f>
        <v>0</v>
      </c>
      <c r="S517" s="27" t="b">
        <f aca="false">FALSE()</f>
        <v>0</v>
      </c>
    </row>
    <row r="518" customFormat="false" ht="15" hidden="false" customHeight="false" outlineLevel="0" collapsed="false">
      <c r="A518" s="25" t="n">
        <v>517</v>
      </c>
      <c r="B518" s="25" t="s">
        <v>1423</v>
      </c>
      <c r="C518" s="25" t="s">
        <v>488</v>
      </c>
      <c r="D518" s="25" t="n">
        <v>20251010</v>
      </c>
      <c r="E518" s="25" t="n">
        <v>114</v>
      </c>
      <c r="F518" s="25" t="n">
        <v>25</v>
      </c>
      <c r="G518" s="25" t="s">
        <v>114</v>
      </c>
      <c r="H518" s="25" t="s">
        <v>2278</v>
      </c>
      <c r="I518" s="25" t="s">
        <v>1743</v>
      </c>
      <c r="J518" s="25" t="s">
        <v>246</v>
      </c>
      <c r="K518" s="25" t="n">
        <v>5</v>
      </c>
      <c r="L518" s="25" t="n">
        <v>19632.52</v>
      </c>
      <c r="M518" s="25" t="n">
        <v>0</v>
      </c>
      <c r="N518" s="25" t="n">
        <v>98162.6</v>
      </c>
      <c r="O518" s="25" t="n">
        <v>0</v>
      </c>
      <c r="P518" s="25" t="n">
        <v>98162.6</v>
      </c>
      <c r="Q518" s="27" t="b">
        <f aca="false">FALSE()</f>
        <v>0</v>
      </c>
      <c r="R518" s="27" t="b">
        <f aca="false">FALSE()</f>
        <v>0</v>
      </c>
      <c r="S518" s="27" t="b">
        <f aca="false">FALSE()</f>
        <v>0</v>
      </c>
    </row>
    <row r="519" customFormat="false" ht="15" hidden="false" customHeight="false" outlineLevel="0" collapsed="false">
      <c r="A519" s="25" t="n">
        <v>518</v>
      </c>
      <c r="B519" s="25" t="s">
        <v>1424</v>
      </c>
      <c r="C519" s="25" t="s">
        <v>488</v>
      </c>
      <c r="D519" s="25" t="n">
        <v>20251010</v>
      </c>
      <c r="E519" s="25" t="n">
        <v>114</v>
      </c>
      <c r="F519" s="25" t="n">
        <v>18</v>
      </c>
      <c r="G519" s="25" t="s">
        <v>114</v>
      </c>
      <c r="H519" s="25" t="s">
        <v>2278</v>
      </c>
      <c r="I519" s="25" t="s">
        <v>1743</v>
      </c>
      <c r="J519" s="25" t="s">
        <v>246</v>
      </c>
      <c r="K519" s="25" t="n">
        <v>4</v>
      </c>
      <c r="L519" s="25" t="n">
        <v>17477.91</v>
      </c>
      <c r="M519" s="25" t="n">
        <v>20</v>
      </c>
      <c r="N519" s="25" t="n">
        <v>69911.64</v>
      </c>
      <c r="O519" s="25" t="n">
        <v>13982.33</v>
      </c>
      <c r="P519" s="25" t="n">
        <v>55929.31</v>
      </c>
      <c r="Q519" s="27" t="b">
        <f aca="false">FALSE()</f>
        <v>0</v>
      </c>
      <c r="R519" s="27" t="b">
        <f aca="false">FALSE()</f>
        <v>0</v>
      </c>
      <c r="S519" s="27" t="b">
        <f aca="false">FALSE()</f>
        <v>0</v>
      </c>
    </row>
    <row r="520" customFormat="false" ht="15" hidden="false" customHeight="false" outlineLevel="0" collapsed="false">
      <c r="A520" s="25" t="n">
        <v>519</v>
      </c>
      <c r="B520" s="25" t="s">
        <v>1425</v>
      </c>
      <c r="C520" s="25" t="s">
        <v>488</v>
      </c>
      <c r="D520" s="25" t="n">
        <v>20251010</v>
      </c>
      <c r="E520" s="25" t="n">
        <v>114</v>
      </c>
      <c r="F520" s="25" t="n">
        <v>20</v>
      </c>
      <c r="G520" s="25" t="s">
        <v>114</v>
      </c>
      <c r="H520" s="25" t="s">
        <v>2278</v>
      </c>
      <c r="I520" s="25" t="s">
        <v>1743</v>
      </c>
      <c r="J520" s="25" t="s">
        <v>246</v>
      </c>
      <c r="K520" s="25" t="n">
        <v>4</v>
      </c>
      <c r="L520" s="25" t="n">
        <v>3634.57</v>
      </c>
      <c r="M520" s="25" t="n">
        <v>15</v>
      </c>
      <c r="N520" s="25" t="n">
        <v>14538.28</v>
      </c>
      <c r="O520" s="25" t="n">
        <v>2180.74</v>
      </c>
      <c r="P520" s="25" t="n">
        <v>12357.54</v>
      </c>
      <c r="Q520" s="27" t="b">
        <f aca="false">FALSE()</f>
        <v>0</v>
      </c>
      <c r="R520" s="27" t="b">
        <f aca="false">FALSE()</f>
        <v>0</v>
      </c>
      <c r="S520" s="27" t="b">
        <f aca="false">FALSE()</f>
        <v>0</v>
      </c>
    </row>
    <row r="521" customFormat="false" ht="15" hidden="false" customHeight="false" outlineLevel="0" collapsed="false">
      <c r="A521" s="25" t="n">
        <v>520</v>
      </c>
      <c r="B521" s="25" t="s">
        <v>1426</v>
      </c>
      <c r="C521" s="25" t="s">
        <v>515</v>
      </c>
      <c r="D521" s="25" t="n">
        <v>20241014</v>
      </c>
      <c r="E521" s="25" t="n">
        <v>37</v>
      </c>
      <c r="F521" s="25" t="n">
        <v>41</v>
      </c>
      <c r="G521" s="25" t="s">
        <v>114</v>
      </c>
      <c r="H521" s="25" t="s">
        <v>25</v>
      </c>
      <c r="I521" s="25" t="s">
        <v>83</v>
      </c>
      <c r="J521" s="25" t="s">
        <v>242</v>
      </c>
      <c r="K521" s="25" t="n">
        <v>1</v>
      </c>
      <c r="L521" s="25" t="n">
        <v>11992.92</v>
      </c>
      <c r="M521" s="25" t="n">
        <v>0</v>
      </c>
      <c r="N521" s="25" t="n">
        <v>11992.92</v>
      </c>
      <c r="O521" s="25" t="n">
        <v>0</v>
      </c>
      <c r="P521" s="25" t="n">
        <v>11992.92</v>
      </c>
      <c r="Q521" s="27" t="b">
        <f aca="false">FALSE()</f>
        <v>0</v>
      </c>
      <c r="R521" s="27" t="b">
        <f aca="false">FALSE()</f>
        <v>0</v>
      </c>
      <c r="S521" s="27" t="b">
        <f aca="false">FALSE()</f>
        <v>0</v>
      </c>
    </row>
    <row r="522" customFormat="false" ht="15" hidden="false" customHeight="false" outlineLevel="0" collapsed="false">
      <c r="A522" s="25" t="n">
        <v>521</v>
      </c>
      <c r="B522" s="25" t="s">
        <v>1427</v>
      </c>
      <c r="C522" s="25" t="s">
        <v>515</v>
      </c>
      <c r="D522" s="25" t="n">
        <v>20241014</v>
      </c>
      <c r="E522" s="25" t="n">
        <v>37</v>
      </c>
      <c r="F522" s="25" t="n">
        <v>9</v>
      </c>
      <c r="G522" s="25" t="s">
        <v>114</v>
      </c>
      <c r="H522" s="25" t="s">
        <v>25</v>
      </c>
      <c r="I522" s="25" t="s">
        <v>83</v>
      </c>
      <c r="J522" s="25" t="s">
        <v>242</v>
      </c>
      <c r="K522" s="25" t="n">
        <v>2</v>
      </c>
      <c r="L522" s="25" t="n">
        <v>26274.11</v>
      </c>
      <c r="M522" s="25" t="n">
        <v>10</v>
      </c>
      <c r="N522" s="25" t="n">
        <v>52548.22</v>
      </c>
      <c r="O522" s="25" t="n">
        <v>5254.82</v>
      </c>
      <c r="P522" s="25" t="n">
        <v>47293.4</v>
      </c>
      <c r="Q522" s="27" t="b">
        <f aca="false">FALSE()</f>
        <v>0</v>
      </c>
      <c r="R522" s="27" t="b">
        <f aca="false">FALSE()</f>
        <v>0</v>
      </c>
      <c r="S522" s="27" t="b">
        <f aca="false">FALSE()</f>
        <v>0</v>
      </c>
    </row>
    <row r="523" customFormat="false" ht="15" hidden="false" customHeight="false" outlineLevel="0" collapsed="false">
      <c r="A523" s="25" t="n">
        <v>522</v>
      </c>
      <c r="B523" s="25" t="s">
        <v>1428</v>
      </c>
      <c r="C523" s="25" t="s">
        <v>515</v>
      </c>
      <c r="D523" s="25" t="n">
        <v>20241014</v>
      </c>
      <c r="E523" s="25" t="n">
        <v>37</v>
      </c>
      <c r="F523" s="25" t="n">
        <v>42</v>
      </c>
      <c r="G523" s="25" t="s">
        <v>114</v>
      </c>
      <c r="H523" s="25" t="s">
        <v>25</v>
      </c>
      <c r="I523" s="25" t="s">
        <v>83</v>
      </c>
      <c r="J523" s="25" t="s">
        <v>242</v>
      </c>
      <c r="K523" s="25" t="n">
        <v>1</v>
      </c>
      <c r="L523" s="25" t="n">
        <v>11284.39</v>
      </c>
      <c r="M523" s="25" t="n">
        <v>5</v>
      </c>
      <c r="N523" s="25" t="n">
        <v>11284.39</v>
      </c>
      <c r="O523" s="25" t="n">
        <v>564.22</v>
      </c>
      <c r="P523" s="25" t="n">
        <v>10720.17</v>
      </c>
      <c r="Q523" s="27" t="b">
        <f aca="false">FALSE()</f>
        <v>0</v>
      </c>
      <c r="R523" s="27" t="b">
        <f aca="false">FALSE()</f>
        <v>0</v>
      </c>
      <c r="S523" s="27" t="b">
        <f aca="false">FALSE()</f>
        <v>0</v>
      </c>
    </row>
    <row r="524" customFormat="false" ht="15" hidden="false" customHeight="false" outlineLevel="0" collapsed="false">
      <c r="A524" s="25" t="n">
        <v>523</v>
      </c>
      <c r="B524" s="25" t="s">
        <v>1429</v>
      </c>
      <c r="C524" s="25" t="s">
        <v>404</v>
      </c>
      <c r="D524" s="25" t="n">
        <v>20250604</v>
      </c>
      <c r="E524" s="25" t="n">
        <v>91</v>
      </c>
      <c r="F524" s="25" t="n">
        <v>61</v>
      </c>
      <c r="G524" s="25" t="s">
        <v>113</v>
      </c>
      <c r="H524" s="25" t="s">
        <v>25</v>
      </c>
      <c r="I524" s="25" t="s">
        <v>1738</v>
      </c>
      <c r="J524" s="25" t="s">
        <v>242</v>
      </c>
      <c r="K524" s="25" t="n">
        <v>5</v>
      </c>
      <c r="L524" s="25" t="n">
        <v>8318.56</v>
      </c>
      <c r="M524" s="25" t="n">
        <v>20</v>
      </c>
      <c r="N524" s="25" t="n">
        <v>41592.8</v>
      </c>
      <c r="O524" s="25" t="n">
        <v>8318.56</v>
      </c>
      <c r="P524" s="25" t="n">
        <v>33274.24</v>
      </c>
      <c r="Q524" s="27" t="b">
        <f aca="false">FALSE()</f>
        <v>0</v>
      </c>
      <c r="R524" s="27" t="b">
        <f aca="false">FALSE()</f>
        <v>0</v>
      </c>
      <c r="S524" s="27" t="b">
        <f aca="false">FALSE()</f>
        <v>0</v>
      </c>
    </row>
    <row r="525" customFormat="false" ht="15" hidden="false" customHeight="false" outlineLevel="0" collapsed="false">
      <c r="A525" s="25" t="n">
        <v>524</v>
      </c>
      <c r="B525" s="25" t="s">
        <v>1430</v>
      </c>
      <c r="C525" s="25" t="s">
        <v>404</v>
      </c>
      <c r="D525" s="25" t="n">
        <v>20250604</v>
      </c>
      <c r="E525" s="25" t="n">
        <v>91</v>
      </c>
      <c r="F525" s="25" t="n">
        <v>21</v>
      </c>
      <c r="G525" s="25" t="s">
        <v>113</v>
      </c>
      <c r="H525" s="25" t="s">
        <v>25</v>
      </c>
      <c r="I525" s="25" t="s">
        <v>1738</v>
      </c>
      <c r="J525" s="25" t="s">
        <v>242</v>
      </c>
      <c r="K525" s="25" t="n">
        <v>2</v>
      </c>
      <c r="L525" s="25" t="n">
        <v>3184.81</v>
      </c>
      <c r="M525" s="25" t="n">
        <v>0</v>
      </c>
      <c r="N525" s="25" t="n">
        <v>6369.62</v>
      </c>
      <c r="O525" s="25" t="n">
        <v>0</v>
      </c>
      <c r="P525" s="25" t="n">
        <v>6369.62</v>
      </c>
      <c r="Q525" s="27" t="b">
        <f aca="false">FALSE()</f>
        <v>0</v>
      </c>
      <c r="R525" s="27" t="b">
        <f aca="false">FALSE()</f>
        <v>0</v>
      </c>
      <c r="S525" s="27" t="b">
        <f aca="false">FALSE()</f>
        <v>0</v>
      </c>
    </row>
    <row r="526" customFormat="false" ht="15" hidden="false" customHeight="false" outlineLevel="0" collapsed="false">
      <c r="A526" s="25" t="n">
        <v>525</v>
      </c>
      <c r="B526" s="25" t="s">
        <v>1431</v>
      </c>
      <c r="C526" s="25" t="s">
        <v>404</v>
      </c>
      <c r="D526" s="25" t="n">
        <v>20250604</v>
      </c>
      <c r="E526" s="25" t="n">
        <v>91</v>
      </c>
      <c r="F526" s="25" t="n">
        <v>7</v>
      </c>
      <c r="G526" s="25" t="s">
        <v>113</v>
      </c>
      <c r="H526" s="25" t="s">
        <v>25</v>
      </c>
      <c r="I526" s="25" t="s">
        <v>1738</v>
      </c>
      <c r="J526" s="25" t="s">
        <v>242</v>
      </c>
      <c r="K526" s="25" t="n">
        <v>1</v>
      </c>
      <c r="L526" s="25" t="n">
        <v>20278.89</v>
      </c>
      <c r="M526" s="25" t="n">
        <v>5</v>
      </c>
      <c r="N526" s="25" t="n">
        <v>20278.89</v>
      </c>
      <c r="O526" s="25" t="n">
        <v>1013.94</v>
      </c>
      <c r="P526" s="25" t="n">
        <v>19264.95</v>
      </c>
      <c r="Q526" s="27" t="b">
        <f aca="false">TRUE()</f>
        <v>1</v>
      </c>
      <c r="R526" s="27" t="b">
        <f aca="false">FALSE()</f>
        <v>0</v>
      </c>
      <c r="S526" s="27" t="b">
        <f aca="false">FALSE()</f>
        <v>0</v>
      </c>
    </row>
    <row r="527" customFormat="false" ht="15" hidden="false" customHeight="false" outlineLevel="0" collapsed="false">
      <c r="A527" s="25" t="n">
        <v>526</v>
      </c>
      <c r="B527" s="25" t="s">
        <v>1432</v>
      </c>
      <c r="C527" s="25" t="s">
        <v>360</v>
      </c>
      <c r="D527" s="25" t="n">
        <v>20250412</v>
      </c>
      <c r="E527" s="25" t="n">
        <v>-1</v>
      </c>
      <c r="F527" s="25" t="n">
        <v>24</v>
      </c>
      <c r="G527" s="25" t="s">
        <v>114</v>
      </c>
      <c r="H527" s="25" t="s">
        <v>2262</v>
      </c>
      <c r="I527" s="25" t="s">
        <v>71</v>
      </c>
      <c r="J527" s="25" t="s">
        <v>269</v>
      </c>
      <c r="K527" s="25" t="n">
        <v>4</v>
      </c>
      <c r="L527" s="25" t="n">
        <v>11175.62</v>
      </c>
      <c r="M527" s="25" t="n">
        <v>0</v>
      </c>
      <c r="N527" s="25" t="n">
        <v>44702.48</v>
      </c>
      <c r="O527" s="25" t="n">
        <v>0</v>
      </c>
      <c r="P527" s="25" t="n">
        <v>44702.48</v>
      </c>
      <c r="Q527" s="27" t="b">
        <f aca="false">FALSE()</f>
        <v>0</v>
      </c>
      <c r="R527" s="27" t="b">
        <f aca="false">FALSE()</f>
        <v>0</v>
      </c>
      <c r="S527" s="27" t="b">
        <f aca="false">FALSE()</f>
        <v>0</v>
      </c>
    </row>
    <row r="528" customFormat="false" ht="15" hidden="false" customHeight="false" outlineLevel="0" collapsed="false">
      <c r="A528" s="25" t="n">
        <v>527</v>
      </c>
      <c r="B528" s="25" t="s">
        <v>1433</v>
      </c>
      <c r="C528" s="25" t="s">
        <v>360</v>
      </c>
      <c r="D528" s="25" t="n">
        <v>20250412</v>
      </c>
      <c r="E528" s="25" t="n">
        <v>-1</v>
      </c>
      <c r="F528" s="25" t="n">
        <v>61</v>
      </c>
      <c r="G528" s="25" t="s">
        <v>114</v>
      </c>
      <c r="H528" s="25" t="s">
        <v>2262</v>
      </c>
      <c r="I528" s="25" t="s">
        <v>71</v>
      </c>
      <c r="J528" s="25" t="s">
        <v>269</v>
      </c>
      <c r="K528" s="25" t="n">
        <v>5</v>
      </c>
      <c r="L528" s="25" t="n">
        <v>8318.56</v>
      </c>
      <c r="M528" s="25" t="n">
        <v>20</v>
      </c>
      <c r="N528" s="25" t="n">
        <v>41592.8</v>
      </c>
      <c r="O528" s="25" t="n">
        <v>8318.56</v>
      </c>
      <c r="P528" s="25" t="n">
        <v>33274.24</v>
      </c>
      <c r="Q528" s="27" t="b">
        <f aca="false">FALSE()</f>
        <v>0</v>
      </c>
      <c r="R528" s="27" t="b">
        <f aca="false">FALSE()</f>
        <v>0</v>
      </c>
      <c r="S528" s="27" t="b">
        <f aca="false">FALSE()</f>
        <v>0</v>
      </c>
    </row>
    <row r="529" customFormat="false" ht="15" hidden="false" customHeight="false" outlineLevel="0" collapsed="false">
      <c r="A529" s="25" t="n">
        <v>528</v>
      </c>
      <c r="B529" s="25" t="s">
        <v>1434</v>
      </c>
      <c r="C529" s="25" t="s">
        <v>360</v>
      </c>
      <c r="D529" s="25" t="n">
        <v>20250412</v>
      </c>
      <c r="E529" s="25" t="n">
        <v>-1</v>
      </c>
      <c r="F529" s="25" t="n">
        <v>50</v>
      </c>
      <c r="G529" s="25" t="s">
        <v>114</v>
      </c>
      <c r="H529" s="25" t="s">
        <v>2262</v>
      </c>
      <c r="I529" s="25" t="s">
        <v>71</v>
      </c>
      <c r="J529" s="25" t="s">
        <v>269</v>
      </c>
      <c r="K529" s="25" t="n">
        <v>2</v>
      </c>
      <c r="L529" s="25" t="n">
        <v>22582.54</v>
      </c>
      <c r="M529" s="25" t="n">
        <v>20</v>
      </c>
      <c r="N529" s="25" t="n">
        <v>45165.08</v>
      </c>
      <c r="O529" s="25" t="n">
        <v>9033.02</v>
      </c>
      <c r="P529" s="25" t="n">
        <v>36132.06</v>
      </c>
      <c r="Q529" s="27" t="b">
        <f aca="false">FALSE()</f>
        <v>0</v>
      </c>
      <c r="R529" s="27" t="b">
        <f aca="false">FALSE()</f>
        <v>0</v>
      </c>
      <c r="S529" s="27" t="b">
        <f aca="false">FALSE()</f>
        <v>0</v>
      </c>
    </row>
    <row r="530" customFormat="false" ht="15" hidden="false" customHeight="false" outlineLevel="0" collapsed="false">
      <c r="A530" s="25" t="n">
        <v>529</v>
      </c>
      <c r="B530" s="25" t="s">
        <v>1435</v>
      </c>
      <c r="C530" s="25" t="s">
        <v>346</v>
      </c>
      <c r="D530" s="25" t="n">
        <v>20251020</v>
      </c>
      <c r="E530" s="25" t="n">
        <v>123</v>
      </c>
      <c r="F530" s="25" t="n">
        <v>65</v>
      </c>
      <c r="G530" s="25" t="s">
        <v>115</v>
      </c>
      <c r="H530" s="25" t="s">
        <v>25</v>
      </c>
      <c r="I530" s="25" t="s">
        <v>1743</v>
      </c>
      <c r="J530" s="25" t="s">
        <v>242</v>
      </c>
      <c r="K530" s="25" t="n">
        <v>5</v>
      </c>
      <c r="L530" s="25" t="n">
        <v>15706.03</v>
      </c>
      <c r="M530" s="25" t="n">
        <v>0</v>
      </c>
      <c r="N530" s="25" t="n">
        <v>78530.15</v>
      </c>
      <c r="O530" s="25" t="n">
        <v>0</v>
      </c>
      <c r="P530" s="25" t="n">
        <v>78530.15</v>
      </c>
      <c r="Q530" s="27" t="b">
        <f aca="false">FALSE()</f>
        <v>0</v>
      </c>
      <c r="R530" s="27" t="b">
        <f aca="false">FALSE()</f>
        <v>0</v>
      </c>
      <c r="S530" s="27" t="b">
        <f aca="false">FALSE()</f>
        <v>0</v>
      </c>
    </row>
    <row r="531" customFormat="false" ht="15" hidden="false" customHeight="false" outlineLevel="0" collapsed="false">
      <c r="A531" s="25" t="n">
        <v>530</v>
      </c>
      <c r="B531" s="25" t="s">
        <v>1436</v>
      </c>
      <c r="C531" s="25" t="s">
        <v>426</v>
      </c>
      <c r="D531" s="25" t="n">
        <v>20241122</v>
      </c>
      <c r="E531" s="25" t="n">
        <v>87</v>
      </c>
      <c r="F531" s="25" t="n">
        <v>61</v>
      </c>
      <c r="G531" s="25" t="s">
        <v>113</v>
      </c>
      <c r="H531" s="25" t="s">
        <v>25</v>
      </c>
      <c r="I531" s="25" t="s">
        <v>71</v>
      </c>
      <c r="J531" s="25" t="s">
        <v>242</v>
      </c>
      <c r="K531" s="25" t="n">
        <v>1</v>
      </c>
      <c r="L531" s="25" t="n">
        <v>8318.56</v>
      </c>
      <c r="M531" s="25" t="n">
        <v>20</v>
      </c>
      <c r="N531" s="25" t="n">
        <v>8318.56</v>
      </c>
      <c r="O531" s="25" t="n">
        <v>1663.71</v>
      </c>
      <c r="P531" s="25" t="n">
        <v>6654.85</v>
      </c>
      <c r="Q531" s="27" t="b">
        <f aca="false">FALSE()</f>
        <v>0</v>
      </c>
      <c r="R531" s="27" t="b">
        <f aca="false">FALSE()</f>
        <v>0</v>
      </c>
      <c r="S531" s="27" t="b">
        <f aca="false">FALSE()</f>
        <v>0</v>
      </c>
    </row>
    <row r="532" customFormat="false" ht="15" hidden="false" customHeight="false" outlineLevel="0" collapsed="false">
      <c r="A532" s="25" t="n">
        <v>531</v>
      </c>
      <c r="B532" s="25" t="s">
        <v>1438</v>
      </c>
      <c r="C532" s="25" t="s">
        <v>426</v>
      </c>
      <c r="D532" s="25" t="n">
        <v>20241122</v>
      </c>
      <c r="E532" s="25" t="n">
        <v>87</v>
      </c>
      <c r="F532" s="25" t="n">
        <v>23</v>
      </c>
      <c r="G532" s="25" t="s">
        <v>113</v>
      </c>
      <c r="H532" s="25" t="s">
        <v>25</v>
      </c>
      <c r="I532" s="25" t="s">
        <v>71</v>
      </c>
      <c r="J532" s="25" t="s">
        <v>242</v>
      </c>
      <c r="K532" s="25" t="n">
        <v>5</v>
      </c>
      <c r="L532" s="25" t="n">
        <v>3019.36</v>
      </c>
      <c r="M532" s="25" t="n">
        <v>10</v>
      </c>
      <c r="N532" s="25" t="n">
        <v>15096.8</v>
      </c>
      <c r="O532" s="25" t="n">
        <v>1509.68</v>
      </c>
      <c r="P532" s="25" t="n">
        <v>13587.12</v>
      </c>
      <c r="Q532" s="27" t="b">
        <f aca="false">FALSE()</f>
        <v>0</v>
      </c>
      <c r="R532" s="27" t="b">
        <f aca="false">FALSE()</f>
        <v>0</v>
      </c>
      <c r="S532" s="27" t="b">
        <f aca="false">FALSE()</f>
        <v>0</v>
      </c>
    </row>
    <row r="533" customFormat="false" ht="15" hidden="false" customHeight="false" outlineLevel="0" collapsed="false">
      <c r="A533" s="25" t="n">
        <v>532</v>
      </c>
      <c r="B533" s="25" t="s">
        <v>1439</v>
      </c>
      <c r="C533" s="25" t="s">
        <v>426</v>
      </c>
      <c r="D533" s="25" t="n">
        <v>20241122</v>
      </c>
      <c r="E533" s="25" t="n">
        <v>87</v>
      </c>
      <c r="F533" s="25" t="n">
        <v>30</v>
      </c>
      <c r="G533" s="25" t="s">
        <v>113</v>
      </c>
      <c r="H533" s="25" t="s">
        <v>25</v>
      </c>
      <c r="I533" s="25" t="s">
        <v>71</v>
      </c>
      <c r="J533" s="25" t="s">
        <v>242</v>
      </c>
      <c r="K533" s="25" t="n">
        <v>1</v>
      </c>
      <c r="L533" s="25" t="n">
        <v>20253.93</v>
      </c>
      <c r="M533" s="25" t="n">
        <v>5</v>
      </c>
      <c r="N533" s="25" t="n">
        <v>20253.93</v>
      </c>
      <c r="O533" s="25" t="n">
        <v>1012.7</v>
      </c>
      <c r="P533" s="25" t="n">
        <v>19241.23</v>
      </c>
      <c r="Q533" s="27" t="b">
        <f aca="false">FALSE()</f>
        <v>0</v>
      </c>
      <c r="R533" s="27" t="b">
        <f aca="false">FALSE()</f>
        <v>0</v>
      </c>
      <c r="S533" s="27" t="b">
        <f aca="false">FALSE()</f>
        <v>0</v>
      </c>
    </row>
    <row r="534" customFormat="false" ht="15" hidden="false" customHeight="false" outlineLevel="0" collapsed="false">
      <c r="A534" s="25" t="n">
        <v>533</v>
      </c>
      <c r="B534" s="25" t="s">
        <v>1440</v>
      </c>
      <c r="C534" s="25" t="s">
        <v>442</v>
      </c>
      <c r="D534" s="25" t="n">
        <v>20240730</v>
      </c>
      <c r="E534" s="25" t="n">
        <v>114</v>
      </c>
      <c r="F534" s="25" t="n">
        <v>35</v>
      </c>
      <c r="G534" s="25" t="s">
        <v>113</v>
      </c>
      <c r="H534" s="25" t="s">
        <v>25</v>
      </c>
      <c r="I534" s="25" t="s">
        <v>86</v>
      </c>
      <c r="J534" s="25" t="s">
        <v>250</v>
      </c>
      <c r="K534" s="25" t="n">
        <v>5</v>
      </c>
      <c r="L534" s="25" t="n">
        <v>1741.05</v>
      </c>
      <c r="M534" s="25" t="n">
        <v>10</v>
      </c>
      <c r="N534" s="25" t="n">
        <v>8705.25</v>
      </c>
      <c r="O534" s="25" t="n">
        <v>870.52</v>
      </c>
      <c r="P534" s="25" t="n">
        <v>7834.73</v>
      </c>
      <c r="Q534" s="27" t="b">
        <f aca="false">FALSE()</f>
        <v>0</v>
      </c>
      <c r="R534" s="27" t="b">
        <f aca="false">FALSE()</f>
        <v>0</v>
      </c>
      <c r="S534" s="27" t="b">
        <f aca="false">FALSE()</f>
        <v>0</v>
      </c>
    </row>
    <row r="535" customFormat="false" ht="15" hidden="false" customHeight="false" outlineLevel="0" collapsed="false">
      <c r="A535" s="25" t="n">
        <v>534</v>
      </c>
      <c r="B535" s="25" t="s">
        <v>1441</v>
      </c>
      <c r="C535" s="25" t="s">
        <v>442</v>
      </c>
      <c r="D535" s="25" t="n">
        <v>20240730</v>
      </c>
      <c r="E535" s="25" t="n">
        <v>114</v>
      </c>
      <c r="F535" s="25" t="n">
        <v>7</v>
      </c>
      <c r="G535" s="25" t="s">
        <v>113</v>
      </c>
      <c r="H535" s="25" t="s">
        <v>25</v>
      </c>
      <c r="I535" s="25" t="s">
        <v>86</v>
      </c>
      <c r="J535" s="25" t="s">
        <v>250</v>
      </c>
      <c r="K535" s="25" t="n">
        <v>1</v>
      </c>
      <c r="L535" s="25" t="n">
        <v>20278.89</v>
      </c>
      <c r="M535" s="25" t="n">
        <v>20</v>
      </c>
      <c r="N535" s="25" t="n">
        <v>20278.89</v>
      </c>
      <c r="O535" s="25" t="n">
        <v>4055.78</v>
      </c>
      <c r="P535" s="25" t="n">
        <v>16223.11</v>
      </c>
      <c r="Q535" s="27" t="b">
        <f aca="false">FALSE()</f>
        <v>0</v>
      </c>
      <c r="R535" s="27" t="b">
        <f aca="false">FALSE()</f>
        <v>0</v>
      </c>
      <c r="S535" s="27" t="b">
        <f aca="false">FALSE()</f>
        <v>0</v>
      </c>
    </row>
    <row r="536" customFormat="false" ht="15" hidden="false" customHeight="false" outlineLevel="0" collapsed="false">
      <c r="A536" s="25" t="n">
        <v>535</v>
      </c>
      <c r="B536" s="25" t="s">
        <v>1442</v>
      </c>
      <c r="C536" s="25" t="s">
        <v>442</v>
      </c>
      <c r="D536" s="25" t="n">
        <v>20240730</v>
      </c>
      <c r="E536" s="25" t="n">
        <v>114</v>
      </c>
      <c r="F536" s="25" t="n">
        <v>10</v>
      </c>
      <c r="G536" s="25" t="s">
        <v>113</v>
      </c>
      <c r="H536" s="25" t="s">
        <v>25</v>
      </c>
      <c r="I536" s="25" t="s">
        <v>86</v>
      </c>
      <c r="J536" s="25" t="s">
        <v>250</v>
      </c>
      <c r="K536" s="25" t="n">
        <v>4</v>
      </c>
      <c r="L536" s="25" t="n">
        <v>1165.83</v>
      </c>
      <c r="M536" s="25" t="n">
        <v>15</v>
      </c>
      <c r="N536" s="25" t="n">
        <v>4663.32</v>
      </c>
      <c r="O536" s="25" t="n">
        <v>699.5</v>
      </c>
      <c r="P536" s="25" t="n">
        <v>3963.82</v>
      </c>
      <c r="Q536" s="27" t="b">
        <f aca="false">FALSE()</f>
        <v>0</v>
      </c>
      <c r="R536" s="27" t="b">
        <f aca="false">FALSE()</f>
        <v>0</v>
      </c>
      <c r="S536" s="27" t="b">
        <f aca="false">FALSE()</f>
        <v>0</v>
      </c>
    </row>
    <row r="537" customFormat="false" ht="15" hidden="false" customHeight="false" outlineLevel="0" collapsed="false">
      <c r="A537" s="25" t="n">
        <v>536</v>
      </c>
      <c r="B537" s="25" t="s">
        <v>1443</v>
      </c>
      <c r="C537" s="25" t="s">
        <v>442</v>
      </c>
      <c r="D537" s="25" t="n">
        <v>20240730</v>
      </c>
      <c r="E537" s="25" t="n">
        <v>114</v>
      </c>
      <c r="F537" s="25" t="n">
        <v>40</v>
      </c>
      <c r="G537" s="25" t="s">
        <v>113</v>
      </c>
      <c r="H537" s="25" t="s">
        <v>25</v>
      </c>
      <c r="I537" s="25" t="s">
        <v>86</v>
      </c>
      <c r="J537" s="25" t="s">
        <v>250</v>
      </c>
      <c r="K537" s="25" t="n">
        <v>3</v>
      </c>
      <c r="L537" s="25" t="n">
        <v>0</v>
      </c>
      <c r="M537" s="25" t="n">
        <v>0</v>
      </c>
      <c r="N537" s="25" t="n">
        <v>0</v>
      </c>
      <c r="O537" s="25" t="n">
        <v>0</v>
      </c>
      <c r="P537" s="25" t="n">
        <v>0</v>
      </c>
      <c r="Q537" s="27" t="b">
        <f aca="false">FALSE()</f>
        <v>0</v>
      </c>
      <c r="R537" s="27" t="b">
        <f aca="false">TRUE()</f>
        <v>1</v>
      </c>
      <c r="S537" s="27" t="b">
        <f aca="false">FALSE()</f>
        <v>0</v>
      </c>
    </row>
    <row r="538" customFormat="false" ht="15" hidden="false" customHeight="false" outlineLevel="0" collapsed="false">
      <c r="A538" s="25" t="n">
        <v>537</v>
      </c>
      <c r="B538" s="25" t="s">
        <v>1444</v>
      </c>
      <c r="C538" s="25" t="s">
        <v>526</v>
      </c>
      <c r="D538" s="25" t="n">
        <v>20241009</v>
      </c>
      <c r="E538" s="25" t="n">
        <v>17</v>
      </c>
      <c r="F538" s="25" t="n">
        <v>10</v>
      </c>
      <c r="G538" s="25" t="s">
        <v>115</v>
      </c>
      <c r="H538" s="25" t="s">
        <v>25</v>
      </c>
      <c r="I538" s="25" t="s">
        <v>75</v>
      </c>
      <c r="J538" s="25" t="s">
        <v>269</v>
      </c>
      <c r="K538" s="25" t="n">
        <v>4</v>
      </c>
      <c r="L538" s="25" t="n">
        <v>1165.83</v>
      </c>
      <c r="M538" s="25" t="n">
        <v>0</v>
      </c>
      <c r="N538" s="25" t="n">
        <v>4663.32</v>
      </c>
      <c r="O538" s="25" t="n">
        <v>0</v>
      </c>
      <c r="P538" s="25" t="n">
        <v>4663.32</v>
      </c>
      <c r="Q538" s="27" t="b">
        <f aca="false">FALSE()</f>
        <v>0</v>
      </c>
      <c r="R538" s="27" t="b">
        <f aca="false">FALSE()</f>
        <v>0</v>
      </c>
      <c r="S538" s="27" t="b">
        <f aca="false">FALSE()</f>
        <v>0</v>
      </c>
    </row>
    <row r="539" customFormat="false" ht="15" hidden="false" customHeight="false" outlineLevel="0" collapsed="false">
      <c r="A539" s="25" t="n">
        <v>538</v>
      </c>
      <c r="B539" s="25" t="s">
        <v>1446</v>
      </c>
      <c r="C539" s="25" t="s">
        <v>535</v>
      </c>
      <c r="D539" s="25" t="n">
        <v>20250512</v>
      </c>
      <c r="E539" s="25" t="n">
        <v>110</v>
      </c>
      <c r="F539" s="25" t="n">
        <v>47</v>
      </c>
      <c r="G539" s="25" t="s">
        <v>113</v>
      </c>
      <c r="H539" s="25" t="s">
        <v>2275</v>
      </c>
      <c r="I539" s="25" t="s">
        <v>89</v>
      </c>
      <c r="J539" s="25" t="s">
        <v>242</v>
      </c>
      <c r="K539" s="25" t="n">
        <v>3</v>
      </c>
      <c r="L539" s="25" t="n">
        <v>5145.55</v>
      </c>
      <c r="M539" s="25" t="n">
        <v>0</v>
      </c>
      <c r="N539" s="25" t="n">
        <v>15436.65</v>
      </c>
      <c r="O539" s="25" t="n">
        <v>0</v>
      </c>
      <c r="P539" s="25" t="n">
        <v>15436.65</v>
      </c>
      <c r="Q539" s="27" t="b">
        <f aca="false">FALSE()</f>
        <v>0</v>
      </c>
      <c r="R539" s="27" t="b">
        <f aca="false">FALSE()</f>
        <v>0</v>
      </c>
      <c r="S539" s="27" t="b">
        <f aca="false">FALSE()</f>
        <v>0</v>
      </c>
    </row>
    <row r="540" customFormat="false" ht="15" hidden="false" customHeight="false" outlineLevel="0" collapsed="false">
      <c r="A540" s="25" t="n">
        <v>539</v>
      </c>
      <c r="B540" s="25" t="s">
        <v>1448</v>
      </c>
      <c r="C540" s="25" t="s">
        <v>535</v>
      </c>
      <c r="D540" s="25" t="n">
        <v>20250512</v>
      </c>
      <c r="E540" s="25" t="n">
        <v>110</v>
      </c>
      <c r="F540" s="25" t="n">
        <v>63</v>
      </c>
      <c r="G540" s="25" t="s">
        <v>113</v>
      </c>
      <c r="H540" s="25" t="s">
        <v>2275</v>
      </c>
      <c r="I540" s="25" t="s">
        <v>89</v>
      </c>
      <c r="J540" s="25" t="s">
        <v>242</v>
      </c>
      <c r="K540" s="25" t="n">
        <v>4</v>
      </c>
      <c r="L540" s="25" t="n">
        <v>9269.43</v>
      </c>
      <c r="M540" s="25" t="n">
        <v>0</v>
      </c>
      <c r="N540" s="25" t="n">
        <v>37077.72</v>
      </c>
      <c r="O540" s="25" t="n">
        <v>0</v>
      </c>
      <c r="P540" s="25" t="n">
        <v>37077.72</v>
      </c>
      <c r="Q540" s="27" t="b">
        <f aca="false">FALSE()</f>
        <v>0</v>
      </c>
      <c r="R540" s="27" t="b">
        <f aca="false">FALSE()</f>
        <v>0</v>
      </c>
      <c r="S540" s="27" t="b">
        <f aca="false">FALSE()</f>
        <v>0</v>
      </c>
    </row>
    <row r="541" customFormat="false" ht="15" hidden="false" customHeight="false" outlineLevel="0" collapsed="false">
      <c r="A541" s="25" t="n">
        <v>540</v>
      </c>
      <c r="B541" s="25" t="s">
        <v>1449</v>
      </c>
      <c r="C541" s="25" t="s">
        <v>405</v>
      </c>
      <c r="D541" s="25" t="n">
        <v>20240210</v>
      </c>
      <c r="E541" s="25" t="n">
        <v>157</v>
      </c>
      <c r="F541" s="25" t="n">
        <v>45</v>
      </c>
      <c r="G541" s="25" t="s">
        <v>114</v>
      </c>
      <c r="H541" s="25" t="s">
        <v>25</v>
      </c>
      <c r="I541" s="25" t="s">
        <v>71</v>
      </c>
      <c r="J541" s="25" t="s">
        <v>250</v>
      </c>
      <c r="K541" s="25" t="n">
        <v>4</v>
      </c>
      <c r="L541" s="25" t="n">
        <v>27280.24</v>
      </c>
      <c r="M541" s="25" t="n">
        <v>0</v>
      </c>
      <c r="N541" s="25" t="n">
        <v>109120.96</v>
      </c>
      <c r="O541" s="25" t="n">
        <v>0</v>
      </c>
      <c r="P541" s="25" t="n">
        <v>109120.96</v>
      </c>
      <c r="Q541" s="27" t="b">
        <f aca="false">FALSE()</f>
        <v>0</v>
      </c>
      <c r="R541" s="27" t="b">
        <f aca="false">FALSE()</f>
        <v>0</v>
      </c>
      <c r="S541" s="27" t="b">
        <f aca="false">FALSE()</f>
        <v>0</v>
      </c>
    </row>
    <row r="542" customFormat="false" ht="15" hidden="false" customHeight="false" outlineLevel="0" collapsed="false">
      <c r="A542" s="25" t="n">
        <v>541</v>
      </c>
      <c r="B542" s="25" t="s">
        <v>1450</v>
      </c>
      <c r="C542" s="25" t="s">
        <v>405</v>
      </c>
      <c r="D542" s="25" t="n">
        <v>20240210</v>
      </c>
      <c r="E542" s="25" t="n">
        <v>157</v>
      </c>
      <c r="F542" s="25" t="n">
        <v>27</v>
      </c>
      <c r="G542" s="25" t="s">
        <v>114</v>
      </c>
      <c r="H542" s="25" t="s">
        <v>25</v>
      </c>
      <c r="I542" s="25" t="s">
        <v>71</v>
      </c>
      <c r="J542" s="25" t="s">
        <v>250</v>
      </c>
      <c r="K542" s="25" t="n">
        <v>3</v>
      </c>
      <c r="L542" s="25" t="n">
        <v>20550.39</v>
      </c>
      <c r="M542" s="25" t="n">
        <v>15</v>
      </c>
      <c r="N542" s="25" t="n">
        <v>61651.17</v>
      </c>
      <c r="O542" s="25" t="n">
        <v>9247.68</v>
      </c>
      <c r="P542" s="25" t="n">
        <v>52403.49</v>
      </c>
      <c r="Q542" s="27" t="b">
        <f aca="false">FALSE()</f>
        <v>0</v>
      </c>
      <c r="R542" s="27" t="b">
        <f aca="false">FALSE()</f>
        <v>0</v>
      </c>
      <c r="S542" s="27" t="b">
        <f aca="false">FALSE()</f>
        <v>0</v>
      </c>
    </row>
    <row r="543" customFormat="false" ht="15" hidden="false" customHeight="false" outlineLevel="0" collapsed="false">
      <c r="A543" s="25" t="n">
        <v>542</v>
      </c>
      <c r="B543" s="25" t="s">
        <v>1451</v>
      </c>
      <c r="C543" s="25" t="s">
        <v>405</v>
      </c>
      <c r="D543" s="25" t="n">
        <v>20240210</v>
      </c>
      <c r="E543" s="25" t="n">
        <v>157</v>
      </c>
      <c r="F543" s="25" t="n">
        <v>48</v>
      </c>
      <c r="G543" s="25" t="s">
        <v>114</v>
      </c>
      <c r="H543" s="25" t="s">
        <v>25</v>
      </c>
      <c r="I543" s="25" t="s">
        <v>71</v>
      </c>
      <c r="J543" s="25" t="s">
        <v>250</v>
      </c>
      <c r="K543" s="25" t="n">
        <v>5</v>
      </c>
      <c r="L543" s="25" t="n">
        <v>25643.17</v>
      </c>
      <c r="M543" s="25" t="n">
        <v>15</v>
      </c>
      <c r="N543" s="25" t="n">
        <v>128215.85</v>
      </c>
      <c r="O543" s="25" t="n">
        <v>19232.38</v>
      </c>
      <c r="P543" s="25" t="n">
        <v>108983.47</v>
      </c>
      <c r="Q543" s="27" t="b">
        <f aca="false">FALSE()</f>
        <v>0</v>
      </c>
      <c r="R543" s="27" t="b">
        <f aca="false">FALSE()</f>
        <v>0</v>
      </c>
      <c r="S543" s="27" t="b">
        <f aca="false">FALSE()</f>
        <v>0</v>
      </c>
    </row>
    <row r="544" customFormat="false" ht="15" hidden="false" customHeight="false" outlineLevel="0" collapsed="false">
      <c r="A544" s="25" t="n">
        <v>543</v>
      </c>
      <c r="B544" s="25" t="s">
        <v>1452</v>
      </c>
      <c r="C544" s="25" t="s">
        <v>420</v>
      </c>
      <c r="D544" s="25" t="n">
        <v>20250120</v>
      </c>
      <c r="E544" s="25" t="n">
        <v>105</v>
      </c>
      <c r="F544" s="25" t="n">
        <v>63</v>
      </c>
      <c r="G544" s="25" t="s">
        <v>114</v>
      </c>
      <c r="H544" s="25" t="s">
        <v>25</v>
      </c>
      <c r="I544" s="25" t="s">
        <v>86</v>
      </c>
      <c r="J544" s="25" t="s">
        <v>250</v>
      </c>
      <c r="K544" s="25" t="n">
        <v>5</v>
      </c>
      <c r="L544" s="25" t="n">
        <v>9269.43</v>
      </c>
      <c r="M544" s="25" t="n">
        <v>0</v>
      </c>
      <c r="N544" s="25" t="n">
        <v>46347.15</v>
      </c>
      <c r="O544" s="25" t="n">
        <v>0</v>
      </c>
      <c r="P544" s="25" t="n">
        <v>46347.15</v>
      </c>
      <c r="Q544" s="27" t="b">
        <f aca="false">FALSE()</f>
        <v>0</v>
      </c>
      <c r="R544" s="27" t="b">
        <f aca="false">FALSE()</f>
        <v>0</v>
      </c>
      <c r="S544" s="27" t="b">
        <f aca="false">FALSE()</f>
        <v>0</v>
      </c>
    </row>
    <row r="545" customFormat="false" ht="15" hidden="false" customHeight="false" outlineLevel="0" collapsed="false">
      <c r="A545" s="25" t="n">
        <v>544</v>
      </c>
      <c r="B545" s="25" t="s">
        <v>1453</v>
      </c>
      <c r="C545" s="25" t="s">
        <v>420</v>
      </c>
      <c r="D545" s="25" t="n">
        <v>20250120</v>
      </c>
      <c r="E545" s="25" t="n">
        <v>105</v>
      </c>
      <c r="F545" s="25" t="n">
        <v>29</v>
      </c>
      <c r="G545" s="25" t="s">
        <v>114</v>
      </c>
      <c r="H545" s="25" t="s">
        <v>25</v>
      </c>
      <c r="I545" s="25" t="s">
        <v>86</v>
      </c>
      <c r="J545" s="25" t="s">
        <v>250</v>
      </c>
      <c r="K545" s="25" t="n">
        <v>1</v>
      </c>
      <c r="L545" s="25" t="n">
        <v>7855.79</v>
      </c>
      <c r="M545" s="25" t="n">
        <v>10</v>
      </c>
      <c r="N545" s="25" t="n">
        <v>7855.79</v>
      </c>
      <c r="O545" s="25" t="n">
        <v>785.58</v>
      </c>
      <c r="P545" s="25" t="n">
        <v>7070.21</v>
      </c>
      <c r="Q545" s="27" t="b">
        <f aca="false">FALSE()</f>
        <v>0</v>
      </c>
      <c r="R545" s="27" t="b">
        <f aca="false">FALSE()</f>
        <v>0</v>
      </c>
      <c r="S545" s="27" t="b">
        <f aca="false">FALSE()</f>
        <v>0</v>
      </c>
    </row>
    <row r="546" customFormat="false" ht="15" hidden="false" customHeight="false" outlineLevel="0" collapsed="false">
      <c r="A546" s="25" t="n">
        <v>545</v>
      </c>
      <c r="B546" s="25" t="s">
        <v>1454</v>
      </c>
      <c r="C546" s="25" t="s">
        <v>420</v>
      </c>
      <c r="D546" s="25" t="n">
        <v>20250120</v>
      </c>
      <c r="E546" s="25" t="n">
        <v>105</v>
      </c>
      <c r="F546" s="25" t="n">
        <v>51</v>
      </c>
      <c r="G546" s="25" t="s">
        <v>114</v>
      </c>
      <c r="H546" s="25" t="s">
        <v>25</v>
      </c>
      <c r="I546" s="25" t="s">
        <v>86</v>
      </c>
      <c r="J546" s="25" t="s">
        <v>250</v>
      </c>
      <c r="K546" s="25" t="n">
        <v>2</v>
      </c>
      <c r="L546" s="25" t="n">
        <v>3497.48</v>
      </c>
      <c r="M546" s="25" t="n">
        <v>0</v>
      </c>
      <c r="N546" s="25" t="n">
        <v>6994.96</v>
      </c>
      <c r="O546" s="25" t="n">
        <v>0</v>
      </c>
      <c r="P546" s="25" t="n">
        <v>6994.96</v>
      </c>
      <c r="Q546" s="27" t="b">
        <f aca="false">FALSE()</f>
        <v>0</v>
      </c>
      <c r="R546" s="27" t="b">
        <f aca="false">FALSE()</f>
        <v>0</v>
      </c>
      <c r="S546" s="27" t="b">
        <f aca="false">FALSE()</f>
        <v>0</v>
      </c>
    </row>
    <row r="547" customFormat="false" ht="15" hidden="false" customHeight="false" outlineLevel="0" collapsed="false">
      <c r="A547" s="25" t="n">
        <v>546</v>
      </c>
      <c r="B547" s="25" t="s">
        <v>1455</v>
      </c>
      <c r="C547" s="25" t="s">
        <v>420</v>
      </c>
      <c r="D547" s="25" t="n">
        <v>20250120</v>
      </c>
      <c r="E547" s="25" t="n">
        <v>105</v>
      </c>
      <c r="F547" s="25" t="n">
        <v>4</v>
      </c>
      <c r="G547" s="25" t="s">
        <v>114</v>
      </c>
      <c r="H547" s="25" t="s">
        <v>25</v>
      </c>
      <c r="I547" s="25" t="s">
        <v>86</v>
      </c>
      <c r="J547" s="25" t="s">
        <v>250</v>
      </c>
      <c r="K547" s="25" t="n">
        <v>5</v>
      </c>
      <c r="L547" s="25" t="n">
        <v>21122.18</v>
      </c>
      <c r="M547" s="25" t="n">
        <v>20</v>
      </c>
      <c r="N547" s="25" t="n">
        <v>105610.9</v>
      </c>
      <c r="O547" s="25" t="n">
        <v>21122.18</v>
      </c>
      <c r="P547" s="25" t="n">
        <v>84488.72</v>
      </c>
      <c r="Q547" s="27" t="b">
        <f aca="false">FALSE()</f>
        <v>0</v>
      </c>
      <c r="R547" s="27" t="b">
        <f aca="false">FALSE()</f>
        <v>0</v>
      </c>
      <c r="S547" s="27" t="b">
        <f aca="false">FALSE()</f>
        <v>0</v>
      </c>
    </row>
    <row r="548" customFormat="false" ht="15" hidden="false" customHeight="false" outlineLevel="0" collapsed="false">
      <c r="A548" s="25" t="n">
        <v>547</v>
      </c>
      <c r="B548" s="25" t="s">
        <v>1456</v>
      </c>
      <c r="C548" s="25" t="s">
        <v>570</v>
      </c>
      <c r="D548" s="25" t="n">
        <v>20241110</v>
      </c>
      <c r="E548" s="25" t="n">
        <v>49</v>
      </c>
      <c r="F548" s="25" t="n">
        <v>49</v>
      </c>
      <c r="G548" s="25" t="s">
        <v>114</v>
      </c>
      <c r="H548" s="25" t="s">
        <v>25</v>
      </c>
      <c r="I548" s="25" t="s">
        <v>94</v>
      </c>
      <c r="J548" s="25" t="s">
        <v>269</v>
      </c>
      <c r="K548" s="25" t="n">
        <v>1</v>
      </c>
      <c r="L548" s="25" t="n">
        <v>12393.99</v>
      </c>
      <c r="M548" s="25" t="n">
        <v>15</v>
      </c>
      <c r="N548" s="25" t="n">
        <v>12393.99</v>
      </c>
      <c r="O548" s="25" t="n">
        <v>1859.1</v>
      </c>
      <c r="P548" s="25" t="n">
        <v>10534.89</v>
      </c>
      <c r="Q548" s="27" t="b">
        <f aca="false">TRUE()</f>
        <v>1</v>
      </c>
      <c r="R548" s="27" t="b">
        <f aca="false">FALSE()</f>
        <v>0</v>
      </c>
      <c r="S548" s="27" t="b">
        <f aca="false">FALSE()</f>
        <v>0</v>
      </c>
    </row>
    <row r="549" customFormat="false" ht="15" hidden="false" customHeight="false" outlineLevel="0" collapsed="false">
      <c r="A549" s="25" t="n">
        <v>548</v>
      </c>
      <c r="B549" s="25" t="s">
        <v>1457</v>
      </c>
      <c r="C549" s="25" t="s">
        <v>570</v>
      </c>
      <c r="D549" s="25" t="n">
        <v>20241110</v>
      </c>
      <c r="E549" s="25" t="n">
        <v>49</v>
      </c>
      <c r="F549" s="25" t="n">
        <v>58</v>
      </c>
      <c r="G549" s="25" t="s">
        <v>114</v>
      </c>
      <c r="H549" s="25" t="s">
        <v>25</v>
      </c>
      <c r="I549" s="25" t="s">
        <v>94</v>
      </c>
      <c r="J549" s="25" t="s">
        <v>269</v>
      </c>
      <c r="K549" s="25" t="n">
        <v>4</v>
      </c>
      <c r="L549" s="25" t="n">
        <v>22572.25</v>
      </c>
      <c r="M549" s="25" t="n">
        <v>10</v>
      </c>
      <c r="N549" s="25" t="n">
        <v>90289</v>
      </c>
      <c r="O549" s="25" t="n">
        <v>9028.9</v>
      </c>
      <c r="P549" s="25" t="n">
        <v>81260.1</v>
      </c>
      <c r="Q549" s="27" t="b">
        <f aca="false">FALSE()</f>
        <v>0</v>
      </c>
      <c r="R549" s="27" t="b">
        <f aca="false">FALSE()</f>
        <v>0</v>
      </c>
      <c r="S549" s="27" t="b">
        <f aca="false">FALSE()</f>
        <v>0</v>
      </c>
    </row>
    <row r="550" customFormat="false" ht="15" hidden="false" customHeight="false" outlineLevel="0" collapsed="false">
      <c r="A550" s="25" t="n">
        <v>549</v>
      </c>
      <c r="B550" s="25" t="s">
        <v>1458</v>
      </c>
      <c r="C550" s="25" t="s">
        <v>570</v>
      </c>
      <c r="D550" s="25" t="n">
        <v>20241110</v>
      </c>
      <c r="E550" s="25" t="n">
        <v>49</v>
      </c>
      <c r="F550" s="25" t="n">
        <v>63</v>
      </c>
      <c r="G550" s="25" t="s">
        <v>114</v>
      </c>
      <c r="H550" s="25" t="s">
        <v>25</v>
      </c>
      <c r="I550" s="25" t="s">
        <v>94</v>
      </c>
      <c r="J550" s="25" t="s">
        <v>269</v>
      </c>
      <c r="K550" s="25" t="n">
        <v>4</v>
      </c>
      <c r="L550" s="25" t="n">
        <v>9269.43</v>
      </c>
      <c r="M550" s="25" t="n">
        <v>0</v>
      </c>
      <c r="N550" s="25" t="n">
        <v>37077.72</v>
      </c>
      <c r="O550" s="25" t="n">
        <v>0</v>
      </c>
      <c r="P550" s="25" t="n">
        <v>37077.72</v>
      </c>
      <c r="Q550" s="27" t="b">
        <f aca="false">FALSE()</f>
        <v>0</v>
      </c>
      <c r="R550" s="27" t="b">
        <f aca="false">FALSE()</f>
        <v>0</v>
      </c>
      <c r="S550" s="27" t="b">
        <f aca="false">FALSE()</f>
        <v>0</v>
      </c>
    </row>
    <row r="551" customFormat="false" ht="15" hidden="false" customHeight="false" outlineLevel="0" collapsed="false">
      <c r="A551" s="25" t="n">
        <v>550</v>
      </c>
      <c r="B551" s="25" t="s">
        <v>1459</v>
      </c>
      <c r="C551" s="25" t="s">
        <v>570</v>
      </c>
      <c r="D551" s="25" t="n">
        <v>20241110</v>
      </c>
      <c r="E551" s="25" t="n">
        <v>49</v>
      </c>
      <c r="F551" s="25" t="n">
        <v>42</v>
      </c>
      <c r="G551" s="25" t="s">
        <v>114</v>
      </c>
      <c r="H551" s="25" t="s">
        <v>25</v>
      </c>
      <c r="I551" s="25" t="s">
        <v>94</v>
      </c>
      <c r="J551" s="25" t="s">
        <v>269</v>
      </c>
      <c r="K551" s="25" t="n">
        <v>4</v>
      </c>
      <c r="L551" s="25" t="n">
        <v>11284.39</v>
      </c>
      <c r="M551" s="25" t="n">
        <v>10</v>
      </c>
      <c r="N551" s="25" t="n">
        <v>45137.56</v>
      </c>
      <c r="O551" s="25" t="n">
        <v>4513.76</v>
      </c>
      <c r="P551" s="25" t="n">
        <v>40623.8</v>
      </c>
      <c r="Q551" s="27" t="b">
        <f aca="false">FALSE()</f>
        <v>0</v>
      </c>
      <c r="R551" s="27" t="b">
        <f aca="false">FALSE()</f>
        <v>0</v>
      </c>
      <c r="S551" s="27" t="b">
        <f aca="false">FALSE()</f>
        <v>0</v>
      </c>
    </row>
    <row r="552" customFormat="false" ht="15" hidden="false" customHeight="false" outlineLevel="0" collapsed="false">
      <c r="A552" s="25" t="n">
        <v>551</v>
      </c>
      <c r="B552" s="25" t="s">
        <v>1460</v>
      </c>
      <c r="C552" s="25" t="s">
        <v>390</v>
      </c>
      <c r="D552" s="25" t="n">
        <v>20250310</v>
      </c>
      <c r="E552" s="25" t="n">
        <v>150</v>
      </c>
      <c r="F552" s="25" t="n">
        <v>27</v>
      </c>
      <c r="G552" s="25" t="s">
        <v>115</v>
      </c>
      <c r="H552" s="25" t="s">
        <v>2260</v>
      </c>
      <c r="I552" s="25" t="s">
        <v>1738</v>
      </c>
      <c r="J552" s="25" t="s">
        <v>242</v>
      </c>
      <c r="K552" s="25" t="n">
        <v>1</v>
      </c>
      <c r="L552" s="25" t="n">
        <v>20550.39</v>
      </c>
      <c r="M552" s="25" t="n">
        <v>10</v>
      </c>
      <c r="N552" s="25" t="n">
        <v>20550.39</v>
      </c>
      <c r="O552" s="25" t="n">
        <v>2055.04</v>
      </c>
      <c r="P552" s="25" t="n">
        <v>18495.35</v>
      </c>
      <c r="Q552" s="27" t="b">
        <f aca="false">FALSE()</f>
        <v>0</v>
      </c>
      <c r="R552" s="27" t="b">
        <f aca="false">FALSE()</f>
        <v>0</v>
      </c>
      <c r="S552" s="27" t="b">
        <f aca="false">FALSE()</f>
        <v>0</v>
      </c>
    </row>
    <row r="553" customFormat="false" ht="15" hidden="false" customHeight="false" outlineLevel="0" collapsed="false">
      <c r="A553" s="25" t="n">
        <v>552</v>
      </c>
      <c r="B553" s="25" t="s">
        <v>1462</v>
      </c>
      <c r="C553" s="25" t="s">
        <v>359</v>
      </c>
      <c r="D553" s="25" t="n">
        <v>20251015</v>
      </c>
      <c r="E553" s="25" t="n">
        <v>112</v>
      </c>
      <c r="F553" s="25" t="n">
        <v>61</v>
      </c>
      <c r="G553" s="25" t="s">
        <v>115</v>
      </c>
      <c r="H553" s="25" t="s">
        <v>2272</v>
      </c>
      <c r="I553" s="25" t="s">
        <v>1770</v>
      </c>
      <c r="J553" s="25" t="s">
        <v>242</v>
      </c>
      <c r="K553" s="25" t="n">
        <v>1</v>
      </c>
      <c r="L553" s="25" t="n">
        <v>8318.56</v>
      </c>
      <c r="M553" s="25" t="n">
        <v>15</v>
      </c>
      <c r="N553" s="25" t="n">
        <v>8318.56</v>
      </c>
      <c r="O553" s="25" t="n">
        <v>1247.78</v>
      </c>
      <c r="P553" s="25" t="n">
        <v>7070.78</v>
      </c>
      <c r="Q553" s="27" t="b">
        <f aca="false">FALSE()</f>
        <v>0</v>
      </c>
      <c r="R553" s="27" t="b">
        <f aca="false">FALSE()</f>
        <v>0</v>
      </c>
      <c r="S553" s="27" t="b">
        <f aca="false">FALSE()</f>
        <v>0</v>
      </c>
    </row>
    <row r="554" customFormat="false" ht="15" hidden="false" customHeight="false" outlineLevel="0" collapsed="false">
      <c r="A554" s="25" t="n">
        <v>553</v>
      </c>
      <c r="B554" s="25" t="s">
        <v>1463</v>
      </c>
      <c r="C554" s="25" t="s">
        <v>359</v>
      </c>
      <c r="D554" s="25" t="n">
        <v>20251015</v>
      </c>
      <c r="E554" s="25" t="n">
        <v>112</v>
      </c>
      <c r="F554" s="25" t="n">
        <v>49</v>
      </c>
      <c r="G554" s="25" t="s">
        <v>115</v>
      </c>
      <c r="H554" s="25" t="s">
        <v>2272</v>
      </c>
      <c r="I554" s="25" t="s">
        <v>1770</v>
      </c>
      <c r="J554" s="25" t="s">
        <v>242</v>
      </c>
      <c r="K554" s="25" t="n">
        <v>2</v>
      </c>
      <c r="L554" s="25" t="n">
        <v>12393.99</v>
      </c>
      <c r="M554" s="25" t="n">
        <v>15</v>
      </c>
      <c r="N554" s="25" t="n">
        <v>24787.98</v>
      </c>
      <c r="O554" s="25" t="n">
        <v>3718.2</v>
      </c>
      <c r="P554" s="25" t="n">
        <v>21069.78</v>
      </c>
      <c r="Q554" s="27" t="b">
        <f aca="false">FALSE()</f>
        <v>0</v>
      </c>
      <c r="R554" s="27" t="b">
        <f aca="false">FALSE()</f>
        <v>0</v>
      </c>
      <c r="S554" s="27" t="b">
        <f aca="false">FALSE()</f>
        <v>0</v>
      </c>
    </row>
    <row r="555" customFormat="false" ht="15" hidden="false" customHeight="false" outlineLevel="0" collapsed="false">
      <c r="A555" s="25" t="n">
        <v>554</v>
      </c>
      <c r="B555" s="25" t="s">
        <v>1464</v>
      </c>
      <c r="C555" s="25" t="s">
        <v>359</v>
      </c>
      <c r="D555" s="25" t="n">
        <v>20251015</v>
      </c>
      <c r="E555" s="25" t="n">
        <v>112</v>
      </c>
      <c r="F555" s="25" t="n">
        <v>65</v>
      </c>
      <c r="G555" s="25" t="s">
        <v>115</v>
      </c>
      <c r="H555" s="25" t="s">
        <v>2272</v>
      </c>
      <c r="I555" s="25" t="s">
        <v>1770</v>
      </c>
      <c r="J555" s="25" t="s">
        <v>242</v>
      </c>
      <c r="K555" s="25" t="n">
        <v>3</v>
      </c>
      <c r="L555" s="25" t="n">
        <v>15706.03</v>
      </c>
      <c r="M555" s="25" t="n">
        <v>5</v>
      </c>
      <c r="N555" s="25" t="n">
        <v>47118.09</v>
      </c>
      <c r="O555" s="25" t="n">
        <v>2355.9</v>
      </c>
      <c r="P555" s="25" t="n">
        <v>44762.19</v>
      </c>
      <c r="Q555" s="27" t="b">
        <f aca="false">FALSE()</f>
        <v>0</v>
      </c>
      <c r="R555" s="27" t="b">
        <f aca="false">FALSE()</f>
        <v>0</v>
      </c>
      <c r="S555" s="27" t="b">
        <f aca="false">FALSE()</f>
        <v>0</v>
      </c>
    </row>
    <row r="556" customFormat="false" ht="15" hidden="false" customHeight="false" outlineLevel="0" collapsed="false">
      <c r="A556" s="25" t="n">
        <v>555</v>
      </c>
      <c r="B556" s="25" t="s">
        <v>1465</v>
      </c>
      <c r="C556" s="25" t="s">
        <v>331</v>
      </c>
      <c r="D556" s="25" t="n">
        <v>20240312</v>
      </c>
      <c r="E556" s="25" t="n">
        <v>21</v>
      </c>
      <c r="F556" s="25" t="n">
        <v>26</v>
      </c>
      <c r="G556" s="25" t="s">
        <v>113</v>
      </c>
      <c r="H556" s="25" t="s">
        <v>2276</v>
      </c>
      <c r="I556" s="25" t="s">
        <v>1738</v>
      </c>
      <c r="J556" s="25" t="s">
        <v>250</v>
      </c>
      <c r="K556" s="25" t="n">
        <v>4</v>
      </c>
      <c r="L556" s="25" t="n">
        <v>13038.96</v>
      </c>
      <c r="M556" s="25" t="n">
        <v>0</v>
      </c>
      <c r="N556" s="25" t="n">
        <v>52155.84</v>
      </c>
      <c r="O556" s="25" t="n">
        <v>0</v>
      </c>
      <c r="P556" s="25" t="n">
        <v>52155.84</v>
      </c>
      <c r="Q556" s="27" t="b">
        <f aca="false">FALSE()</f>
        <v>0</v>
      </c>
      <c r="R556" s="27" t="b">
        <f aca="false">FALSE()</f>
        <v>0</v>
      </c>
      <c r="S556" s="27" t="b">
        <f aca="false">FALSE()</f>
        <v>0</v>
      </c>
    </row>
    <row r="557" customFormat="false" ht="15" hidden="false" customHeight="false" outlineLevel="0" collapsed="false">
      <c r="A557" s="25" t="n">
        <v>556</v>
      </c>
      <c r="B557" s="25" t="s">
        <v>1466</v>
      </c>
      <c r="C557" s="25" t="s">
        <v>331</v>
      </c>
      <c r="D557" s="25" t="n">
        <v>20240312</v>
      </c>
      <c r="E557" s="25" t="n">
        <v>21</v>
      </c>
      <c r="F557" s="25" t="n">
        <v>70</v>
      </c>
      <c r="G557" s="25" t="s">
        <v>113</v>
      </c>
      <c r="H557" s="25" t="s">
        <v>2276</v>
      </c>
      <c r="I557" s="25" t="s">
        <v>1738</v>
      </c>
      <c r="J557" s="25" t="s">
        <v>250</v>
      </c>
      <c r="K557" s="25" t="n">
        <v>1</v>
      </c>
      <c r="L557" s="25" t="n">
        <v>3962.52</v>
      </c>
      <c r="M557" s="25" t="n">
        <v>0</v>
      </c>
      <c r="N557" s="25" t="n">
        <v>3962.52</v>
      </c>
      <c r="O557" s="25" t="n">
        <v>0</v>
      </c>
      <c r="P557" s="25" t="n">
        <v>3962.52</v>
      </c>
      <c r="Q557" s="27" t="b">
        <f aca="false">TRUE()</f>
        <v>1</v>
      </c>
      <c r="R557" s="27" t="b">
        <f aca="false">FALSE()</f>
        <v>0</v>
      </c>
      <c r="S557" s="27" t="b">
        <f aca="false">FALSE()</f>
        <v>0</v>
      </c>
    </row>
    <row r="558" customFormat="false" ht="15" hidden="false" customHeight="false" outlineLevel="0" collapsed="false">
      <c r="A558" s="25" t="n">
        <v>557</v>
      </c>
      <c r="B558" s="25" t="s">
        <v>1467</v>
      </c>
      <c r="C558" s="25" t="s">
        <v>331</v>
      </c>
      <c r="D558" s="25" t="n">
        <v>20240312</v>
      </c>
      <c r="E558" s="25" t="n">
        <v>21</v>
      </c>
      <c r="F558" s="25" t="n">
        <v>65</v>
      </c>
      <c r="G558" s="25" t="s">
        <v>113</v>
      </c>
      <c r="H558" s="25" t="s">
        <v>2276</v>
      </c>
      <c r="I558" s="25" t="s">
        <v>1738</v>
      </c>
      <c r="J558" s="25" t="s">
        <v>250</v>
      </c>
      <c r="K558" s="25" t="n">
        <v>4</v>
      </c>
      <c r="L558" s="25" t="n">
        <v>15706.03</v>
      </c>
      <c r="M558" s="25" t="n">
        <v>15</v>
      </c>
      <c r="N558" s="25" t="n">
        <v>62824.12</v>
      </c>
      <c r="O558" s="25" t="n">
        <v>9423.62</v>
      </c>
      <c r="P558" s="25" t="n">
        <v>53400.5</v>
      </c>
      <c r="Q558" s="27" t="b">
        <f aca="false">FALSE()</f>
        <v>0</v>
      </c>
      <c r="R558" s="27" t="b">
        <f aca="false">FALSE()</f>
        <v>0</v>
      </c>
      <c r="S558" s="27" t="b">
        <f aca="false">FALSE()</f>
        <v>0</v>
      </c>
    </row>
    <row r="559" customFormat="false" ht="15" hidden="false" customHeight="false" outlineLevel="0" collapsed="false">
      <c r="A559" s="25" t="n">
        <v>558</v>
      </c>
      <c r="B559" s="25" t="s">
        <v>1468</v>
      </c>
      <c r="C559" s="25" t="s">
        <v>331</v>
      </c>
      <c r="D559" s="25" t="n">
        <v>20240312</v>
      </c>
      <c r="E559" s="25" t="n">
        <v>21</v>
      </c>
      <c r="F559" s="25" t="n">
        <v>43</v>
      </c>
      <c r="G559" s="25" t="s">
        <v>113</v>
      </c>
      <c r="H559" s="25" t="s">
        <v>2276</v>
      </c>
      <c r="I559" s="25" t="s">
        <v>1738</v>
      </c>
      <c r="J559" s="25" t="s">
        <v>250</v>
      </c>
      <c r="K559" s="25" t="n">
        <v>5</v>
      </c>
      <c r="L559" s="25" t="n">
        <v>4511.74</v>
      </c>
      <c r="M559" s="25" t="n">
        <v>0</v>
      </c>
      <c r="N559" s="25" t="n">
        <v>22558.7</v>
      </c>
      <c r="O559" s="25" t="n">
        <v>0</v>
      </c>
      <c r="P559" s="25" t="n">
        <v>22558.7</v>
      </c>
      <c r="Q559" s="27" t="b">
        <f aca="false">FALSE()</f>
        <v>0</v>
      </c>
      <c r="R559" s="27" t="b">
        <f aca="false">FALSE()</f>
        <v>0</v>
      </c>
      <c r="S559" s="27" t="b">
        <f aca="false">FALSE()</f>
        <v>0</v>
      </c>
    </row>
    <row r="560" customFormat="false" ht="15" hidden="false" customHeight="false" outlineLevel="0" collapsed="false">
      <c r="A560" s="25" t="n">
        <v>559</v>
      </c>
      <c r="B560" s="25" t="s">
        <v>1469</v>
      </c>
      <c r="C560" s="25" t="s">
        <v>533</v>
      </c>
      <c r="D560" s="25" t="n">
        <v>20250403</v>
      </c>
      <c r="E560" s="25" t="n">
        <v>35</v>
      </c>
      <c r="F560" s="25" t="n">
        <v>68</v>
      </c>
      <c r="G560" s="25" t="s">
        <v>113</v>
      </c>
      <c r="H560" s="25" t="s">
        <v>25</v>
      </c>
      <c r="I560" s="25" t="s">
        <v>71</v>
      </c>
      <c r="J560" s="25" t="s">
        <v>246</v>
      </c>
      <c r="K560" s="25" t="n">
        <v>3</v>
      </c>
      <c r="L560" s="25" t="n">
        <v>21978.46</v>
      </c>
      <c r="M560" s="25" t="n">
        <v>5</v>
      </c>
      <c r="N560" s="25" t="n">
        <v>65935.38</v>
      </c>
      <c r="O560" s="25" t="n">
        <v>3296.77</v>
      </c>
      <c r="P560" s="25" t="n">
        <v>62638.61</v>
      </c>
      <c r="Q560" s="27" t="b">
        <f aca="false">FALSE()</f>
        <v>0</v>
      </c>
      <c r="R560" s="27" t="b">
        <f aca="false">FALSE()</f>
        <v>0</v>
      </c>
      <c r="S560" s="27" t="b">
        <f aca="false">FALSE()</f>
        <v>0</v>
      </c>
    </row>
    <row r="561" customFormat="false" ht="15" hidden="false" customHeight="false" outlineLevel="0" collapsed="false">
      <c r="A561" s="25" t="n">
        <v>560</v>
      </c>
      <c r="B561" s="25" t="s">
        <v>1470</v>
      </c>
      <c r="C561" s="25" t="s">
        <v>533</v>
      </c>
      <c r="D561" s="25" t="n">
        <v>20250403</v>
      </c>
      <c r="E561" s="25" t="n">
        <v>35</v>
      </c>
      <c r="F561" s="25" t="n">
        <v>34</v>
      </c>
      <c r="G561" s="25" t="s">
        <v>113</v>
      </c>
      <c r="H561" s="25" t="s">
        <v>25</v>
      </c>
      <c r="I561" s="25" t="s">
        <v>71</v>
      </c>
      <c r="J561" s="25" t="s">
        <v>246</v>
      </c>
      <c r="K561" s="25" t="n">
        <v>5</v>
      </c>
      <c r="L561" s="25" t="n">
        <v>11932.31</v>
      </c>
      <c r="M561" s="25" t="n">
        <v>15</v>
      </c>
      <c r="N561" s="25" t="n">
        <v>59661.55</v>
      </c>
      <c r="O561" s="25" t="n">
        <v>8949.23</v>
      </c>
      <c r="P561" s="25" t="n">
        <v>50712.32</v>
      </c>
      <c r="Q561" s="27" t="b">
        <f aca="false">FALSE()</f>
        <v>0</v>
      </c>
      <c r="R561" s="27" t="b">
        <f aca="false">FALSE()</f>
        <v>0</v>
      </c>
      <c r="S561" s="27" t="b">
        <f aca="false">FALSE()</f>
        <v>0</v>
      </c>
    </row>
    <row r="562" customFormat="false" ht="15" hidden="false" customHeight="false" outlineLevel="0" collapsed="false">
      <c r="A562" s="25" t="n">
        <v>561</v>
      </c>
      <c r="B562" s="25" t="s">
        <v>1471</v>
      </c>
      <c r="C562" s="25" t="s">
        <v>401</v>
      </c>
      <c r="D562" s="25" t="n">
        <v>20250111</v>
      </c>
      <c r="E562" s="25" t="n">
        <v>110</v>
      </c>
      <c r="F562" s="25" t="n">
        <v>33</v>
      </c>
      <c r="G562" s="25" t="s">
        <v>114</v>
      </c>
      <c r="H562" s="25" t="s">
        <v>25</v>
      </c>
      <c r="I562" s="25" t="s">
        <v>86</v>
      </c>
      <c r="J562" s="25" t="s">
        <v>246</v>
      </c>
      <c r="K562" s="25" t="n">
        <v>5</v>
      </c>
      <c r="L562" s="25" t="n">
        <v>11865.75</v>
      </c>
      <c r="M562" s="25" t="n">
        <v>0</v>
      </c>
      <c r="N562" s="25" t="n">
        <v>59328.75</v>
      </c>
      <c r="O562" s="25" t="n">
        <v>0</v>
      </c>
      <c r="P562" s="25" t="n">
        <v>59328.75</v>
      </c>
      <c r="Q562" s="27" t="b">
        <f aca="false">FALSE()</f>
        <v>0</v>
      </c>
      <c r="R562" s="27" t="b">
        <f aca="false">FALSE()</f>
        <v>0</v>
      </c>
      <c r="S562" s="27" t="b">
        <f aca="false">FALSE()</f>
        <v>0</v>
      </c>
    </row>
    <row r="563" customFormat="false" ht="15" hidden="false" customHeight="false" outlineLevel="0" collapsed="false">
      <c r="A563" s="25" t="n">
        <v>562</v>
      </c>
      <c r="B563" s="25" t="s">
        <v>1472</v>
      </c>
      <c r="C563" s="25" t="s">
        <v>401</v>
      </c>
      <c r="D563" s="25" t="n">
        <v>20250111</v>
      </c>
      <c r="E563" s="25" t="n">
        <v>110</v>
      </c>
      <c r="F563" s="25" t="n">
        <v>37</v>
      </c>
      <c r="G563" s="25" t="s">
        <v>114</v>
      </c>
      <c r="H563" s="25" t="s">
        <v>25</v>
      </c>
      <c r="I563" s="25" t="s">
        <v>86</v>
      </c>
      <c r="J563" s="25" t="s">
        <v>246</v>
      </c>
      <c r="K563" s="25" t="n">
        <v>2</v>
      </c>
      <c r="L563" s="25" t="n">
        <v>16084.14</v>
      </c>
      <c r="M563" s="25" t="n">
        <v>20</v>
      </c>
      <c r="N563" s="25" t="n">
        <v>32168.28</v>
      </c>
      <c r="O563" s="25" t="n">
        <v>6433.66</v>
      </c>
      <c r="P563" s="25" t="n">
        <v>25734.62</v>
      </c>
      <c r="Q563" s="27" t="b">
        <f aca="false">FALSE()</f>
        <v>0</v>
      </c>
      <c r="R563" s="27" t="b">
        <f aca="false">FALSE()</f>
        <v>0</v>
      </c>
      <c r="S563" s="27" t="b">
        <f aca="false">FALSE()</f>
        <v>0</v>
      </c>
    </row>
    <row r="564" customFormat="false" ht="15" hidden="false" customHeight="false" outlineLevel="0" collapsed="false">
      <c r="A564" s="25" t="n">
        <v>563</v>
      </c>
      <c r="B564" s="25" t="s">
        <v>1473</v>
      </c>
      <c r="C564" s="25" t="s">
        <v>560</v>
      </c>
      <c r="D564" s="25" t="n">
        <v>20250618</v>
      </c>
      <c r="E564" s="25" t="n">
        <v>114</v>
      </c>
      <c r="F564" s="25" t="n">
        <v>49</v>
      </c>
      <c r="G564" s="25" t="s">
        <v>114</v>
      </c>
      <c r="H564" s="25" t="s">
        <v>25</v>
      </c>
      <c r="I564" s="25" t="s">
        <v>79</v>
      </c>
      <c r="J564" s="25" t="s">
        <v>242</v>
      </c>
      <c r="K564" s="25" t="n">
        <v>4</v>
      </c>
      <c r="L564" s="25" t="n">
        <v>12393.99</v>
      </c>
      <c r="M564" s="25" t="n">
        <v>20</v>
      </c>
      <c r="N564" s="25" t="n">
        <v>49575.96</v>
      </c>
      <c r="O564" s="25" t="n">
        <v>9915.19</v>
      </c>
      <c r="P564" s="25" t="n">
        <v>39660.77</v>
      </c>
      <c r="Q564" s="27" t="b">
        <f aca="false">FALSE()</f>
        <v>0</v>
      </c>
      <c r="R564" s="27" t="b">
        <f aca="false">FALSE()</f>
        <v>0</v>
      </c>
      <c r="S564" s="27" t="b">
        <f aca="false">FALSE()</f>
        <v>0</v>
      </c>
    </row>
    <row r="565" customFormat="false" ht="15" hidden="false" customHeight="false" outlineLevel="0" collapsed="false">
      <c r="A565" s="25" t="n">
        <v>564</v>
      </c>
      <c r="B565" s="25" t="s">
        <v>1474</v>
      </c>
      <c r="C565" s="25" t="s">
        <v>560</v>
      </c>
      <c r="D565" s="25" t="n">
        <v>20250618</v>
      </c>
      <c r="E565" s="25" t="n">
        <v>114</v>
      </c>
      <c r="F565" s="25" t="n">
        <v>9</v>
      </c>
      <c r="G565" s="25" t="s">
        <v>114</v>
      </c>
      <c r="H565" s="25" t="s">
        <v>25</v>
      </c>
      <c r="I565" s="25" t="s">
        <v>79</v>
      </c>
      <c r="J565" s="25" t="s">
        <v>242</v>
      </c>
      <c r="K565" s="25" t="n">
        <v>3</v>
      </c>
      <c r="L565" s="25" t="n">
        <v>26274.11</v>
      </c>
      <c r="M565" s="25" t="n">
        <v>15</v>
      </c>
      <c r="N565" s="25" t="n">
        <v>78822.33</v>
      </c>
      <c r="O565" s="25" t="n">
        <v>11823.35</v>
      </c>
      <c r="P565" s="25" t="n">
        <v>66998.98</v>
      </c>
      <c r="Q565" s="27" t="b">
        <f aca="false">FALSE()</f>
        <v>0</v>
      </c>
      <c r="R565" s="27" t="b">
        <f aca="false">FALSE()</f>
        <v>0</v>
      </c>
      <c r="S565" s="27" t="b">
        <f aca="false">FALSE()</f>
        <v>0</v>
      </c>
    </row>
    <row r="566" customFormat="false" ht="15" hidden="false" customHeight="false" outlineLevel="0" collapsed="false">
      <c r="A566" s="25" t="n">
        <v>565</v>
      </c>
      <c r="B566" s="25" t="s">
        <v>1475</v>
      </c>
      <c r="C566" s="25" t="s">
        <v>328</v>
      </c>
      <c r="D566" s="25" t="n">
        <v>20240616</v>
      </c>
      <c r="E566" s="25" t="n">
        <v>41</v>
      </c>
      <c r="F566" s="25" t="n">
        <v>21</v>
      </c>
      <c r="G566" s="25" t="s">
        <v>113</v>
      </c>
      <c r="H566" s="25" t="s">
        <v>2278</v>
      </c>
      <c r="I566" s="25" t="s">
        <v>89</v>
      </c>
      <c r="J566" s="25" t="s">
        <v>242</v>
      </c>
      <c r="K566" s="25" t="n">
        <v>2</v>
      </c>
      <c r="L566" s="25" t="n">
        <v>3184.81</v>
      </c>
      <c r="M566" s="25" t="n">
        <v>0</v>
      </c>
      <c r="N566" s="25" t="n">
        <v>6369.62</v>
      </c>
      <c r="O566" s="25" t="n">
        <v>0</v>
      </c>
      <c r="P566" s="25" t="n">
        <v>6369.62</v>
      </c>
      <c r="Q566" s="27" t="b">
        <f aca="false">FALSE()</f>
        <v>0</v>
      </c>
      <c r="R566" s="27" t="b">
        <f aca="false">FALSE()</f>
        <v>0</v>
      </c>
      <c r="S566" s="27" t="b">
        <f aca="false">FALSE()</f>
        <v>0</v>
      </c>
    </row>
    <row r="567" customFormat="false" ht="15" hidden="false" customHeight="false" outlineLevel="0" collapsed="false">
      <c r="A567" s="25" t="n">
        <v>566</v>
      </c>
      <c r="B567" s="25" t="s">
        <v>1476</v>
      </c>
      <c r="C567" s="25" t="s">
        <v>328</v>
      </c>
      <c r="D567" s="25" t="n">
        <v>20240616</v>
      </c>
      <c r="E567" s="25" t="n">
        <v>41</v>
      </c>
      <c r="F567" s="25" t="n">
        <v>55</v>
      </c>
      <c r="G567" s="25" t="s">
        <v>113</v>
      </c>
      <c r="H567" s="25" t="s">
        <v>2278</v>
      </c>
      <c r="I567" s="25" t="s">
        <v>89</v>
      </c>
      <c r="J567" s="25" t="s">
        <v>242</v>
      </c>
      <c r="K567" s="25" t="n">
        <v>1</v>
      </c>
      <c r="L567" s="25" t="n">
        <v>5471.28</v>
      </c>
      <c r="M567" s="25" t="n">
        <v>10</v>
      </c>
      <c r="N567" s="25" t="n">
        <v>5471.28</v>
      </c>
      <c r="O567" s="25" t="n">
        <v>547.13</v>
      </c>
      <c r="P567" s="25" t="n">
        <v>4924.15</v>
      </c>
      <c r="Q567" s="27" t="b">
        <f aca="false">FALSE()</f>
        <v>0</v>
      </c>
      <c r="R567" s="27" t="b">
        <f aca="false">FALSE()</f>
        <v>0</v>
      </c>
      <c r="S567" s="27" t="b">
        <f aca="false">FALSE()</f>
        <v>0</v>
      </c>
    </row>
    <row r="568" customFormat="false" ht="15" hidden="false" customHeight="false" outlineLevel="0" collapsed="false">
      <c r="A568" s="25" t="n">
        <v>567</v>
      </c>
      <c r="B568" s="25" t="s">
        <v>1477</v>
      </c>
      <c r="C568" s="25" t="s">
        <v>328</v>
      </c>
      <c r="D568" s="25" t="n">
        <v>20240616</v>
      </c>
      <c r="E568" s="25" t="n">
        <v>41</v>
      </c>
      <c r="F568" s="25" t="n">
        <v>10</v>
      </c>
      <c r="G568" s="25" t="s">
        <v>113</v>
      </c>
      <c r="H568" s="25" t="s">
        <v>2278</v>
      </c>
      <c r="I568" s="25" t="s">
        <v>89</v>
      </c>
      <c r="J568" s="25" t="s">
        <v>242</v>
      </c>
      <c r="K568" s="25" t="n">
        <v>2</v>
      </c>
      <c r="L568" s="25" t="n">
        <v>1165.83</v>
      </c>
      <c r="M568" s="25" t="n">
        <v>20</v>
      </c>
      <c r="N568" s="25" t="n">
        <v>2331.66</v>
      </c>
      <c r="O568" s="25" t="n">
        <v>466.33</v>
      </c>
      <c r="P568" s="25" t="n">
        <v>1865.33</v>
      </c>
      <c r="Q568" s="27" t="b">
        <f aca="false">FALSE()</f>
        <v>0</v>
      </c>
      <c r="R568" s="27" t="b">
        <f aca="false">FALSE()</f>
        <v>0</v>
      </c>
      <c r="S568" s="27" t="b">
        <f aca="false">FALSE()</f>
        <v>0</v>
      </c>
    </row>
    <row r="569" customFormat="false" ht="15" hidden="false" customHeight="false" outlineLevel="0" collapsed="false">
      <c r="A569" s="25" t="n">
        <v>568</v>
      </c>
      <c r="B569" s="25" t="s">
        <v>1478</v>
      </c>
      <c r="C569" s="25" t="s">
        <v>508</v>
      </c>
      <c r="D569" s="25" t="n">
        <v>20240818</v>
      </c>
      <c r="E569" s="25" t="n">
        <v>104</v>
      </c>
      <c r="F569" s="25" t="n">
        <v>9</v>
      </c>
      <c r="G569" s="25" t="s">
        <v>115</v>
      </c>
      <c r="H569" s="25" t="s">
        <v>25</v>
      </c>
      <c r="I569" s="25" t="s">
        <v>94</v>
      </c>
      <c r="J569" s="25" t="s">
        <v>246</v>
      </c>
      <c r="K569" s="25" t="n">
        <v>2</v>
      </c>
      <c r="L569" s="25" t="n">
        <v>26274.11</v>
      </c>
      <c r="M569" s="25" t="n">
        <v>10</v>
      </c>
      <c r="N569" s="25" t="n">
        <v>52548.22</v>
      </c>
      <c r="O569" s="25" t="n">
        <v>5254.82</v>
      </c>
      <c r="P569" s="25" t="n">
        <v>47293.4</v>
      </c>
      <c r="Q569" s="27" t="b">
        <f aca="false">FALSE()</f>
        <v>0</v>
      </c>
      <c r="R569" s="27" t="b">
        <f aca="false">FALSE()</f>
        <v>0</v>
      </c>
      <c r="S569" s="27" t="b">
        <f aca="false">FALSE()</f>
        <v>0</v>
      </c>
    </row>
    <row r="570" customFormat="false" ht="15" hidden="false" customHeight="false" outlineLevel="0" collapsed="false">
      <c r="A570" s="25" t="n">
        <v>569</v>
      </c>
      <c r="B570" s="25" t="s">
        <v>1479</v>
      </c>
      <c r="C570" s="25" t="s">
        <v>508</v>
      </c>
      <c r="D570" s="25" t="n">
        <v>20240818</v>
      </c>
      <c r="E570" s="25" t="n">
        <v>104</v>
      </c>
      <c r="F570" s="25" t="n">
        <v>16</v>
      </c>
      <c r="G570" s="25" t="s">
        <v>115</v>
      </c>
      <c r="H570" s="25" t="s">
        <v>25</v>
      </c>
      <c r="I570" s="25" t="s">
        <v>94</v>
      </c>
      <c r="J570" s="25" t="s">
        <v>246</v>
      </c>
      <c r="K570" s="25" t="n">
        <v>4</v>
      </c>
      <c r="L570" s="25" t="n">
        <v>2260.53</v>
      </c>
      <c r="M570" s="25" t="n">
        <v>0</v>
      </c>
      <c r="N570" s="25" t="n">
        <v>9042.12</v>
      </c>
      <c r="O570" s="25" t="n">
        <v>0</v>
      </c>
      <c r="P570" s="25" t="n">
        <v>9042.12</v>
      </c>
      <c r="Q570" s="27" t="b">
        <f aca="false">FALSE()</f>
        <v>0</v>
      </c>
      <c r="R570" s="27" t="b">
        <f aca="false">FALSE()</f>
        <v>0</v>
      </c>
      <c r="S570" s="27" t="b">
        <f aca="false">FALSE()</f>
        <v>0</v>
      </c>
    </row>
    <row r="571" customFormat="false" ht="15" hidden="false" customHeight="false" outlineLevel="0" collapsed="false">
      <c r="A571" s="25" t="n">
        <v>570</v>
      </c>
      <c r="B571" s="25" t="s">
        <v>1480</v>
      </c>
      <c r="C571" s="25" t="s">
        <v>395</v>
      </c>
      <c r="D571" s="25" t="n">
        <v>20251028</v>
      </c>
      <c r="E571" s="25" t="n">
        <v>146</v>
      </c>
      <c r="F571" s="25" t="n">
        <v>1</v>
      </c>
      <c r="G571" s="25" t="s">
        <v>114</v>
      </c>
      <c r="H571" s="25" t="s">
        <v>25</v>
      </c>
      <c r="I571" s="25" t="s">
        <v>1743</v>
      </c>
      <c r="J571" s="25" t="s">
        <v>242</v>
      </c>
      <c r="K571" s="25" t="n">
        <v>1</v>
      </c>
      <c r="L571" s="25" t="n">
        <v>10660.79</v>
      </c>
      <c r="M571" s="25" t="n">
        <v>5</v>
      </c>
      <c r="N571" s="25" t="n">
        <v>10660.79</v>
      </c>
      <c r="O571" s="25" t="n">
        <v>533.04</v>
      </c>
      <c r="P571" s="25" t="n">
        <v>10127.75</v>
      </c>
      <c r="Q571" s="27" t="b">
        <f aca="false">FALSE()</f>
        <v>0</v>
      </c>
      <c r="R571" s="27" t="b">
        <f aca="false">FALSE()</f>
        <v>0</v>
      </c>
      <c r="S571" s="27" t="b">
        <f aca="false">FALSE()</f>
        <v>0</v>
      </c>
    </row>
    <row r="572" customFormat="false" ht="15" hidden="false" customHeight="false" outlineLevel="0" collapsed="false">
      <c r="A572" s="25" t="n">
        <v>571</v>
      </c>
      <c r="B572" s="25" t="s">
        <v>1481</v>
      </c>
      <c r="C572" s="25" t="s">
        <v>395</v>
      </c>
      <c r="D572" s="25" t="n">
        <v>20251028</v>
      </c>
      <c r="E572" s="25" t="n">
        <v>146</v>
      </c>
      <c r="F572" s="25" t="n">
        <v>42</v>
      </c>
      <c r="G572" s="25" t="s">
        <v>114</v>
      </c>
      <c r="H572" s="25" t="s">
        <v>25</v>
      </c>
      <c r="I572" s="25" t="s">
        <v>1743</v>
      </c>
      <c r="J572" s="25" t="s">
        <v>242</v>
      </c>
      <c r="K572" s="25" t="n">
        <v>1</v>
      </c>
      <c r="L572" s="25" t="n">
        <v>11284.39</v>
      </c>
      <c r="M572" s="25" t="n">
        <v>15</v>
      </c>
      <c r="N572" s="25" t="n">
        <v>11284.39</v>
      </c>
      <c r="O572" s="25" t="n">
        <v>1692.66</v>
      </c>
      <c r="P572" s="25" t="n">
        <v>9591.73</v>
      </c>
      <c r="Q572" s="27" t="b">
        <f aca="false">FALSE()</f>
        <v>0</v>
      </c>
      <c r="R572" s="27" t="b">
        <f aca="false">FALSE()</f>
        <v>0</v>
      </c>
      <c r="S572" s="27" t="b">
        <f aca="false">FALSE()</f>
        <v>0</v>
      </c>
    </row>
    <row r="573" customFormat="false" ht="15" hidden="false" customHeight="false" outlineLevel="0" collapsed="false">
      <c r="A573" s="25" t="n">
        <v>572</v>
      </c>
      <c r="B573" s="25" t="s">
        <v>1482</v>
      </c>
      <c r="C573" s="25" t="s">
        <v>395</v>
      </c>
      <c r="D573" s="25" t="n">
        <v>20251028</v>
      </c>
      <c r="E573" s="25" t="n">
        <v>146</v>
      </c>
      <c r="F573" s="25" t="n">
        <v>62</v>
      </c>
      <c r="G573" s="25" t="s">
        <v>114</v>
      </c>
      <c r="H573" s="25" t="s">
        <v>25</v>
      </c>
      <c r="I573" s="25" t="s">
        <v>1743</v>
      </c>
      <c r="J573" s="25" t="s">
        <v>242</v>
      </c>
      <c r="K573" s="25" t="n">
        <v>4</v>
      </c>
      <c r="L573" s="25" t="n">
        <v>8493.72</v>
      </c>
      <c r="M573" s="25" t="n">
        <v>0</v>
      </c>
      <c r="N573" s="25" t="n">
        <v>33974.88</v>
      </c>
      <c r="O573" s="25" t="n">
        <v>0</v>
      </c>
      <c r="P573" s="25" t="n">
        <v>33974.88</v>
      </c>
      <c r="Q573" s="27" t="b">
        <f aca="false">FALSE()</f>
        <v>0</v>
      </c>
      <c r="R573" s="27" t="b">
        <f aca="false">FALSE()</f>
        <v>0</v>
      </c>
      <c r="S573" s="27" t="b">
        <f aca="false">FALSE()</f>
        <v>0</v>
      </c>
    </row>
    <row r="574" customFormat="false" ht="15" hidden="false" customHeight="false" outlineLevel="0" collapsed="false">
      <c r="A574" s="25" t="n">
        <v>573</v>
      </c>
      <c r="B574" s="25" t="s">
        <v>1483</v>
      </c>
      <c r="C574" s="25" t="s">
        <v>395</v>
      </c>
      <c r="D574" s="25" t="n">
        <v>20251028</v>
      </c>
      <c r="E574" s="25" t="n">
        <v>146</v>
      </c>
      <c r="F574" s="25" t="n">
        <v>31</v>
      </c>
      <c r="G574" s="25" t="s">
        <v>114</v>
      </c>
      <c r="H574" s="25" t="s">
        <v>25</v>
      </c>
      <c r="I574" s="25" t="s">
        <v>1743</v>
      </c>
      <c r="J574" s="25" t="s">
        <v>242</v>
      </c>
      <c r="K574" s="25" t="n">
        <v>1</v>
      </c>
      <c r="L574" s="25" t="n">
        <v>20098.63</v>
      </c>
      <c r="M574" s="25" t="n">
        <v>0</v>
      </c>
      <c r="N574" s="25" t="n">
        <v>20098.63</v>
      </c>
      <c r="O574" s="25" t="n">
        <v>0</v>
      </c>
      <c r="P574" s="25" t="n">
        <v>20098.63</v>
      </c>
      <c r="Q574" s="27" t="b">
        <f aca="false">FALSE()</f>
        <v>0</v>
      </c>
      <c r="R574" s="27" t="b">
        <f aca="false">FALSE()</f>
        <v>0</v>
      </c>
      <c r="S574" s="27" t="b">
        <f aca="false">FALSE()</f>
        <v>0</v>
      </c>
    </row>
    <row r="575" customFormat="false" ht="15" hidden="false" customHeight="false" outlineLevel="0" collapsed="false">
      <c r="A575" s="25" t="n">
        <v>574</v>
      </c>
      <c r="B575" s="25" t="s">
        <v>1484</v>
      </c>
      <c r="C575" s="25" t="s">
        <v>270</v>
      </c>
      <c r="D575" s="25" t="n">
        <v>20241005</v>
      </c>
      <c r="E575" s="25" t="n">
        <v>121</v>
      </c>
      <c r="F575" s="25" t="n">
        <v>28</v>
      </c>
      <c r="G575" s="25" t="s">
        <v>115</v>
      </c>
      <c r="H575" s="25" t="s">
        <v>25</v>
      </c>
      <c r="I575" s="25" t="s">
        <v>86</v>
      </c>
      <c r="J575" s="25" t="s">
        <v>242</v>
      </c>
      <c r="K575" s="25" t="n">
        <v>3</v>
      </c>
      <c r="L575" s="25" t="n">
        <v>7218.53</v>
      </c>
      <c r="M575" s="25" t="n">
        <v>20</v>
      </c>
      <c r="N575" s="25" t="n">
        <v>21655.59</v>
      </c>
      <c r="O575" s="25" t="n">
        <v>4331.12</v>
      </c>
      <c r="P575" s="25" t="n">
        <v>17324.47</v>
      </c>
      <c r="Q575" s="27" t="b">
        <f aca="false">FALSE()</f>
        <v>0</v>
      </c>
      <c r="R575" s="27" t="b">
        <f aca="false">FALSE()</f>
        <v>0</v>
      </c>
      <c r="S575" s="27" t="b">
        <f aca="false">FALSE()</f>
        <v>0</v>
      </c>
    </row>
    <row r="576" customFormat="false" ht="15" hidden="false" customHeight="false" outlineLevel="0" collapsed="false">
      <c r="A576" s="25" t="n">
        <v>575</v>
      </c>
      <c r="B576" s="25" t="s">
        <v>1485</v>
      </c>
      <c r="C576" s="25" t="s">
        <v>270</v>
      </c>
      <c r="D576" s="25" t="n">
        <v>20241005</v>
      </c>
      <c r="E576" s="25" t="n">
        <v>121</v>
      </c>
      <c r="F576" s="25" t="n">
        <v>50</v>
      </c>
      <c r="G576" s="25" t="s">
        <v>115</v>
      </c>
      <c r="H576" s="25" t="s">
        <v>25</v>
      </c>
      <c r="I576" s="25" t="s">
        <v>86</v>
      </c>
      <c r="J576" s="25" t="s">
        <v>242</v>
      </c>
      <c r="K576" s="25" t="n">
        <v>5</v>
      </c>
      <c r="L576" s="25" t="n">
        <v>22582.54</v>
      </c>
      <c r="M576" s="25" t="n">
        <v>0</v>
      </c>
      <c r="N576" s="25" t="n">
        <v>112912.7</v>
      </c>
      <c r="O576" s="25" t="n">
        <v>0</v>
      </c>
      <c r="P576" s="25" t="n">
        <v>112912.7</v>
      </c>
      <c r="Q576" s="27" t="b">
        <f aca="false">FALSE()</f>
        <v>0</v>
      </c>
      <c r="R576" s="27" t="b">
        <f aca="false">FALSE()</f>
        <v>0</v>
      </c>
      <c r="S576" s="27" t="b">
        <f aca="false">FALSE()</f>
        <v>0</v>
      </c>
    </row>
    <row r="577" customFormat="false" ht="15" hidden="false" customHeight="false" outlineLevel="0" collapsed="false">
      <c r="A577" s="25" t="n">
        <v>576</v>
      </c>
      <c r="B577" s="25" t="s">
        <v>1486</v>
      </c>
      <c r="C577" s="25" t="s">
        <v>294</v>
      </c>
      <c r="D577" s="25" t="n">
        <v>20250127</v>
      </c>
      <c r="E577" s="25" t="n">
        <v>-1</v>
      </c>
      <c r="F577" s="25" t="n">
        <v>47</v>
      </c>
      <c r="G577" s="25" t="s">
        <v>113</v>
      </c>
      <c r="H577" s="25" t="s">
        <v>2267</v>
      </c>
      <c r="I577" s="25" t="s">
        <v>79</v>
      </c>
      <c r="J577" s="25" t="s">
        <v>246</v>
      </c>
      <c r="K577" s="25" t="n">
        <v>3</v>
      </c>
      <c r="L577" s="25" t="n">
        <v>5145.55</v>
      </c>
      <c r="M577" s="25" t="n">
        <v>0</v>
      </c>
      <c r="N577" s="25" t="n">
        <v>15436.65</v>
      </c>
      <c r="O577" s="25" t="n">
        <v>0</v>
      </c>
      <c r="P577" s="25" t="n">
        <v>15436.65</v>
      </c>
      <c r="Q577" s="27" t="b">
        <f aca="false">FALSE()</f>
        <v>0</v>
      </c>
      <c r="R577" s="27" t="b">
        <f aca="false">FALSE()</f>
        <v>0</v>
      </c>
      <c r="S577" s="27" t="b">
        <f aca="false">FALSE()</f>
        <v>0</v>
      </c>
    </row>
    <row r="578" customFormat="false" ht="15" hidden="false" customHeight="false" outlineLevel="0" collapsed="false">
      <c r="A578" s="25" t="n">
        <v>577</v>
      </c>
      <c r="B578" s="25" t="s">
        <v>1487</v>
      </c>
      <c r="C578" s="25" t="s">
        <v>294</v>
      </c>
      <c r="D578" s="25" t="n">
        <v>20250127</v>
      </c>
      <c r="E578" s="25" t="n">
        <v>-1</v>
      </c>
      <c r="F578" s="25" t="n">
        <v>44</v>
      </c>
      <c r="G578" s="25" t="s">
        <v>113</v>
      </c>
      <c r="H578" s="25" t="s">
        <v>2267</v>
      </c>
      <c r="I578" s="25" t="s">
        <v>79</v>
      </c>
      <c r="J578" s="25" t="s">
        <v>246</v>
      </c>
      <c r="K578" s="25" t="n">
        <v>2</v>
      </c>
      <c r="L578" s="25" t="n">
        <v>22655.14</v>
      </c>
      <c r="M578" s="25" t="n">
        <v>10</v>
      </c>
      <c r="N578" s="25" t="n">
        <v>45310.28</v>
      </c>
      <c r="O578" s="25" t="n">
        <v>4531.03</v>
      </c>
      <c r="P578" s="25" t="n">
        <v>40779.25</v>
      </c>
      <c r="Q578" s="27" t="b">
        <f aca="false">FALSE()</f>
        <v>0</v>
      </c>
      <c r="R578" s="27" t="b">
        <f aca="false">FALSE()</f>
        <v>0</v>
      </c>
      <c r="S578" s="27" t="b">
        <f aca="false">FALSE()</f>
        <v>0</v>
      </c>
    </row>
    <row r="579" customFormat="false" ht="15" hidden="false" customHeight="false" outlineLevel="0" collapsed="false">
      <c r="A579" s="25" t="n">
        <v>578</v>
      </c>
      <c r="B579" s="25" t="s">
        <v>1488</v>
      </c>
      <c r="C579" s="25" t="s">
        <v>576</v>
      </c>
      <c r="D579" s="25" t="n">
        <v>20250528</v>
      </c>
      <c r="E579" s="25" t="n">
        <v>-1</v>
      </c>
      <c r="F579" s="25" t="n">
        <v>27</v>
      </c>
      <c r="G579" s="25" t="s">
        <v>115</v>
      </c>
      <c r="H579" s="25" t="s">
        <v>25</v>
      </c>
      <c r="I579" s="25" t="s">
        <v>1743</v>
      </c>
      <c r="J579" s="25" t="s">
        <v>246</v>
      </c>
      <c r="K579" s="25" t="n">
        <v>3</v>
      </c>
      <c r="L579" s="25" t="n">
        <v>20550.39</v>
      </c>
      <c r="M579" s="25" t="n">
        <v>10</v>
      </c>
      <c r="N579" s="25" t="n">
        <v>61651.17</v>
      </c>
      <c r="O579" s="25" t="n">
        <v>6165.12</v>
      </c>
      <c r="P579" s="25" t="n">
        <v>55486.05</v>
      </c>
      <c r="Q579" s="27" t="b">
        <f aca="false">FALSE()</f>
        <v>0</v>
      </c>
      <c r="R579" s="27" t="b">
        <f aca="false">FALSE()</f>
        <v>0</v>
      </c>
      <c r="S579" s="27" t="b">
        <f aca="false">FALSE()</f>
        <v>0</v>
      </c>
    </row>
    <row r="580" customFormat="false" ht="15" hidden="false" customHeight="false" outlineLevel="0" collapsed="false">
      <c r="A580" s="25" t="n">
        <v>579</v>
      </c>
      <c r="B580" s="25" t="s">
        <v>1489</v>
      </c>
      <c r="C580" s="25" t="s">
        <v>486</v>
      </c>
      <c r="D580" s="25" t="n">
        <v>20240107</v>
      </c>
      <c r="E580" s="25" t="n">
        <v>139</v>
      </c>
      <c r="F580" s="25" t="n">
        <v>34</v>
      </c>
      <c r="G580" s="25" t="s">
        <v>113</v>
      </c>
      <c r="H580" s="25" t="s">
        <v>25</v>
      </c>
      <c r="I580" s="25" t="s">
        <v>79</v>
      </c>
      <c r="J580" s="25" t="s">
        <v>269</v>
      </c>
      <c r="K580" s="25" t="n">
        <v>2</v>
      </c>
      <c r="L580" s="25" t="n">
        <v>11932.31</v>
      </c>
      <c r="M580" s="25" t="n">
        <v>15</v>
      </c>
      <c r="N580" s="25" t="n">
        <v>23864.62</v>
      </c>
      <c r="O580" s="25" t="n">
        <v>3579.69</v>
      </c>
      <c r="P580" s="25" t="n">
        <v>20284.93</v>
      </c>
      <c r="Q580" s="27" t="b">
        <f aca="false">FALSE()</f>
        <v>0</v>
      </c>
      <c r="R580" s="27" t="b">
        <f aca="false">FALSE()</f>
        <v>0</v>
      </c>
      <c r="S580" s="27" t="b">
        <f aca="false">FALSE()</f>
        <v>0</v>
      </c>
    </row>
    <row r="581" customFormat="false" ht="15" hidden="false" customHeight="false" outlineLevel="0" collapsed="false">
      <c r="A581" s="25" t="n">
        <v>580</v>
      </c>
      <c r="B581" s="25" t="s">
        <v>1490</v>
      </c>
      <c r="C581" s="25" t="s">
        <v>486</v>
      </c>
      <c r="D581" s="25" t="n">
        <v>20240107</v>
      </c>
      <c r="E581" s="25" t="n">
        <v>139</v>
      </c>
      <c r="F581" s="25" t="n">
        <v>32</v>
      </c>
      <c r="G581" s="25" t="s">
        <v>113</v>
      </c>
      <c r="H581" s="25" t="s">
        <v>25</v>
      </c>
      <c r="I581" s="25" t="s">
        <v>79</v>
      </c>
      <c r="J581" s="25" t="s">
        <v>269</v>
      </c>
      <c r="K581" s="25" t="n">
        <v>1</v>
      </c>
      <c r="L581" s="25" t="n">
        <v>23243.35</v>
      </c>
      <c r="M581" s="25" t="n">
        <v>0</v>
      </c>
      <c r="N581" s="25" t="n">
        <v>23243.35</v>
      </c>
      <c r="O581" s="25" t="n">
        <v>0</v>
      </c>
      <c r="P581" s="25" t="n">
        <v>23243.35</v>
      </c>
      <c r="Q581" s="27" t="b">
        <f aca="false">FALSE()</f>
        <v>0</v>
      </c>
      <c r="R581" s="27" t="b">
        <f aca="false">FALSE()</f>
        <v>0</v>
      </c>
      <c r="S581" s="27" t="b">
        <f aca="false">FALSE()</f>
        <v>0</v>
      </c>
    </row>
    <row r="582" customFormat="false" ht="15" hidden="false" customHeight="false" outlineLevel="0" collapsed="false">
      <c r="A582" s="25" t="n">
        <v>581</v>
      </c>
      <c r="B582" s="25" t="s">
        <v>1491</v>
      </c>
      <c r="C582" s="25" t="s">
        <v>481</v>
      </c>
      <c r="D582" s="25" t="n">
        <v>20250729</v>
      </c>
      <c r="E582" s="25" t="n">
        <v>120</v>
      </c>
      <c r="F582" s="25" t="n">
        <v>65</v>
      </c>
      <c r="G582" s="25" t="s">
        <v>114</v>
      </c>
      <c r="H582" s="25" t="s">
        <v>2270</v>
      </c>
      <c r="I582" s="25" t="s">
        <v>1738</v>
      </c>
      <c r="J582" s="25" t="s">
        <v>269</v>
      </c>
      <c r="K582" s="25" t="n">
        <v>2</v>
      </c>
      <c r="L582" s="25" t="n">
        <v>15706.03</v>
      </c>
      <c r="M582" s="25" t="n">
        <v>15</v>
      </c>
      <c r="N582" s="25" t="n">
        <v>31412.06</v>
      </c>
      <c r="O582" s="25" t="n">
        <v>4711.81</v>
      </c>
      <c r="P582" s="25" t="n">
        <v>26700.25</v>
      </c>
      <c r="Q582" s="27" t="b">
        <f aca="false">FALSE()</f>
        <v>0</v>
      </c>
      <c r="R582" s="27" t="b">
        <f aca="false">FALSE()</f>
        <v>0</v>
      </c>
      <c r="S582" s="27" t="b">
        <f aca="false">FALSE()</f>
        <v>0</v>
      </c>
    </row>
    <row r="583" customFormat="false" ht="15" hidden="false" customHeight="false" outlineLevel="0" collapsed="false">
      <c r="A583" s="25" t="n">
        <v>582</v>
      </c>
      <c r="B583" s="25" t="s">
        <v>1493</v>
      </c>
      <c r="C583" s="25" t="s">
        <v>481</v>
      </c>
      <c r="D583" s="25" t="n">
        <v>20250729</v>
      </c>
      <c r="E583" s="25" t="n">
        <v>120</v>
      </c>
      <c r="F583" s="25" t="n">
        <v>38</v>
      </c>
      <c r="G583" s="25" t="s">
        <v>114</v>
      </c>
      <c r="H583" s="25" t="s">
        <v>2270</v>
      </c>
      <c r="I583" s="25" t="s">
        <v>1738</v>
      </c>
      <c r="J583" s="25" t="s">
        <v>269</v>
      </c>
      <c r="K583" s="25" t="n">
        <v>3</v>
      </c>
      <c r="L583" s="25" t="n">
        <v>25201.06</v>
      </c>
      <c r="M583" s="25" t="n">
        <v>15</v>
      </c>
      <c r="N583" s="25" t="n">
        <v>75603.18</v>
      </c>
      <c r="O583" s="25" t="n">
        <v>11340.48</v>
      </c>
      <c r="P583" s="25" t="n">
        <v>64262.7</v>
      </c>
      <c r="Q583" s="27" t="b">
        <f aca="false">FALSE()</f>
        <v>0</v>
      </c>
      <c r="R583" s="27" t="b">
        <f aca="false">FALSE()</f>
        <v>0</v>
      </c>
      <c r="S583" s="27" t="b">
        <f aca="false">FALSE()</f>
        <v>0</v>
      </c>
    </row>
    <row r="584" customFormat="false" ht="15" hidden="false" customHeight="false" outlineLevel="0" collapsed="false">
      <c r="A584" s="25" t="n">
        <v>583</v>
      </c>
      <c r="B584" s="25" t="s">
        <v>1494</v>
      </c>
      <c r="C584" s="25" t="s">
        <v>545</v>
      </c>
      <c r="D584" s="25" t="n">
        <v>20240505</v>
      </c>
      <c r="E584" s="25" t="n">
        <v>79</v>
      </c>
      <c r="F584" s="25" t="n">
        <v>70</v>
      </c>
      <c r="G584" s="25" t="s">
        <v>115</v>
      </c>
      <c r="H584" s="25" t="s">
        <v>2266</v>
      </c>
      <c r="I584" s="25" t="s">
        <v>83</v>
      </c>
      <c r="J584" s="25" t="s">
        <v>250</v>
      </c>
      <c r="K584" s="25" t="n">
        <v>5</v>
      </c>
      <c r="L584" s="25" t="n">
        <v>3962.52</v>
      </c>
      <c r="M584" s="25" t="n">
        <v>15</v>
      </c>
      <c r="N584" s="25" t="n">
        <v>19812.6</v>
      </c>
      <c r="O584" s="25" t="n">
        <v>2971.89</v>
      </c>
      <c r="P584" s="25" t="n">
        <v>16840.71</v>
      </c>
      <c r="Q584" s="27" t="b">
        <f aca="false">FALSE()</f>
        <v>0</v>
      </c>
      <c r="R584" s="27" t="b">
        <f aca="false">FALSE()</f>
        <v>0</v>
      </c>
      <c r="S584" s="27" t="b">
        <f aca="false">FALSE()</f>
        <v>0</v>
      </c>
    </row>
    <row r="585" customFormat="false" ht="15" hidden="false" customHeight="false" outlineLevel="0" collapsed="false">
      <c r="A585" s="25" t="n">
        <v>584</v>
      </c>
      <c r="B585" s="25" t="s">
        <v>1495</v>
      </c>
      <c r="C585" s="25" t="s">
        <v>545</v>
      </c>
      <c r="D585" s="25" t="n">
        <v>20240505</v>
      </c>
      <c r="E585" s="25" t="n">
        <v>79</v>
      </c>
      <c r="F585" s="25" t="n">
        <v>61</v>
      </c>
      <c r="G585" s="25" t="s">
        <v>115</v>
      </c>
      <c r="H585" s="25" t="s">
        <v>2266</v>
      </c>
      <c r="I585" s="25" t="s">
        <v>83</v>
      </c>
      <c r="J585" s="25" t="s">
        <v>250</v>
      </c>
      <c r="K585" s="25" t="n">
        <v>3</v>
      </c>
      <c r="L585" s="25" t="n">
        <v>8318.56</v>
      </c>
      <c r="M585" s="25" t="n">
        <v>0</v>
      </c>
      <c r="N585" s="25" t="n">
        <v>24955.68</v>
      </c>
      <c r="O585" s="25" t="n">
        <v>0</v>
      </c>
      <c r="P585" s="25" t="n">
        <v>24955.68</v>
      </c>
      <c r="Q585" s="27" t="b">
        <f aca="false">FALSE()</f>
        <v>0</v>
      </c>
      <c r="R585" s="27" t="b">
        <f aca="false">FALSE()</f>
        <v>0</v>
      </c>
      <c r="S585" s="27" t="b">
        <f aca="false">FALSE()</f>
        <v>0</v>
      </c>
    </row>
    <row r="586" customFormat="false" ht="15" hidden="false" customHeight="false" outlineLevel="0" collapsed="false">
      <c r="A586" s="25" t="n">
        <v>585</v>
      </c>
      <c r="B586" s="25" t="s">
        <v>1496</v>
      </c>
      <c r="C586" s="25" t="s">
        <v>545</v>
      </c>
      <c r="D586" s="25" t="n">
        <v>20240505</v>
      </c>
      <c r="E586" s="25" t="n">
        <v>79</v>
      </c>
      <c r="F586" s="25" t="n">
        <v>57</v>
      </c>
      <c r="G586" s="25" t="s">
        <v>115</v>
      </c>
      <c r="H586" s="25" t="s">
        <v>2266</v>
      </c>
      <c r="I586" s="25" t="s">
        <v>83</v>
      </c>
      <c r="J586" s="25" t="s">
        <v>250</v>
      </c>
      <c r="K586" s="25" t="n">
        <v>3</v>
      </c>
      <c r="L586" s="25" t="n">
        <v>11518.86</v>
      </c>
      <c r="M586" s="25" t="n">
        <v>0</v>
      </c>
      <c r="N586" s="25" t="n">
        <v>34556.58</v>
      </c>
      <c r="O586" s="25" t="n">
        <v>0</v>
      </c>
      <c r="P586" s="25" t="n">
        <v>34556.58</v>
      </c>
      <c r="Q586" s="27" t="b">
        <f aca="false">FALSE()</f>
        <v>0</v>
      </c>
      <c r="R586" s="27" t="b">
        <f aca="false">FALSE()</f>
        <v>0</v>
      </c>
      <c r="S586" s="27" t="b">
        <f aca="false">FALSE()</f>
        <v>0</v>
      </c>
    </row>
    <row r="587" customFormat="false" ht="15" hidden="false" customHeight="false" outlineLevel="0" collapsed="false">
      <c r="A587" s="25" t="n">
        <v>586</v>
      </c>
      <c r="B587" s="25" t="s">
        <v>1497</v>
      </c>
      <c r="C587" s="25" t="s">
        <v>545</v>
      </c>
      <c r="D587" s="25" t="n">
        <v>20240505</v>
      </c>
      <c r="E587" s="25" t="n">
        <v>79</v>
      </c>
      <c r="F587" s="25" t="n">
        <v>19</v>
      </c>
      <c r="G587" s="25" t="s">
        <v>115</v>
      </c>
      <c r="H587" s="25" t="s">
        <v>2266</v>
      </c>
      <c r="I587" s="25" t="s">
        <v>83</v>
      </c>
      <c r="J587" s="25" t="s">
        <v>250</v>
      </c>
      <c r="K587" s="25" t="n">
        <v>4</v>
      </c>
      <c r="L587" s="25" t="n">
        <v>7877.61</v>
      </c>
      <c r="M587" s="25" t="n">
        <v>0</v>
      </c>
      <c r="N587" s="25" t="n">
        <v>31510.44</v>
      </c>
      <c r="O587" s="25" t="n">
        <v>0</v>
      </c>
      <c r="P587" s="25" t="n">
        <v>31510.44</v>
      </c>
      <c r="Q587" s="27" t="b">
        <f aca="false">FALSE()</f>
        <v>0</v>
      </c>
      <c r="R587" s="27" t="b">
        <f aca="false">FALSE()</f>
        <v>0</v>
      </c>
      <c r="S587" s="27" t="b">
        <f aca="false">FALSE()</f>
        <v>0</v>
      </c>
    </row>
    <row r="588" customFormat="false" ht="15" hidden="false" customHeight="false" outlineLevel="0" collapsed="false">
      <c r="A588" s="25" t="n">
        <v>587</v>
      </c>
      <c r="B588" s="25" t="s">
        <v>1498</v>
      </c>
      <c r="C588" s="25" t="s">
        <v>575</v>
      </c>
      <c r="D588" s="25" t="n">
        <v>20240322</v>
      </c>
      <c r="E588" s="25" t="n">
        <v>16</v>
      </c>
      <c r="F588" s="25" t="n">
        <v>68</v>
      </c>
      <c r="G588" s="25" t="s">
        <v>114</v>
      </c>
      <c r="H588" s="25" t="s">
        <v>25</v>
      </c>
      <c r="I588" s="25" t="s">
        <v>94</v>
      </c>
      <c r="J588" s="25" t="s">
        <v>246</v>
      </c>
      <c r="K588" s="25" t="n">
        <v>5</v>
      </c>
      <c r="L588" s="25" t="n">
        <v>21978.46</v>
      </c>
      <c r="M588" s="25" t="n">
        <v>0</v>
      </c>
      <c r="N588" s="25" t="n">
        <v>109892.3</v>
      </c>
      <c r="O588" s="25" t="n">
        <v>0</v>
      </c>
      <c r="P588" s="25" t="n">
        <v>109892.3</v>
      </c>
      <c r="Q588" s="27" t="b">
        <f aca="false">FALSE()</f>
        <v>0</v>
      </c>
      <c r="R588" s="27" t="b">
        <f aca="false">FALSE()</f>
        <v>0</v>
      </c>
      <c r="S588" s="27" t="b">
        <f aca="false">FALSE()</f>
        <v>0</v>
      </c>
    </row>
    <row r="589" customFormat="false" ht="15" hidden="false" customHeight="false" outlineLevel="0" collapsed="false">
      <c r="A589" s="25" t="n">
        <v>588</v>
      </c>
      <c r="B589" s="25" t="s">
        <v>1500</v>
      </c>
      <c r="C589" s="25" t="s">
        <v>485</v>
      </c>
      <c r="D589" s="25" t="n">
        <v>20241227</v>
      </c>
      <c r="E589" s="25" t="n">
        <v>127</v>
      </c>
      <c r="F589" s="25" t="n">
        <v>19</v>
      </c>
      <c r="G589" s="25" t="s">
        <v>115</v>
      </c>
      <c r="H589" s="25" t="s">
        <v>25</v>
      </c>
      <c r="I589" s="25" t="s">
        <v>79</v>
      </c>
      <c r="J589" s="25" t="s">
        <v>242</v>
      </c>
      <c r="K589" s="25" t="n">
        <v>5</v>
      </c>
      <c r="L589" s="25" t="n">
        <v>7877.61</v>
      </c>
      <c r="M589" s="25" t="n">
        <v>5</v>
      </c>
      <c r="N589" s="25" t="n">
        <v>39388.05</v>
      </c>
      <c r="O589" s="25" t="n">
        <v>1969.4</v>
      </c>
      <c r="P589" s="25" t="n">
        <v>37418.65</v>
      </c>
      <c r="Q589" s="27" t="b">
        <f aca="false">FALSE()</f>
        <v>0</v>
      </c>
      <c r="R589" s="27" t="b">
        <f aca="false">FALSE()</f>
        <v>0</v>
      </c>
      <c r="S589" s="27" t="b">
        <f aca="false">FALSE()</f>
        <v>0</v>
      </c>
    </row>
    <row r="590" customFormat="false" ht="15" hidden="false" customHeight="false" outlineLevel="0" collapsed="false">
      <c r="A590" s="25" t="n">
        <v>589</v>
      </c>
      <c r="B590" s="25" t="s">
        <v>1501</v>
      </c>
      <c r="C590" s="25" t="s">
        <v>485</v>
      </c>
      <c r="D590" s="25" t="n">
        <v>20241227</v>
      </c>
      <c r="E590" s="25" t="n">
        <v>127</v>
      </c>
      <c r="F590" s="25" t="n">
        <v>-1</v>
      </c>
      <c r="G590" s="25" t="s">
        <v>115</v>
      </c>
      <c r="H590" s="25" t="s">
        <v>25</v>
      </c>
      <c r="I590" s="25" t="s">
        <v>79</v>
      </c>
      <c r="J590" s="25" t="s">
        <v>242</v>
      </c>
      <c r="K590" s="25" t="n">
        <v>2</v>
      </c>
      <c r="L590" s="25" t="n">
        <v>20278.89</v>
      </c>
      <c r="M590" s="25" t="n">
        <v>5</v>
      </c>
      <c r="N590" s="25" t="n">
        <v>40557.78</v>
      </c>
      <c r="O590" s="25" t="n">
        <v>2027.89</v>
      </c>
      <c r="P590" s="25" t="n">
        <v>38529.89</v>
      </c>
      <c r="Q590" s="27" t="b">
        <f aca="false">FALSE()</f>
        <v>0</v>
      </c>
      <c r="R590" s="27" t="b">
        <f aca="false">FALSE()</f>
        <v>0</v>
      </c>
      <c r="S590" s="27" t="b">
        <f aca="false">FALSE()</f>
        <v>0</v>
      </c>
    </row>
    <row r="591" customFormat="false" ht="15" hidden="false" customHeight="false" outlineLevel="0" collapsed="false">
      <c r="A591" s="25" t="n">
        <v>590</v>
      </c>
      <c r="B591" s="25" t="s">
        <v>1502</v>
      </c>
      <c r="C591" s="25" t="s">
        <v>295</v>
      </c>
      <c r="D591" s="25" t="n">
        <v>20240119</v>
      </c>
      <c r="E591" s="25" t="n">
        <v>134</v>
      </c>
      <c r="F591" s="25" t="n">
        <v>22</v>
      </c>
      <c r="G591" s="25" t="s">
        <v>114</v>
      </c>
      <c r="H591" s="25" t="s">
        <v>25</v>
      </c>
      <c r="I591" s="25" t="s">
        <v>94</v>
      </c>
      <c r="J591" s="25" t="s">
        <v>250</v>
      </c>
      <c r="K591" s="25" t="n">
        <v>4</v>
      </c>
      <c r="L591" s="25" t="n">
        <v>19552.29</v>
      </c>
      <c r="M591" s="25" t="n">
        <v>10</v>
      </c>
      <c r="N591" s="25" t="n">
        <v>78209.16</v>
      </c>
      <c r="O591" s="25" t="n">
        <v>7820.92</v>
      </c>
      <c r="P591" s="25" t="n">
        <v>70388.24</v>
      </c>
      <c r="Q591" s="27" t="b">
        <f aca="false">FALSE()</f>
        <v>0</v>
      </c>
      <c r="R591" s="27" t="b">
        <f aca="false">FALSE()</f>
        <v>0</v>
      </c>
      <c r="S591" s="27" t="b">
        <f aca="false">FALSE()</f>
        <v>0</v>
      </c>
    </row>
    <row r="592" customFormat="false" ht="15" hidden="false" customHeight="false" outlineLevel="0" collapsed="false">
      <c r="A592" s="25" t="n">
        <v>591</v>
      </c>
      <c r="B592" s="25" t="s">
        <v>1504</v>
      </c>
      <c r="C592" s="25" t="s">
        <v>295</v>
      </c>
      <c r="D592" s="25" t="n">
        <v>20240119</v>
      </c>
      <c r="E592" s="25" t="n">
        <v>134</v>
      </c>
      <c r="F592" s="25" t="n">
        <v>8</v>
      </c>
      <c r="G592" s="25" t="s">
        <v>114</v>
      </c>
      <c r="H592" s="25" t="s">
        <v>25</v>
      </c>
      <c r="I592" s="25" t="s">
        <v>94</v>
      </c>
      <c r="J592" s="25" t="s">
        <v>250</v>
      </c>
      <c r="K592" s="25" t="n">
        <v>5</v>
      </c>
      <c r="L592" s="25" t="n">
        <v>15176.98</v>
      </c>
      <c r="M592" s="25" t="n">
        <v>20</v>
      </c>
      <c r="N592" s="25" t="n">
        <v>75884.9</v>
      </c>
      <c r="O592" s="25" t="n">
        <v>15176.98</v>
      </c>
      <c r="P592" s="25" t="n">
        <v>60707.92</v>
      </c>
      <c r="Q592" s="27" t="b">
        <f aca="false">FALSE()</f>
        <v>0</v>
      </c>
      <c r="R592" s="27" t="b">
        <f aca="false">FALSE()</f>
        <v>0</v>
      </c>
      <c r="S592" s="27" t="b">
        <f aca="false">FALSE()</f>
        <v>0</v>
      </c>
    </row>
    <row r="593" customFormat="false" ht="15" hidden="false" customHeight="false" outlineLevel="0" collapsed="false">
      <c r="A593" s="25" t="n">
        <v>592</v>
      </c>
      <c r="B593" s="25" t="s">
        <v>1505</v>
      </c>
      <c r="C593" s="25" t="s">
        <v>295</v>
      </c>
      <c r="D593" s="25" t="n">
        <v>20240119</v>
      </c>
      <c r="E593" s="25" t="n">
        <v>134</v>
      </c>
      <c r="F593" s="25" t="n">
        <v>39</v>
      </c>
      <c r="G593" s="25" t="s">
        <v>114</v>
      </c>
      <c r="H593" s="25" t="s">
        <v>25</v>
      </c>
      <c r="I593" s="25" t="s">
        <v>94</v>
      </c>
      <c r="J593" s="25" t="s">
        <v>250</v>
      </c>
      <c r="K593" s="25" t="n">
        <v>2</v>
      </c>
      <c r="L593" s="25" t="n">
        <v>5818.64</v>
      </c>
      <c r="M593" s="25" t="n">
        <v>10</v>
      </c>
      <c r="N593" s="25" t="n">
        <v>11637.28</v>
      </c>
      <c r="O593" s="25" t="n">
        <v>1163.73</v>
      </c>
      <c r="P593" s="25" t="n">
        <v>10473.55</v>
      </c>
      <c r="Q593" s="27" t="b">
        <f aca="false">FALSE()</f>
        <v>0</v>
      </c>
      <c r="R593" s="27" t="b">
        <f aca="false">FALSE()</f>
        <v>0</v>
      </c>
      <c r="S593" s="27" t="b">
        <f aca="false">FALSE()</f>
        <v>0</v>
      </c>
    </row>
    <row r="594" customFormat="false" ht="15" hidden="false" customHeight="false" outlineLevel="0" collapsed="false">
      <c r="A594" s="25" t="n">
        <v>593</v>
      </c>
      <c r="B594" s="25" t="s">
        <v>1506</v>
      </c>
      <c r="C594" s="25" t="s">
        <v>464</v>
      </c>
      <c r="D594" s="25" t="n">
        <v>20210913</v>
      </c>
      <c r="E594" s="25" t="n">
        <v>121</v>
      </c>
      <c r="F594" s="25" t="n">
        <v>13</v>
      </c>
      <c r="G594" s="25" t="s">
        <v>113</v>
      </c>
      <c r="H594" s="25" t="s">
        <v>25</v>
      </c>
      <c r="I594" s="25" t="s">
        <v>83</v>
      </c>
      <c r="J594" s="25" t="s">
        <v>269</v>
      </c>
      <c r="K594" s="25" t="n">
        <v>4</v>
      </c>
      <c r="L594" s="25" t="n">
        <v>15622.68</v>
      </c>
      <c r="M594" s="25" t="n">
        <v>10</v>
      </c>
      <c r="N594" s="25" t="n">
        <v>62490.72</v>
      </c>
      <c r="O594" s="25" t="n">
        <v>6249.07</v>
      </c>
      <c r="P594" s="25" t="n">
        <v>56241.65</v>
      </c>
      <c r="Q594" s="27" t="b">
        <f aca="false">FALSE()</f>
        <v>0</v>
      </c>
      <c r="R594" s="27" t="b">
        <f aca="false">FALSE()</f>
        <v>0</v>
      </c>
      <c r="S594" s="27" t="b">
        <f aca="false">FALSE()</f>
        <v>0</v>
      </c>
    </row>
    <row r="595" customFormat="false" ht="15" hidden="false" customHeight="false" outlineLevel="0" collapsed="false">
      <c r="A595" s="25" t="n">
        <v>594</v>
      </c>
      <c r="B595" s="25" t="s">
        <v>1507</v>
      </c>
      <c r="C595" s="25" t="s">
        <v>464</v>
      </c>
      <c r="D595" s="25" t="n">
        <v>20210913</v>
      </c>
      <c r="E595" s="25" t="n">
        <v>121</v>
      </c>
      <c r="F595" s="25" t="n">
        <v>36</v>
      </c>
      <c r="G595" s="25" t="s">
        <v>113</v>
      </c>
      <c r="H595" s="25" t="s">
        <v>25</v>
      </c>
      <c r="I595" s="25" t="s">
        <v>83</v>
      </c>
      <c r="J595" s="25" t="s">
        <v>269</v>
      </c>
      <c r="K595" s="25" t="n">
        <v>3</v>
      </c>
      <c r="L595" s="25" t="n">
        <v>4574.41</v>
      </c>
      <c r="M595" s="25" t="n">
        <v>5</v>
      </c>
      <c r="N595" s="25" t="n">
        <v>13723.23</v>
      </c>
      <c r="O595" s="25" t="n">
        <v>686.16</v>
      </c>
      <c r="P595" s="25" t="n">
        <v>13037.07</v>
      </c>
      <c r="Q595" s="27" t="b">
        <f aca="false">FALSE()</f>
        <v>0</v>
      </c>
      <c r="R595" s="27" t="b">
        <f aca="false">FALSE()</f>
        <v>0</v>
      </c>
      <c r="S595" s="27" t="b">
        <f aca="false">FALSE()</f>
        <v>0</v>
      </c>
    </row>
    <row r="596" customFormat="false" ht="15" hidden="false" customHeight="false" outlineLevel="0" collapsed="false">
      <c r="A596" s="25" t="n">
        <v>595</v>
      </c>
      <c r="B596" s="25" t="s">
        <v>1508</v>
      </c>
      <c r="C596" s="25" t="s">
        <v>437</v>
      </c>
      <c r="D596" s="25" t="n">
        <v>20250117</v>
      </c>
      <c r="E596" s="25" t="n">
        <v>106</v>
      </c>
      <c r="F596" s="25" t="n">
        <v>54</v>
      </c>
      <c r="G596" s="25" t="s">
        <v>115</v>
      </c>
      <c r="H596" s="25" t="s">
        <v>25</v>
      </c>
      <c r="I596" s="25" t="s">
        <v>71</v>
      </c>
      <c r="J596" s="25" t="s">
        <v>269</v>
      </c>
      <c r="K596" s="25" t="n">
        <v>3</v>
      </c>
      <c r="L596" s="25" t="n">
        <v>20481.04</v>
      </c>
      <c r="M596" s="25" t="n">
        <v>10</v>
      </c>
      <c r="N596" s="25" t="n">
        <v>61443.12</v>
      </c>
      <c r="O596" s="25" t="n">
        <v>6144.31</v>
      </c>
      <c r="P596" s="25" t="n">
        <v>55298.81</v>
      </c>
      <c r="Q596" s="27" t="b">
        <f aca="false">FALSE()</f>
        <v>0</v>
      </c>
      <c r="R596" s="27" t="b">
        <f aca="false">FALSE()</f>
        <v>0</v>
      </c>
      <c r="S596" s="27" t="b">
        <f aca="false">FALSE()</f>
        <v>0</v>
      </c>
    </row>
    <row r="597" customFormat="false" ht="15" hidden="false" customHeight="false" outlineLevel="0" collapsed="false">
      <c r="A597" s="25" t="n">
        <v>596</v>
      </c>
      <c r="B597" s="25" t="s">
        <v>1509</v>
      </c>
      <c r="C597" s="25" t="s">
        <v>580</v>
      </c>
      <c r="D597" s="25" t="n">
        <v>20250508</v>
      </c>
      <c r="E597" s="25" t="n">
        <v>128</v>
      </c>
      <c r="F597" s="25" t="n">
        <v>60</v>
      </c>
      <c r="G597" s="25" t="s">
        <v>114</v>
      </c>
      <c r="H597" s="25" t="s">
        <v>25</v>
      </c>
      <c r="I597" s="25" t="s">
        <v>86</v>
      </c>
      <c r="J597" s="25" t="s">
        <v>242</v>
      </c>
      <c r="K597" s="25" t="n">
        <v>4</v>
      </c>
      <c r="L597" s="25" t="n">
        <v>11569.57</v>
      </c>
      <c r="M597" s="25" t="n">
        <v>15</v>
      </c>
      <c r="N597" s="25" t="n">
        <v>46278.28</v>
      </c>
      <c r="O597" s="25" t="n">
        <v>6941.74</v>
      </c>
      <c r="P597" s="25" t="n">
        <v>39336.54</v>
      </c>
      <c r="Q597" s="27" t="b">
        <f aca="false">FALSE()</f>
        <v>0</v>
      </c>
      <c r="R597" s="27" t="b">
        <f aca="false">FALSE()</f>
        <v>0</v>
      </c>
      <c r="S597" s="27" t="b">
        <f aca="false">FALSE()</f>
        <v>0</v>
      </c>
    </row>
    <row r="598" customFormat="false" ht="15" hidden="false" customHeight="false" outlineLevel="0" collapsed="false">
      <c r="A598" s="25" t="n">
        <v>597</v>
      </c>
      <c r="B598" s="25" t="s">
        <v>1510</v>
      </c>
      <c r="C598" s="25" t="s">
        <v>580</v>
      </c>
      <c r="D598" s="25" t="n">
        <v>20250508</v>
      </c>
      <c r="E598" s="25" t="n">
        <v>128</v>
      </c>
      <c r="F598" s="25" t="n">
        <v>27</v>
      </c>
      <c r="G598" s="25" t="s">
        <v>114</v>
      </c>
      <c r="H598" s="25" t="s">
        <v>25</v>
      </c>
      <c r="I598" s="25" t="s">
        <v>86</v>
      </c>
      <c r="J598" s="25" t="s">
        <v>242</v>
      </c>
      <c r="K598" s="25" t="n">
        <v>4</v>
      </c>
      <c r="L598" s="25" t="n">
        <v>20550.39</v>
      </c>
      <c r="M598" s="25" t="n">
        <v>10</v>
      </c>
      <c r="N598" s="25" t="n">
        <v>82201.56</v>
      </c>
      <c r="O598" s="25" t="n">
        <v>8220.16</v>
      </c>
      <c r="P598" s="25" t="n">
        <v>73981.4</v>
      </c>
      <c r="Q598" s="27" t="b">
        <f aca="false">FALSE()</f>
        <v>0</v>
      </c>
      <c r="R598" s="27" t="b">
        <f aca="false">FALSE()</f>
        <v>0</v>
      </c>
      <c r="S598" s="27" t="b">
        <f aca="false">FALSE()</f>
        <v>0</v>
      </c>
    </row>
    <row r="599" customFormat="false" ht="15" hidden="false" customHeight="false" outlineLevel="0" collapsed="false">
      <c r="A599" s="25" t="n">
        <v>598</v>
      </c>
      <c r="B599" s="25" t="s">
        <v>1511</v>
      </c>
      <c r="C599" s="25" t="s">
        <v>580</v>
      </c>
      <c r="D599" s="25" t="n">
        <v>20250508</v>
      </c>
      <c r="E599" s="25" t="n">
        <v>128</v>
      </c>
      <c r="F599" s="25" t="n">
        <v>35</v>
      </c>
      <c r="G599" s="25" t="s">
        <v>114</v>
      </c>
      <c r="H599" s="25" t="s">
        <v>25</v>
      </c>
      <c r="I599" s="25" t="s">
        <v>86</v>
      </c>
      <c r="J599" s="25" t="s">
        <v>242</v>
      </c>
      <c r="K599" s="25" t="n">
        <v>4</v>
      </c>
      <c r="L599" s="25" t="n">
        <v>1741.05</v>
      </c>
      <c r="M599" s="25" t="n">
        <v>5</v>
      </c>
      <c r="N599" s="25" t="n">
        <v>6964.2</v>
      </c>
      <c r="O599" s="25" t="n">
        <v>348.21</v>
      </c>
      <c r="P599" s="25" t="n">
        <v>6615.99</v>
      </c>
      <c r="Q599" s="27" t="b">
        <f aca="false">TRUE()</f>
        <v>1</v>
      </c>
      <c r="R599" s="27" t="b">
        <f aca="false">FALSE()</f>
        <v>0</v>
      </c>
      <c r="S599" s="27" t="b">
        <f aca="false">FALSE()</f>
        <v>0</v>
      </c>
    </row>
    <row r="600" customFormat="false" ht="15" hidden="false" customHeight="false" outlineLevel="0" collapsed="false">
      <c r="A600" s="25" t="n">
        <v>599</v>
      </c>
      <c r="B600" s="25" t="s">
        <v>1512</v>
      </c>
      <c r="C600" s="25" t="s">
        <v>564</v>
      </c>
      <c r="D600" s="25" t="n">
        <v>20240808</v>
      </c>
      <c r="E600" s="25" t="n">
        <v>118</v>
      </c>
      <c r="F600" s="25" t="n">
        <v>38</v>
      </c>
      <c r="G600" s="25" t="s">
        <v>115</v>
      </c>
      <c r="H600" s="25" t="s">
        <v>25</v>
      </c>
      <c r="I600" s="25" t="s">
        <v>79</v>
      </c>
      <c r="J600" s="25" t="s">
        <v>242</v>
      </c>
      <c r="K600" s="25" t="n">
        <v>4</v>
      </c>
      <c r="L600" s="25" t="n">
        <v>25201.06</v>
      </c>
      <c r="M600" s="25" t="n">
        <v>0</v>
      </c>
      <c r="N600" s="25" t="n">
        <v>100804.24</v>
      </c>
      <c r="O600" s="25" t="n">
        <v>0</v>
      </c>
      <c r="P600" s="25" t="n">
        <v>100804.24</v>
      </c>
      <c r="Q600" s="27" t="b">
        <f aca="false">FALSE()</f>
        <v>0</v>
      </c>
      <c r="R600" s="27" t="b">
        <f aca="false">FALSE()</f>
        <v>0</v>
      </c>
      <c r="S600" s="27" t="b">
        <f aca="false">FALSE()</f>
        <v>0</v>
      </c>
    </row>
    <row r="601" customFormat="false" ht="15" hidden="false" customHeight="false" outlineLevel="0" collapsed="false">
      <c r="A601" s="25" t="n">
        <v>600</v>
      </c>
      <c r="B601" s="25" t="s">
        <v>1513</v>
      </c>
      <c r="C601" s="25" t="s">
        <v>564</v>
      </c>
      <c r="D601" s="25" t="n">
        <v>20240808</v>
      </c>
      <c r="E601" s="25" t="n">
        <v>118</v>
      </c>
      <c r="F601" s="25" t="n">
        <v>17</v>
      </c>
      <c r="G601" s="25" t="s">
        <v>115</v>
      </c>
      <c r="H601" s="25" t="s">
        <v>25</v>
      </c>
      <c r="I601" s="25" t="s">
        <v>79</v>
      </c>
      <c r="J601" s="25" t="s">
        <v>242</v>
      </c>
      <c r="K601" s="25" t="n">
        <v>3</v>
      </c>
      <c r="L601" s="25" t="n">
        <v>17485.19</v>
      </c>
      <c r="M601" s="25" t="n">
        <v>0</v>
      </c>
      <c r="N601" s="25" t="n">
        <v>52455.57</v>
      </c>
      <c r="O601" s="25" t="n">
        <v>0</v>
      </c>
      <c r="P601" s="25" t="n">
        <v>52455.57</v>
      </c>
      <c r="Q601" s="27" t="b">
        <f aca="false">FALSE()</f>
        <v>0</v>
      </c>
      <c r="R601" s="27" t="b">
        <f aca="false">FALSE()</f>
        <v>0</v>
      </c>
      <c r="S601" s="27" t="b">
        <f aca="false">FALSE()</f>
        <v>0</v>
      </c>
    </row>
    <row r="602" customFormat="false" ht="15" hidden="false" customHeight="false" outlineLevel="0" collapsed="false">
      <c r="A602" s="25" t="n">
        <v>601</v>
      </c>
      <c r="B602" s="25" t="s">
        <v>1514</v>
      </c>
      <c r="C602" s="25" t="s">
        <v>564</v>
      </c>
      <c r="D602" s="25" t="n">
        <v>20240808</v>
      </c>
      <c r="E602" s="25" t="n">
        <v>118</v>
      </c>
      <c r="F602" s="25" t="n">
        <v>46</v>
      </c>
      <c r="G602" s="25" t="s">
        <v>115</v>
      </c>
      <c r="H602" s="25" t="s">
        <v>25</v>
      </c>
      <c r="I602" s="25" t="s">
        <v>79</v>
      </c>
      <c r="J602" s="25" t="s">
        <v>242</v>
      </c>
      <c r="K602" s="25" t="n">
        <v>5</v>
      </c>
      <c r="L602" s="25" t="n">
        <v>15383.27</v>
      </c>
      <c r="M602" s="25" t="n">
        <v>15</v>
      </c>
      <c r="N602" s="25" t="n">
        <v>76916.35</v>
      </c>
      <c r="O602" s="25" t="n">
        <v>11537.45</v>
      </c>
      <c r="P602" s="25" t="n">
        <v>65378.9</v>
      </c>
      <c r="Q602" s="27" t="b">
        <f aca="false">FALSE()</f>
        <v>0</v>
      </c>
      <c r="R602" s="27" t="b">
        <f aca="false">FALSE()</f>
        <v>0</v>
      </c>
      <c r="S602" s="27" t="b">
        <f aca="false">FALSE()</f>
        <v>0</v>
      </c>
    </row>
    <row r="603" customFormat="false" ht="15" hidden="false" customHeight="false" outlineLevel="0" collapsed="false">
      <c r="A603" s="25" t="n">
        <v>602</v>
      </c>
      <c r="B603" s="25" t="s">
        <v>1515</v>
      </c>
      <c r="C603" s="25" t="s">
        <v>436</v>
      </c>
      <c r="D603" s="25" t="n">
        <v>20250226</v>
      </c>
      <c r="E603" s="25" t="n">
        <v>115</v>
      </c>
      <c r="F603" s="25" t="n">
        <v>24</v>
      </c>
      <c r="G603" s="25" t="s">
        <v>113</v>
      </c>
      <c r="H603" s="25" t="s">
        <v>25</v>
      </c>
      <c r="I603" s="25" t="s">
        <v>71</v>
      </c>
      <c r="J603" s="25" t="s">
        <v>246</v>
      </c>
      <c r="K603" s="25" t="n">
        <v>1</v>
      </c>
      <c r="L603" s="25" t="n">
        <v>11175.62</v>
      </c>
      <c r="M603" s="25" t="n">
        <v>0</v>
      </c>
      <c r="N603" s="25" t="n">
        <v>11175.62</v>
      </c>
      <c r="O603" s="25" t="n">
        <v>0</v>
      </c>
      <c r="P603" s="25" t="n">
        <v>11175.62</v>
      </c>
      <c r="Q603" s="27" t="b">
        <f aca="false">FALSE()</f>
        <v>0</v>
      </c>
      <c r="R603" s="27" t="b">
        <f aca="false">FALSE()</f>
        <v>0</v>
      </c>
      <c r="S603" s="27" t="b">
        <f aca="false">FALSE()</f>
        <v>0</v>
      </c>
    </row>
    <row r="604" customFormat="false" ht="15" hidden="false" customHeight="false" outlineLevel="0" collapsed="false">
      <c r="A604" s="25" t="n">
        <v>603</v>
      </c>
      <c r="B604" s="25" t="s">
        <v>1516</v>
      </c>
      <c r="C604" s="25" t="s">
        <v>397</v>
      </c>
      <c r="D604" s="25" t="n">
        <v>20241112</v>
      </c>
      <c r="E604" s="25" t="n">
        <v>158</v>
      </c>
      <c r="F604" s="25" t="n">
        <v>31</v>
      </c>
      <c r="G604" s="25" t="s">
        <v>113</v>
      </c>
      <c r="H604" s="25" t="s">
        <v>25</v>
      </c>
      <c r="I604" s="25" t="s">
        <v>86</v>
      </c>
      <c r="J604" s="25" t="s">
        <v>269</v>
      </c>
      <c r="K604" s="25" t="n">
        <v>2</v>
      </c>
      <c r="L604" s="25" t="n">
        <v>20098.63</v>
      </c>
      <c r="M604" s="25" t="n">
        <v>5</v>
      </c>
      <c r="N604" s="25" t="n">
        <v>40197.26</v>
      </c>
      <c r="O604" s="25" t="n">
        <v>2009.86</v>
      </c>
      <c r="P604" s="25" t="n">
        <v>38187.4</v>
      </c>
      <c r="Q604" s="27" t="b">
        <f aca="false">FALSE()</f>
        <v>0</v>
      </c>
      <c r="R604" s="27" t="b">
        <f aca="false">FALSE()</f>
        <v>0</v>
      </c>
      <c r="S604" s="27" t="b">
        <f aca="false">FALSE()</f>
        <v>0</v>
      </c>
    </row>
    <row r="605" customFormat="false" ht="15" hidden="false" customHeight="false" outlineLevel="0" collapsed="false">
      <c r="A605" s="25" t="n">
        <v>604</v>
      </c>
      <c r="B605" s="25" t="s">
        <v>1517</v>
      </c>
      <c r="C605" s="25" t="s">
        <v>541</v>
      </c>
      <c r="D605" s="25" t="n">
        <v>20250302</v>
      </c>
      <c r="E605" s="25" t="n">
        <v>7</v>
      </c>
      <c r="F605" s="25" t="n">
        <v>16</v>
      </c>
      <c r="G605" s="25" t="s">
        <v>113</v>
      </c>
      <c r="H605" s="25" t="s">
        <v>25</v>
      </c>
      <c r="I605" s="25" t="s">
        <v>1738</v>
      </c>
      <c r="J605" s="25" t="s">
        <v>242</v>
      </c>
      <c r="K605" s="25" t="n">
        <v>3</v>
      </c>
      <c r="L605" s="25" t="n">
        <v>2260.53</v>
      </c>
      <c r="M605" s="25" t="n">
        <v>0</v>
      </c>
      <c r="N605" s="25" t="n">
        <v>6781.59</v>
      </c>
      <c r="O605" s="25" t="n">
        <v>0</v>
      </c>
      <c r="P605" s="25" t="n">
        <v>6781.59</v>
      </c>
      <c r="Q605" s="27" t="b">
        <f aca="false">FALSE()</f>
        <v>0</v>
      </c>
      <c r="R605" s="27" t="b">
        <f aca="false">FALSE()</f>
        <v>0</v>
      </c>
      <c r="S605" s="27" t="b">
        <f aca="false">FALSE()</f>
        <v>0</v>
      </c>
    </row>
    <row r="606" customFormat="false" ht="15" hidden="false" customHeight="false" outlineLevel="0" collapsed="false">
      <c r="A606" s="25" t="n">
        <v>605</v>
      </c>
      <c r="B606" s="25" t="s">
        <v>1518</v>
      </c>
      <c r="C606" s="25" t="s">
        <v>541</v>
      </c>
      <c r="D606" s="25" t="n">
        <v>20250302</v>
      </c>
      <c r="E606" s="25" t="n">
        <v>7</v>
      </c>
      <c r="F606" s="25" t="n">
        <v>54</v>
      </c>
      <c r="G606" s="25" t="s">
        <v>113</v>
      </c>
      <c r="H606" s="25" t="s">
        <v>25</v>
      </c>
      <c r="I606" s="25" t="s">
        <v>1738</v>
      </c>
      <c r="J606" s="25" t="s">
        <v>242</v>
      </c>
      <c r="K606" s="25" t="n">
        <v>5</v>
      </c>
      <c r="L606" s="25" t="n">
        <v>20481.04</v>
      </c>
      <c r="M606" s="25" t="n">
        <v>5</v>
      </c>
      <c r="N606" s="25" t="n">
        <v>102405.2</v>
      </c>
      <c r="O606" s="25" t="n">
        <v>5120.26</v>
      </c>
      <c r="P606" s="25" t="n">
        <v>97284.94</v>
      </c>
      <c r="Q606" s="27" t="b">
        <f aca="false">FALSE()</f>
        <v>0</v>
      </c>
      <c r="R606" s="27" t="b">
        <f aca="false">FALSE()</f>
        <v>0</v>
      </c>
      <c r="S606" s="27" t="b">
        <f aca="false">FALSE()</f>
        <v>0</v>
      </c>
    </row>
    <row r="607" customFormat="false" ht="15" hidden="false" customHeight="false" outlineLevel="0" collapsed="false">
      <c r="A607" s="25" t="n">
        <v>606</v>
      </c>
      <c r="B607" s="25" t="s">
        <v>1519</v>
      </c>
      <c r="C607" s="25" t="s">
        <v>523</v>
      </c>
      <c r="D607" s="25" t="n">
        <v>20240419</v>
      </c>
      <c r="E607" s="25" t="n">
        <v>1</v>
      </c>
      <c r="F607" s="25" t="n">
        <v>21</v>
      </c>
      <c r="G607" s="25" t="s">
        <v>115</v>
      </c>
      <c r="H607" s="25" t="s">
        <v>2259</v>
      </c>
      <c r="I607" s="25" t="s">
        <v>94</v>
      </c>
      <c r="J607" s="25" t="s">
        <v>242</v>
      </c>
      <c r="K607" s="25" t="n">
        <v>3</v>
      </c>
      <c r="L607" s="25" t="n">
        <v>3184.81</v>
      </c>
      <c r="M607" s="25" t="n">
        <v>10</v>
      </c>
      <c r="N607" s="25" t="n">
        <v>9554.43</v>
      </c>
      <c r="O607" s="25" t="n">
        <v>955.44</v>
      </c>
      <c r="P607" s="25" t="n">
        <v>8598.99</v>
      </c>
      <c r="Q607" s="27" t="b">
        <f aca="false">FALSE()</f>
        <v>0</v>
      </c>
      <c r="R607" s="27" t="b">
        <f aca="false">FALSE()</f>
        <v>0</v>
      </c>
      <c r="S607" s="27" t="b">
        <f aca="false">FALSE()</f>
        <v>0</v>
      </c>
    </row>
    <row r="608" customFormat="false" ht="15" hidden="false" customHeight="false" outlineLevel="0" collapsed="false">
      <c r="A608" s="25" t="n">
        <v>607</v>
      </c>
      <c r="B608" s="25" t="s">
        <v>1520</v>
      </c>
      <c r="C608" s="25" t="s">
        <v>365</v>
      </c>
      <c r="D608" s="25" t="n">
        <v>20250123</v>
      </c>
      <c r="E608" s="25" t="n">
        <v>59</v>
      </c>
      <c r="F608" s="25" t="n">
        <v>42</v>
      </c>
      <c r="G608" s="25" t="s">
        <v>115</v>
      </c>
      <c r="H608" s="25" t="s">
        <v>25</v>
      </c>
      <c r="I608" s="25" t="s">
        <v>89</v>
      </c>
      <c r="J608" s="25" t="s">
        <v>242</v>
      </c>
      <c r="K608" s="25" t="n">
        <v>5</v>
      </c>
      <c r="L608" s="25" t="n">
        <v>11284.39</v>
      </c>
      <c r="M608" s="25" t="n">
        <v>0</v>
      </c>
      <c r="N608" s="25" t="n">
        <v>56421.95</v>
      </c>
      <c r="O608" s="25" t="n">
        <v>0</v>
      </c>
      <c r="P608" s="25" t="n">
        <v>56421.95</v>
      </c>
      <c r="Q608" s="27" t="b">
        <f aca="false">FALSE()</f>
        <v>0</v>
      </c>
      <c r="R608" s="27" t="b">
        <f aca="false">FALSE()</f>
        <v>0</v>
      </c>
      <c r="S608" s="27" t="b">
        <f aca="false">FALSE()</f>
        <v>0</v>
      </c>
    </row>
    <row r="609" customFormat="false" ht="15" hidden="false" customHeight="false" outlineLevel="0" collapsed="false">
      <c r="A609" s="25" t="n">
        <v>608</v>
      </c>
      <c r="B609" s="25" t="s">
        <v>1521</v>
      </c>
      <c r="C609" s="25" t="s">
        <v>365</v>
      </c>
      <c r="D609" s="25" t="n">
        <v>20250123</v>
      </c>
      <c r="E609" s="25" t="n">
        <v>59</v>
      </c>
      <c r="F609" s="25" t="n">
        <v>13</v>
      </c>
      <c r="G609" s="25" t="s">
        <v>115</v>
      </c>
      <c r="H609" s="25" t="s">
        <v>25</v>
      </c>
      <c r="I609" s="25" t="s">
        <v>89</v>
      </c>
      <c r="J609" s="25" t="s">
        <v>242</v>
      </c>
      <c r="K609" s="25" t="n">
        <v>2</v>
      </c>
      <c r="L609" s="25" t="n">
        <v>15622.68</v>
      </c>
      <c r="M609" s="25" t="n">
        <v>10</v>
      </c>
      <c r="N609" s="25" t="n">
        <v>31245.36</v>
      </c>
      <c r="O609" s="25" t="n">
        <v>3124.54</v>
      </c>
      <c r="P609" s="25" t="n">
        <v>28120.82</v>
      </c>
      <c r="Q609" s="27" t="b">
        <f aca="false">TRUE()</f>
        <v>1</v>
      </c>
      <c r="R609" s="27" t="b">
        <f aca="false">FALSE()</f>
        <v>0</v>
      </c>
      <c r="S609" s="27" t="b">
        <f aca="false">FALSE()</f>
        <v>0</v>
      </c>
    </row>
    <row r="610" customFormat="false" ht="15" hidden="false" customHeight="false" outlineLevel="0" collapsed="false">
      <c r="A610" s="25" t="n">
        <v>609</v>
      </c>
      <c r="B610" s="25" t="s">
        <v>1522</v>
      </c>
      <c r="C610" s="25" t="s">
        <v>365</v>
      </c>
      <c r="D610" s="25" t="n">
        <v>20250123</v>
      </c>
      <c r="E610" s="25" t="n">
        <v>59</v>
      </c>
      <c r="F610" s="25" t="n">
        <v>60</v>
      </c>
      <c r="G610" s="25" t="s">
        <v>115</v>
      </c>
      <c r="H610" s="25" t="s">
        <v>25</v>
      </c>
      <c r="I610" s="25" t="s">
        <v>89</v>
      </c>
      <c r="J610" s="25" t="s">
        <v>242</v>
      </c>
      <c r="K610" s="25" t="n">
        <v>5</v>
      </c>
      <c r="L610" s="25" t="n">
        <v>11569.57</v>
      </c>
      <c r="M610" s="25" t="n">
        <v>10</v>
      </c>
      <c r="N610" s="25" t="n">
        <v>57847.85</v>
      </c>
      <c r="O610" s="25" t="n">
        <v>5784.78</v>
      </c>
      <c r="P610" s="25" t="n">
        <v>52063.07</v>
      </c>
      <c r="Q610" s="27" t="b">
        <f aca="false">FALSE()</f>
        <v>0</v>
      </c>
      <c r="R610" s="27" t="b">
        <f aca="false">FALSE()</f>
        <v>0</v>
      </c>
      <c r="S610" s="27" t="b">
        <f aca="false">FALSE()</f>
        <v>0</v>
      </c>
    </row>
    <row r="611" customFormat="false" ht="15" hidden="false" customHeight="false" outlineLevel="0" collapsed="false">
      <c r="A611" s="25" t="n">
        <v>610</v>
      </c>
      <c r="B611" s="25" t="s">
        <v>1523</v>
      </c>
      <c r="C611" s="25" t="s">
        <v>365</v>
      </c>
      <c r="D611" s="25" t="n">
        <v>20250123</v>
      </c>
      <c r="E611" s="25" t="n">
        <v>59</v>
      </c>
      <c r="F611" s="25" t="n">
        <v>9</v>
      </c>
      <c r="G611" s="25" t="s">
        <v>115</v>
      </c>
      <c r="H611" s="25" t="s">
        <v>25</v>
      </c>
      <c r="I611" s="25" t="s">
        <v>89</v>
      </c>
      <c r="J611" s="25" t="s">
        <v>242</v>
      </c>
      <c r="K611" s="25" t="n">
        <v>1</v>
      </c>
      <c r="L611" s="25" t="n">
        <v>26274.11</v>
      </c>
      <c r="M611" s="25" t="n">
        <v>5</v>
      </c>
      <c r="N611" s="25" t="n">
        <v>26274.11</v>
      </c>
      <c r="O611" s="25" t="n">
        <v>1313.71</v>
      </c>
      <c r="P611" s="25" t="n">
        <v>24960.4</v>
      </c>
      <c r="Q611" s="27" t="b">
        <f aca="false">FALSE()</f>
        <v>0</v>
      </c>
      <c r="R611" s="27" t="b">
        <f aca="false">FALSE()</f>
        <v>0</v>
      </c>
      <c r="S611" s="27" t="b">
        <f aca="false">FALSE()</f>
        <v>0</v>
      </c>
    </row>
    <row r="612" customFormat="false" ht="15" hidden="false" customHeight="false" outlineLevel="0" collapsed="false">
      <c r="A612" s="25" t="n">
        <v>611</v>
      </c>
      <c r="B612" s="25" t="s">
        <v>1524</v>
      </c>
      <c r="C612" s="25" t="s">
        <v>384</v>
      </c>
      <c r="D612" s="25" t="n">
        <v>20240307</v>
      </c>
      <c r="E612" s="25" t="n">
        <v>-1</v>
      </c>
      <c r="F612" s="25" t="n">
        <v>37</v>
      </c>
      <c r="G612" s="25" t="s">
        <v>113</v>
      </c>
      <c r="H612" s="25" t="s">
        <v>25</v>
      </c>
      <c r="I612" s="25" t="s">
        <v>83</v>
      </c>
      <c r="J612" s="25" t="s">
        <v>250</v>
      </c>
      <c r="K612" s="25" t="n">
        <v>4</v>
      </c>
      <c r="L612" s="25" t="n">
        <v>16084.14</v>
      </c>
      <c r="M612" s="25" t="n">
        <v>0</v>
      </c>
      <c r="N612" s="25" t="n">
        <v>64336.56</v>
      </c>
      <c r="O612" s="25" t="n">
        <v>0</v>
      </c>
      <c r="P612" s="25" t="n">
        <v>64336.56</v>
      </c>
      <c r="Q612" s="27" t="b">
        <f aca="false">TRUE()</f>
        <v>1</v>
      </c>
      <c r="R612" s="27" t="b">
        <f aca="false">FALSE()</f>
        <v>0</v>
      </c>
      <c r="S612" s="27" t="b">
        <f aca="false">FALSE()</f>
        <v>0</v>
      </c>
    </row>
    <row r="613" customFormat="false" ht="15" hidden="false" customHeight="false" outlineLevel="0" collapsed="false">
      <c r="A613" s="25" t="n">
        <v>612</v>
      </c>
      <c r="B613" s="25" t="s">
        <v>1525</v>
      </c>
      <c r="C613" s="25" t="s">
        <v>384</v>
      </c>
      <c r="D613" s="25" t="n">
        <v>20240307</v>
      </c>
      <c r="E613" s="25" t="n">
        <v>-1</v>
      </c>
      <c r="F613" s="25" t="n">
        <v>4</v>
      </c>
      <c r="G613" s="25" t="s">
        <v>113</v>
      </c>
      <c r="H613" s="25" t="s">
        <v>25</v>
      </c>
      <c r="I613" s="25" t="s">
        <v>83</v>
      </c>
      <c r="J613" s="25" t="s">
        <v>250</v>
      </c>
      <c r="K613" s="25" t="n">
        <v>5</v>
      </c>
      <c r="L613" s="25" t="n">
        <v>21122.18</v>
      </c>
      <c r="M613" s="25" t="n">
        <v>0</v>
      </c>
      <c r="N613" s="25" t="n">
        <v>105610.9</v>
      </c>
      <c r="O613" s="25" t="n">
        <v>0</v>
      </c>
      <c r="P613" s="25" t="n">
        <v>105610.9</v>
      </c>
      <c r="Q613" s="27" t="b">
        <f aca="false">FALSE()</f>
        <v>0</v>
      </c>
      <c r="R613" s="27" t="b">
        <f aca="false">FALSE()</f>
        <v>0</v>
      </c>
      <c r="S613" s="27" t="b">
        <f aca="false">FALSE()</f>
        <v>0</v>
      </c>
    </row>
    <row r="614" customFormat="false" ht="15" hidden="false" customHeight="false" outlineLevel="0" collapsed="false">
      <c r="A614" s="25" t="n">
        <v>613</v>
      </c>
      <c r="B614" s="25" t="s">
        <v>1526</v>
      </c>
      <c r="C614" s="25" t="s">
        <v>282</v>
      </c>
      <c r="D614" s="25" t="n">
        <v>20250908</v>
      </c>
      <c r="E614" s="25" t="n">
        <v>15</v>
      </c>
      <c r="F614" s="25" t="n">
        <v>54</v>
      </c>
      <c r="G614" s="25" t="s">
        <v>113</v>
      </c>
      <c r="H614" s="25" t="s">
        <v>2278</v>
      </c>
      <c r="I614" s="25" t="s">
        <v>75</v>
      </c>
      <c r="J614" s="25" t="s">
        <v>269</v>
      </c>
      <c r="K614" s="25" t="n">
        <v>2</v>
      </c>
      <c r="L614" s="25" t="n">
        <v>20481.04</v>
      </c>
      <c r="M614" s="25" t="n">
        <v>5</v>
      </c>
      <c r="N614" s="25" t="n">
        <v>40962.08</v>
      </c>
      <c r="O614" s="25" t="n">
        <v>2048.1</v>
      </c>
      <c r="P614" s="25" t="n">
        <v>38913.98</v>
      </c>
      <c r="Q614" s="27" t="b">
        <f aca="false">FALSE()</f>
        <v>0</v>
      </c>
      <c r="R614" s="27" t="b">
        <f aca="false">FALSE()</f>
        <v>0</v>
      </c>
      <c r="S614" s="27" t="b">
        <f aca="false">FALSE()</f>
        <v>0</v>
      </c>
    </row>
    <row r="615" customFormat="false" ht="15" hidden="false" customHeight="false" outlineLevel="0" collapsed="false">
      <c r="A615" s="25" t="n">
        <v>614</v>
      </c>
      <c r="B615" s="25" t="s">
        <v>1528</v>
      </c>
      <c r="C615" s="25" t="s">
        <v>282</v>
      </c>
      <c r="D615" s="25" t="n">
        <v>20250908</v>
      </c>
      <c r="E615" s="25" t="n">
        <v>15</v>
      </c>
      <c r="F615" s="25" t="n">
        <v>42</v>
      </c>
      <c r="G615" s="25" t="s">
        <v>113</v>
      </c>
      <c r="H615" s="25" t="s">
        <v>2278</v>
      </c>
      <c r="I615" s="25" t="s">
        <v>75</v>
      </c>
      <c r="J615" s="25" t="s">
        <v>269</v>
      </c>
      <c r="K615" s="25" t="n">
        <v>3</v>
      </c>
      <c r="L615" s="25" t="n">
        <v>11284.39</v>
      </c>
      <c r="M615" s="25" t="n">
        <v>5</v>
      </c>
      <c r="N615" s="25" t="n">
        <v>33853.17</v>
      </c>
      <c r="O615" s="25" t="n">
        <v>1692.66</v>
      </c>
      <c r="P615" s="25" t="n">
        <v>32160.51</v>
      </c>
      <c r="Q615" s="27" t="b">
        <f aca="false">FALSE()</f>
        <v>0</v>
      </c>
      <c r="R615" s="27" t="b">
        <f aca="false">FALSE()</f>
        <v>0</v>
      </c>
      <c r="S615" s="27" t="b">
        <f aca="false">FALSE()</f>
        <v>0</v>
      </c>
    </row>
    <row r="616" customFormat="false" ht="15" hidden="false" customHeight="false" outlineLevel="0" collapsed="false">
      <c r="A616" s="25" t="n">
        <v>615</v>
      </c>
      <c r="B616" s="25" t="s">
        <v>1529</v>
      </c>
      <c r="C616" s="25" t="s">
        <v>282</v>
      </c>
      <c r="D616" s="25" t="n">
        <v>20250908</v>
      </c>
      <c r="E616" s="25" t="n">
        <v>15</v>
      </c>
      <c r="F616" s="25" t="n">
        <v>10</v>
      </c>
      <c r="G616" s="25" t="s">
        <v>113</v>
      </c>
      <c r="H616" s="25" t="s">
        <v>2278</v>
      </c>
      <c r="I616" s="25" t="s">
        <v>75</v>
      </c>
      <c r="J616" s="25" t="s">
        <v>269</v>
      </c>
      <c r="K616" s="25" t="n">
        <v>4</v>
      </c>
      <c r="L616" s="25" t="n">
        <v>1165.83</v>
      </c>
      <c r="M616" s="25" t="n">
        <v>20</v>
      </c>
      <c r="N616" s="25" t="n">
        <v>4663.32</v>
      </c>
      <c r="O616" s="25" t="n">
        <v>932.66</v>
      </c>
      <c r="P616" s="25" t="n">
        <v>3730.66</v>
      </c>
      <c r="Q616" s="27" t="b">
        <f aca="false">FALSE()</f>
        <v>0</v>
      </c>
      <c r="R616" s="27" t="b">
        <f aca="false">FALSE()</f>
        <v>0</v>
      </c>
      <c r="S616" s="27" t="b">
        <f aca="false">FALSE()</f>
        <v>0</v>
      </c>
    </row>
    <row r="617" customFormat="false" ht="15" hidden="false" customHeight="false" outlineLevel="0" collapsed="false">
      <c r="A617" s="25" t="n">
        <v>616</v>
      </c>
      <c r="B617" s="25" t="s">
        <v>1530</v>
      </c>
      <c r="C617" s="25" t="s">
        <v>435</v>
      </c>
      <c r="D617" s="25" t="n">
        <v>20240813</v>
      </c>
      <c r="E617" s="25" t="n">
        <v>11</v>
      </c>
      <c r="F617" s="25" t="n">
        <v>57</v>
      </c>
      <c r="G617" s="25" t="s">
        <v>114</v>
      </c>
      <c r="H617" s="25" t="s">
        <v>25</v>
      </c>
      <c r="I617" s="25" t="s">
        <v>83</v>
      </c>
      <c r="J617" s="25" t="s">
        <v>242</v>
      </c>
      <c r="K617" s="25" t="n">
        <v>5</v>
      </c>
      <c r="L617" s="25" t="n">
        <v>11518.86</v>
      </c>
      <c r="M617" s="25" t="n">
        <v>0</v>
      </c>
      <c r="N617" s="25" t="n">
        <v>57594.3</v>
      </c>
      <c r="O617" s="25" t="n">
        <v>0</v>
      </c>
      <c r="P617" s="25" t="n">
        <v>57594.3</v>
      </c>
      <c r="Q617" s="27" t="b">
        <f aca="false">FALSE()</f>
        <v>0</v>
      </c>
      <c r="R617" s="27" t="b">
        <f aca="false">FALSE()</f>
        <v>0</v>
      </c>
      <c r="S617" s="27" t="b">
        <f aca="false">FALSE()</f>
        <v>0</v>
      </c>
    </row>
    <row r="618" customFormat="false" ht="15" hidden="false" customHeight="false" outlineLevel="0" collapsed="false">
      <c r="A618" s="25" t="n">
        <v>617</v>
      </c>
      <c r="B618" s="25" t="s">
        <v>1532</v>
      </c>
      <c r="C618" s="25" t="s">
        <v>435</v>
      </c>
      <c r="D618" s="25" t="n">
        <v>20240813</v>
      </c>
      <c r="E618" s="25" t="n">
        <v>11</v>
      </c>
      <c r="F618" s="25" t="n">
        <v>54</v>
      </c>
      <c r="G618" s="25" t="s">
        <v>114</v>
      </c>
      <c r="H618" s="25" t="s">
        <v>25</v>
      </c>
      <c r="I618" s="25" t="s">
        <v>83</v>
      </c>
      <c r="J618" s="25" t="s">
        <v>242</v>
      </c>
      <c r="K618" s="25" t="n">
        <v>3</v>
      </c>
      <c r="L618" s="25" t="n">
        <v>20481.04</v>
      </c>
      <c r="M618" s="25" t="n">
        <v>15</v>
      </c>
      <c r="N618" s="25" t="n">
        <v>61443.12</v>
      </c>
      <c r="O618" s="25" t="n">
        <v>9216.47</v>
      </c>
      <c r="P618" s="25" t="n">
        <v>52226.65</v>
      </c>
      <c r="Q618" s="27" t="b">
        <f aca="false">FALSE()</f>
        <v>0</v>
      </c>
      <c r="R618" s="27" t="b">
        <f aca="false">FALSE()</f>
        <v>0</v>
      </c>
      <c r="S618" s="27" t="b">
        <f aca="false">FALSE()</f>
        <v>0</v>
      </c>
    </row>
    <row r="619" customFormat="false" ht="15" hidden="false" customHeight="false" outlineLevel="0" collapsed="false">
      <c r="A619" s="25" t="n">
        <v>618</v>
      </c>
      <c r="B619" s="25" t="s">
        <v>1533</v>
      </c>
      <c r="C619" s="25" t="s">
        <v>435</v>
      </c>
      <c r="D619" s="25" t="n">
        <v>20240813</v>
      </c>
      <c r="E619" s="25" t="n">
        <v>11</v>
      </c>
      <c r="F619" s="25" t="n">
        <v>13</v>
      </c>
      <c r="G619" s="25" t="s">
        <v>114</v>
      </c>
      <c r="H619" s="25" t="s">
        <v>25</v>
      </c>
      <c r="I619" s="25" t="s">
        <v>83</v>
      </c>
      <c r="J619" s="25" t="s">
        <v>242</v>
      </c>
      <c r="K619" s="25" t="n">
        <v>2</v>
      </c>
      <c r="L619" s="25" t="n">
        <v>15622.68</v>
      </c>
      <c r="M619" s="25" t="n">
        <v>10</v>
      </c>
      <c r="N619" s="25" t="n">
        <v>31245.36</v>
      </c>
      <c r="O619" s="25" t="n">
        <v>3124.54</v>
      </c>
      <c r="P619" s="25" t="n">
        <v>28120.82</v>
      </c>
      <c r="Q619" s="27" t="b">
        <f aca="false">FALSE()</f>
        <v>0</v>
      </c>
      <c r="R619" s="27" t="b">
        <f aca="false">FALSE()</f>
        <v>0</v>
      </c>
      <c r="S619" s="27" t="b">
        <f aca="false">FALSE()</f>
        <v>0</v>
      </c>
    </row>
    <row r="620" customFormat="false" ht="15" hidden="false" customHeight="false" outlineLevel="0" collapsed="false">
      <c r="A620" s="25" t="n">
        <v>619</v>
      </c>
      <c r="B620" s="25" t="s">
        <v>1534</v>
      </c>
      <c r="C620" s="25" t="s">
        <v>421</v>
      </c>
      <c r="D620" s="25" t="n">
        <v>20251003</v>
      </c>
      <c r="E620" s="25" t="n">
        <v>111</v>
      </c>
      <c r="F620" s="25" t="n">
        <v>23</v>
      </c>
      <c r="G620" s="25" t="s">
        <v>113</v>
      </c>
      <c r="H620" s="25" t="s">
        <v>2273</v>
      </c>
      <c r="I620" s="25" t="s">
        <v>1770</v>
      </c>
      <c r="J620" s="25" t="s">
        <v>250</v>
      </c>
      <c r="K620" s="25" t="n">
        <v>4</v>
      </c>
      <c r="L620" s="25" t="n">
        <v>3019.36</v>
      </c>
      <c r="M620" s="25" t="n">
        <v>0</v>
      </c>
      <c r="N620" s="25" t="n">
        <v>12077.44</v>
      </c>
      <c r="O620" s="25" t="n">
        <v>0</v>
      </c>
      <c r="P620" s="25" t="n">
        <v>12077.44</v>
      </c>
      <c r="Q620" s="27" t="b">
        <f aca="false">FALSE()</f>
        <v>0</v>
      </c>
      <c r="R620" s="27" t="b">
        <f aca="false">FALSE()</f>
        <v>0</v>
      </c>
      <c r="S620" s="27" t="b">
        <f aca="false">FALSE()</f>
        <v>0</v>
      </c>
    </row>
    <row r="621" customFormat="false" ht="15" hidden="false" customHeight="false" outlineLevel="0" collapsed="false">
      <c r="A621" s="25" t="n">
        <v>620</v>
      </c>
      <c r="B621" s="25" t="s">
        <v>1535</v>
      </c>
      <c r="C621" s="25" t="s">
        <v>366</v>
      </c>
      <c r="D621" s="25" t="n">
        <v>20240805</v>
      </c>
      <c r="E621" s="25" t="n">
        <v>45</v>
      </c>
      <c r="F621" s="25" t="n">
        <v>40</v>
      </c>
      <c r="G621" s="25" t="s">
        <v>114</v>
      </c>
      <c r="H621" s="25" t="s">
        <v>25</v>
      </c>
      <c r="I621" s="25" t="s">
        <v>89</v>
      </c>
      <c r="J621" s="25" t="s">
        <v>246</v>
      </c>
      <c r="K621" s="25" t="n">
        <v>2</v>
      </c>
      <c r="L621" s="25" t="n">
        <v>1592.76</v>
      </c>
      <c r="M621" s="25" t="n">
        <v>0</v>
      </c>
      <c r="N621" s="25" t="n">
        <v>3185.52</v>
      </c>
      <c r="O621" s="25" t="n">
        <v>0</v>
      </c>
      <c r="P621" s="25" t="n">
        <v>3185.52</v>
      </c>
      <c r="Q621" s="27" t="b">
        <f aca="false">FALSE()</f>
        <v>0</v>
      </c>
      <c r="R621" s="27" t="b">
        <f aca="false">FALSE()</f>
        <v>0</v>
      </c>
      <c r="S621" s="27" t="b">
        <f aca="false">FALSE()</f>
        <v>0</v>
      </c>
    </row>
    <row r="622" customFormat="false" ht="15" hidden="false" customHeight="false" outlineLevel="0" collapsed="false">
      <c r="A622" s="25" t="n">
        <v>621</v>
      </c>
      <c r="B622" s="25" t="s">
        <v>1536</v>
      </c>
      <c r="C622" s="25" t="s">
        <v>366</v>
      </c>
      <c r="D622" s="25" t="n">
        <v>20240805</v>
      </c>
      <c r="E622" s="25" t="n">
        <v>45</v>
      </c>
      <c r="F622" s="25" t="n">
        <v>50</v>
      </c>
      <c r="G622" s="25" t="s">
        <v>114</v>
      </c>
      <c r="H622" s="25" t="s">
        <v>25</v>
      </c>
      <c r="I622" s="25" t="s">
        <v>89</v>
      </c>
      <c r="J622" s="25" t="s">
        <v>246</v>
      </c>
      <c r="K622" s="25" t="n">
        <v>5</v>
      </c>
      <c r="L622" s="25" t="n">
        <v>22582.54</v>
      </c>
      <c r="M622" s="25" t="n">
        <v>10</v>
      </c>
      <c r="N622" s="25" t="n">
        <v>112912.7</v>
      </c>
      <c r="O622" s="25" t="n">
        <v>11291.27</v>
      </c>
      <c r="P622" s="25" t="n">
        <v>101621.43</v>
      </c>
      <c r="Q622" s="27" t="b">
        <f aca="false">FALSE()</f>
        <v>0</v>
      </c>
      <c r="R622" s="27" t="b">
        <f aca="false">FALSE()</f>
        <v>0</v>
      </c>
      <c r="S622" s="27" t="b">
        <f aca="false">FALSE()</f>
        <v>0</v>
      </c>
    </row>
    <row r="623" customFormat="false" ht="15" hidden="false" customHeight="false" outlineLevel="0" collapsed="false">
      <c r="A623" s="25" t="n">
        <v>622</v>
      </c>
      <c r="B623" s="25" t="s">
        <v>1537</v>
      </c>
      <c r="C623" s="25" t="s">
        <v>366</v>
      </c>
      <c r="D623" s="25" t="n">
        <v>20240805</v>
      </c>
      <c r="E623" s="25" t="n">
        <v>45</v>
      </c>
      <c r="F623" s="25" t="n">
        <v>6</v>
      </c>
      <c r="G623" s="25" t="s">
        <v>114</v>
      </c>
      <c r="H623" s="25" t="s">
        <v>25</v>
      </c>
      <c r="I623" s="25" t="s">
        <v>89</v>
      </c>
      <c r="J623" s="25" t="s">
        <v>246</v>
      </c>
      <c r="K623" s="25" t="n">
        <v>1</v>
      </c>
      <c r="L623" s="25" t="n">
        <v>2863.09</v>
      </c>
      <c r="M623" s="25" t="n">
        <v>10</v>
      </c>
      <c r="N623" s="25" t="n">
        <v>2863.09</v>
      </c>
      <c r="O623" s="25" t="n">
        <v>286.31</v>
      </c>
      <c r="P623" s="25" t="n">
        <v>2576.78</v>
      </c>
      <c r="Q623" s="27" t="b">
        <f aca="false">FALSE()</f>
        <v>0</v>
      </c>
      <c r="R623" s="27" t="b">
        <f aca="false">FALSE()</f>
        <v>0</v>
      </c>
      <c r="S623" s="27" t="b">
        <f aca="false">FALSE()</f>
        <v>0</v>
      </c>
    </row>
    <row r="624" customFormat="false" ht="15" hidden="false" customHeight="false" outlineLevel="0" collapsed="false">
      <c r="A624" s="25" t="n">
        <v>623</v>
      </c>
      <c r="B624" s="25" t="s">
        <v>1538</v>
      </c>
      <c r="C624" s="25" t="s">
        <v>325</v>
      </c>
      <c r="D624" s="25" t="n">
        <v>20250608</v>
      </c>
      <c r="E624" s="25" t="n">
        <v>10</v>
      </c>
      <c r="F624" s="25" t="n">
        <v>55</v>
      </c>
      <c r="G624" s="25" t="s">
        <v>114</v>
      </c>
      <c r="H624" s="25" t="s">
        <v>25</v>
      </c>
      <c r="I624" s="25" t="s">
        <v>1770</v>
      </c>
      <c r="J624" s="25" t="s">
        <v>242</v>
      </c>
      <c r="K624" s="25" t="n">
        <v>5</v>
      </c>
      <c r="L624" s="25" t="n">
        <v>5471.28</v>
      </c>
      <c r="M624" s="25" t="n">
        <v>0</v>
      </c>
      <c r="N624" s="25" t="n">
        <v>27356.4</v>
      </c>
      <c r="O624" s="25" t="n">
        <v>0</v>
      </c>
      <c r="P624" s="25" t="n">
        <v>27356.4</v>
      </c>
      <c r="Q624" s="27" t="b">
        <f aca="false">FALSE()</f>
        <v>0</v>
      </c>
      <c r="R624" s="27" t="b">
        <f aca="false">FALSE()</f>
        <v>0</v>
      </c>
      <c r="S624" s="27" t="b">
        <f aca="false">FALSE()</f>
        <v>0</v>
      </c>
    </row>
    <row r="625" customFormat="false" ht="15" hidden="false" customHeight="false" outlineLevel="0" collapsed="false">
      <c r="A625" s="25" t="n">
        <v>624</v>
      </c>
      <c r="B625" s="25" t="s">
        <v>1539</v>
      </c>
      <c r="C625" s="25" t="s">
        <v>325</v>
      </c>
      <c r="D625" s="25" t="n">
        <v>20250608</v>
      </c>
      <c r="E625" s="25" t="n">
        <v>10</v>
      </c>
      <c r="F625" s="25" t="n">
        <v>12</v>
      </c>
      <c r="G625" s="25" t="s">
        <v>114</v>
      </c>
      <c r="H625" s="25" t="s">
        <v>25</v>
      </c>
      <c r="I625" s="25" t="s">
        <v>1770</v>
      </c>
      <c r="J625" s="25" t="s">
        <v>242</v>
      </c>
      <c r="K625" s="25" t="n">
        <v>4</v>
      </c>
      <c r="L625" s="25" t="n">
        <v>11434.02</v>
      </c>
      <c r="M625" s="25" t="n">
        <v>10</v>
      </c>
      <c r="N625" s="25" t="n">
        <v>45736.08</v>
      </c>
      <c r="O625" s="25" t="n">
        <v>4573.61</v>
      </c>
      <c r="P625" s="25" t="n">
        <v>41162.47</v>
      </c>
      <c r="Q625" s="27" t="b">
        <f aca="false">FALSE()</f>
        <v>0</v>
      </c>
      <c r="R625" s="27" t="b">
        <f aca="false">FALSE()</f>
        <v>0</v>
      </c>
      <c r="S625" s="27" t="b">
        <f aca="false">FALSE()</f>
        <v>0</v>
      </c>
    </row>
    <row r="626" customFormat="false" ht="15" hidden="false" customHeight="false" outlineLevel="0" collapsed="false">
      <c r="A626" s="25" t="n">
        <v>625</v>
      </c>
      <c r="B626" s="25" t="s">
        <v>1540</v>
      </c>
      <c r="C626" s="25" t="s">
        <v>322</v>
      </c>
      <c r="D626" s="25" t="n">
        <v>20241129</v>
      </c>
      <c r="E626" s="25" t="n">
        <v>63</v>
      </c>
      <c r="F626" s="25" t="n">
        <v>49</v>
      </c>
      <c r="G626" s="25" t="s">
        <v>114</v>
      </c>
      <c r="H626" s="25" t="s">
        <v>25</v>
      </c>
      <c r="I626" s="25" t="s">
        <v>83</v>
      </c>
      <c r="J626" s="25" t="s">
        <v>242</v>
      </c>
      <c r="K626" s="25" t="n">
        <v>2</v>
      </c>
      <c r="L626" s="25" t="n">
        <v>12393.99</v>
      </c>
      <c r="M626" s="25" t="n">
        <v>0</v>
      </c>
      <c r="N626" s="25" t="n">
        <v>24787.98</v>
      </c>
      <c r="O626" s="25" t="n">
        <v>0</v>
      </c>
      <c r="P626" s="25" t="n">
        <v>24787.98</v>
      </c>
      <c r="Q626" s="27" t="b">
        <f aca="false">FALSE()</f>
        <v>0</v>
      </c>
      <c r="R626" s="27" t="b">
        <f aca="false">FALSE()</f>
        <v>0</v>
      </c>
      <c r="S626" s="27" t="b">
        <f aca="false">FALSE()</f>
        <v>0</v>
      </c>
    </row>
    <row r="627" customFormat="false" ht="15" hidden="false" customHeight="false" outlineLevel="0" collapsed="false">
      <c r="A627" s="25" t="n">
        <v>626</v>
      </c>
      <c r="B627" s="25" t="s">
        <v>1542</v>
      </c>
      <c r="C627" s="25" t="s">
        <v>571</v>
      </c>
      <c r="D627" s="25" t="n">
        <v>20240508</v>
      </c>
      <c r="E627" s="25" t="n">
        <v>101</v>
      </c>
      <c r="F627" s="25" t="n">
        <v>66</v>
      </c>
      <c r="G627" s="25" t="s">
        <v>113</v>
      </c>
      <c r="H627" s="25" t="s">
        <v>25</v>
      </c>
      <c r="I627" s="25" t="s">
        <v>75</v>
      </c>
      <c r="J627" s="25" t="s">
        <v>246</v>
      </c>
      <c r="K627" s="25" t="n">
        <v>4</v>
      </c>
      <c r="L627" s="25" t="n">
        <v>19639.31</v>
      </c>
      <c r="M627" s="25" t="n">
        <v>0</v>
      </c>
      <c r="N627" s="25" t="n">
        <v>78557.24</v>
      </c>
      <c r="O627" s="25" t="n">
        <v>0</v>
      </c>
      <c r="P627" s="25" t="n">
        <v>78557.24</v>
      </c>
      <c r="Q627" s="27" t="b">
        <f aca="false">FALSE()</f>
        <v>0</v>
      </c>
      <c r="R627" s="27" t="b">
        <f aca="false">FALSE()</f>
        <v>0</v>
      </c>
      <c r="S627" s="27" t="b">
        <f aca="false">FALSE()</f>
        <v>0</v>
      </c>
    </row>
    <row r="628" customFormat="false" ht="15" hidden="false" customHeight="false" outlineLevel="0" collapsed="false">
      <c r="A628" s="25" t="n">
        <v>627</v>
      </c>
      <c r="B628" s="25" t="s">
        <v>1543</v>
      </c>
      <c r="C628" s="25" t="s">
        <v>571</v>
      </c>
      <c r="D628" s="25" t="n">
        <v>20240508</v>
      </c>
      <c r="E628" s="25" t="n">
        <v>101</v>
      </c>
      <c r="F628" s="25" t="n">
        <v>66</v>
      </c>
      <c r="G628" s="25" t="s">
        <v>113</v>
      </c>
      <c r="H628" s="25" t="s">
        <v>25</v>
      </c>
      <c r="I628" s="25" t="s">
        <v>75</v>
      </c>
      <c r="J628" s="25" t="s">
        <v>246</v>
      </c>
      <c r="K628" s="25" t="n">
        <v>5</v>
      </c>
      <c r="L628" s="25" t="n">
        <v>19639.31</v>
      </c>
      <c r="M628" s="25" t="n">
        <v>20</v>
      </c>
      <c r="N628" s="25" t="n">
        <v>98196.55</v>
      </c>
      <c r="O628" s="25" t="n">
        <v>19639.31</v>
      </c>
      <c r="P628" s="25" t="n">
        <v>78557.24</v>
      </c>
      <c r="Q628" s="27" t="b">
        <f aca="false">FALSE()</f>
        <v>0</v>
      </c>
      <c r="R628" s="27" t="b">
        <f aca="false">FALSE()</f>
        <v>0</v>
      </c>
      <c r="S628" s="27" t="b">
        <f aca="false">FALSE()</f>
        <v>0</v>
      </c>
    </row>
    <row r="629" customFormat="false" ht="15" hidden="false" customHeight="false" outlineLevel="0" collapsed="false">
      <c r="A629" s="25" t="n">
        <v>628</v>
      </c>
      <c r="B629" s="25" t="s">
        <v>1544</v>
      </c>
      <c r="C629" s="25" t="s">
        <v>429</v>
      </c>
      <c r="D629" s="25" t="n">
        <v>20241109</v>
      </c>
      <c r="E629" s="25" t="n">
        <v>2</v>
      </c>
      <c r="F629" s="25" t="n">
        <v>24</v>
      </c>
      <c r="G629" s="25" t="s">
        <v>113</v>
      </c>
      <c r="H629" s="25" t="s">
        <v>2275</v>
      </c>
      <c r="I629" s="25" t="s">
        <v>1738</v>
      </c>
      <c r="J629" s="25" t="s">
        <v>242</v>
      </c>
      <c r="K629" s="25" t="n">
        <v>2</v>
      </c>
      <c r="L629" s="25" t="n">
        <v>11175.62</v>
      </c>
      <c r="M629" s="25" t="n">
        <v>10</v>
      </c>
      <c r="N629" s="25" t="n">
        <v>22351.24</v>
      </c>
      <c r="O629" s="25" t="n">
        <v>2235.12</v>
      </c>
      <c r="P629" s="25" t="n">
        <v>20116.12</v>
      </c>
      <c r="Q629" s="27" t="b">
        <f aca="false">FALSE()</f>
        <v>0</v>
      </c>
      <c r="R629" s="27" t="b">
        <f aca="false">FALSE()</f>
        <v>0</v>
      </c>
      <c r="S629" s="27" t="b">
        <f aca="false">FALSE()</f>
        <v>0</v>
      </c>
    </row>
    <row r="630" customFormat="false" ht="15" hidden="false" customHeight="false" outlineLevel="0" collapsed="false">
      <c r="A630" s="25" t="n">
        <v>629</v>
      </c>
      <c r="B630" s="25" t="s">
        <v>1545</v>
      </c>
      <c r="C630" s="25" t="s">
        <v>429</v>
      </c>
      <c r="D630" s="25" t="n">
        <v>20241109</v>
      </c>
      <c r="E630" s="25" t="n">
        <v>2</v>
      </c>
      <c r="F630" s="25" t="n">
        <v>49</v>
      </c>
      <c r="G630" s="25" t="s">
        <v>113</v>
      </c>
      <c r="H630" s="25" t="s">
        <v>2275</v>
      </c>
      <c r="I630" s="25" t="s">
        <v>1738</v>
      </c>
      <c r="J630" s="25" t="s">
        <v>242</v>
      </c>
      <c r="K630" s="25" t="n">
        <v>5</v>
      </c>
      <c r="L630" s="25" t="n">
        <v>12393.99</v>
      </c>
      <c r="M630" s="25" t="n">
        <v>0</v>
      </c>
      <c r="N630" s="25" t="n">
        <v>61969.95</v>
      </c>
      <c r="O630" s="25" t="n">
        <v>0</v>
      </c>
      <c r="P630" s="25" t="n">
        <v>61969.95</v>
      </c>
      <c r="Q630" s="27" t="b">
        <f aca="false">FALSE()</f>
        <v>0</v>
      </c>
      <c r="R630" s="27" t="b">
        <f aca="false">FALSE()</f>
        <v>0</v>
      </c>
      <c r="S630" s="27" t="b">
        <f aca="false">FALSE()</f>
        <v>0</v>
      </c>
    </row>
    <row r="631" customFormat="false" ht="15" hidden="false" customHeight="false" outlineLevel="0" collapsed="false">
      <c r="A631" s="25" t="n">
        <v>630</v>
      </c>
      <c r="B631" s="25" t="s">
        <v>1546</v>
      </c>
      <c r="C631" s="25" t="s">
        <v>429</v>
      </c>
      <c r="D631" s="25" t="n">
        <v>20241109</v>
      </c>
      <c r="E631" s="25" t="n">
        <v>2</v>
      </c>
      <c r="F631" s="25" t="n">
        <v>22</v>
      </c>
      <c r="G631" s="25" t="s">
        <v>113</v>
      </c>
      <c r="H631" s="25" t="s">
        <v>2275</v>
      </c>
      <c r="I631" s="25" t="s">
        <v>1738</v>
      </c>
      <c r="J631" s="25" t="s">
        <v>242</v>
      </c>
      <c r="K631" s="25" t="n">
        <v>5</v>
      </c>
      <c r="L631" s="25" t="n">
        <v>19552.29</v>
      </c>
      <c r="M631" s="25" t="n">
        <v>10</v>
      </c>
      <c r="N631" s="25" t="n">
        <v>97761.45</v>
      </c>
      <c r="O631" s="25" t="n">
        <v>9776.14</v>
      </c>
      <c r="P631" s="25" t="n">
        <v>87985.31</v>
      </c>
      <c r="Q631" s="27" t="b">
        <f aca="false">FALSE()</f>
        <v>0</v>
      </c>
      <c r="R631" s="27" t="b">
        <f aca="false">FALSE()</f>
        <v>0</v>
      </c>
      <c r="S631" s="27" t="b">
        <f aca="false">FALSE()</f>
        <v>0</v>
      </c>
    </row>
    <row r="632" customFormat="false" ht="15" hidden="false" customHeight="false" outlineLevel="0" collapsed="false">
      <c r="A632" s="25" t="n">
        <v>631</v>
      </c>
      <c r="B632" s="25" t="s">
        <v>1547</v>
      </c>
      <c r="C632" s="25" t="s">
        <v>429</v>
      </c>
      <c r="D632" s="25" t="n">
        <v>20241109</v>
      </c>
      <c r="E632" s="25" t="n">
        <v>2</v>
      </c>
      <c r="F632" s="25" t="n">
        <v>55</v>
      </c>
      <c r="G632" s="25" t="s">
        <v>113</v>
      </c>
      <c r="H632" s="25" t="s">
        <v>2275</v>
      </c>
      <c r="I632" s="25" t="s">
        <v>1738</v>
      </c>
      <c r="J632" s="25" t="s">
        <v>242</v>
      </c>
      <c r="K632" s="25" t="n">
        <v>1</v>
      </c>
      <c r="L632" s="25" t="n">
        <v>5471.28</v>
      </c>
      <c r="M632" s="25" t="n">
        <v>20</v>
      </c>
      <c r="N632" s="25" t="n">
        <v>5471.28</v>
      </c>
      <c r="O632" s="25" t="n">
        <v>1094.26</v>
      </c>
      <c r="P632" s="25" t="n">
        <v>4377.02</v>
      </c>
      <c r="Q632" s="27" t="b">
        <f aca="false">FALSE()</f>
        <v>0</v>
      </c>
      <c r="R632" s="27" t="b">
        <f aca="false">FALSE()</f>
        <v>0</v>
      </c>
      <c r="S632" s="27" t="b">
        <f aca="false">FALSE()</f>
        <v>0</v>
      </c>
    </row>
    <row r="633" customFormat="false" ht="15" hidden="false" customHeight="false" outlineLevel="0" collapsed="false">
      <c r="A633" s="25" t="n">
        <v>632</v>
      </c>
      <c r="B633" s="25" t="s">
        <v>1548</v>
      </c>
      <c r="C633" s="25" t="s">
        <v>272</v>
      </c>
      <c r="D633" s="25" t="n">
        <v>20250119</v>
      </c>
      <c r="E633" s="25" t="n">
        <v>86</v>
      </c>
      <c r="F633" s="25" t="n">
        <v>28</v>
      </c>
      <c r="G633" s="25" t="s">
        <v>114</v>
      </c>
      <c r="H633" s="25" t="s">
        <v>25</v>
      </c>
      <c r="I633" s="25" t="s">
        <v>89</v>
      </c>
      <c r="J633" s="25" t="s">
        <v>242</v>
      </c>
      <c r="K633" s="25" t="n">
        <v>4</v>
      </c>
      <c r="L633" s="25" t="n">
        <v>7218.53</v>
      </c>
      <c r="M633" s="25" t="n">
        <v>5</v>
      </c>
      <c r="N633" s="25" t="n">
        <v>28874.12</v>
      </c>
      <c r="O633" s="25" t="n">
        <v>1443.71</v>
      </c>
      <c r="P633" s="25" t="n">
        <v>27430.41</v>
      </c>
      <c r="Q633" s="27" t="b">
        <f aca="false">FALSE()</f>
        <v>0</v>
      </c>
      <c r="R633" s="27" t="b">
        <f aca="false">FALSE()</f>
        <v>0</v>
      </c>
      <c r="S633" s="27" t="b">
        <f aca="false">FALSE()</f>
        <v>0</v>
      </c>
    </row>
    <row r="634" customFormat="false" ht="15" hidden="false" customHeight="false" outlineLevel="0" collapsed="false">
      <c r="A634" s="25" t="n">
        <v>633</v>
      </c>
      <c r="B634" s="25" t="s">
        <v>1550</v>
      </c>
      <c r="C634" s="25" t="s">
        <v>491</v>
      </c>
      <c r="D634" s="25" t="n">
        <v>20250302</v>
      </c>
      <c r="E634" s="25" t="n">
        <v>76</v>
      </c>
      <c r="F634" s="25" t="n">
        <v>13</v>
      </c>
      <c r="G634" s="25" t="s">
        <v>114</v>
      </c>
      <c r="H634" s="25" t="s">
        <v>2262</v>
      </c>
      <c r="I634" s="25" t="s">
        <v>1770</v>
      </c>
      <c r="J634" s="25" t="s">
        <v>250</v>
      </c>
      <c r="K634" s="25" t="n">
        <v>2</v>
      </c>
      <c r="L634" s="25" t="n">
        <v>15622.68</v>
      </c>
      <c r="M634" s="25" t="n">
        <v>15</v>
      </c>
      <c r="N634" s="25" t="n">
        <v>31245.36</v>
      </c>
      <c r="O634" s="25" t="n">
        <v>4686.8</v>
      </c>
      <c r="P634" s="25" t="n">
        <v>26558.56</v>
      </c>
      <c r="Q634" s="27" t="b">
        <f aca="false">FALSE()</f>
        <v>0</v>
      </c>
      <c r="R634" s="27" t="b">
        <f aca="false">FALSE()</f>
        <v>0</v>
      </c>
      <c r="S634" s="27" t="b">
        <f aca="false">FALSE()</f>
        <v>0</v>
      </c>
    </row>
    <row r="635" customFormat="false" ht="15" hidden="false" customHeight="false" outlineLevel="0" collapsed="false">
      <c r="A635" s="25" t="n">
        <v>634</v>
      </c>
      <c r="B635" s="25" t="s">
        <v>1552</v>
      </c>
      <c r="C635" s="25" t="s">
        <v>491</v>
      </c>
      <c r="D635" s="25" t="n">
        <v>20250302</v>
      </c>
      <c r="E635" s="25" t="n">
        <v>76</v>
      </c>
      <c r="F635" s="25" t="n">
        <v>70</v>
      </c>
      <c r="G635" s="25" t="s">
        <v>114</v>
      </c>
      <c r="H635" s="25" t="s">
        <v>2262</v>
      </c>
      <c r="I635" s="25" t="s">
        <v>1770</v>
      </c>
      <c r="J635" s="25" t="s">
        <v>250</v>
      </c>
      <c r="K635" s="25" t="n">
        <v>5</v>
      </c>
      <c r="L635" s="25" t="n">
        <v>3962.52</v>
      </c>
      <c r="M635" s="25" t="n">
        <v>20</v>
      </c>
      <c r="N635" s="25" t="n">
        <v>19812.6</v>
      </c>
      <c r="O635" s="25" t="n">
        <v>3962.52</v>
      </c>
      <c r="P635" s="25" t="n">
        <v>15850.08</v>
      </c>
      <c r="Q635" s="27" t="b">
        <f aca="false">FALSE()</f>
        <v>0</v>
      </c>
      <c r="R635" s="27" t="b">
        <f aca="false">FALSE()</f>
        <v>0</v>
      </c>
      <c r="S635" s="27" t="b">
        <f aca="false">FALSE()</f>
        <v>0</v>
      </c>
    </row>
    <row r="636" customFormat="false" ht="15" hidden="false" customHeight="false" outlineLevel="0" collapsed="false">
      <c r="A636" s="25" t="n">
        <v>635</v>
      </c>
      <c r="B636" s="25" t="s">
        <v>1553</v>
      </c>
      <c r="C636" s="25" t="s">
        <v>491</v>
      </c>
      <c r="D636" s="25" t="n">
        <v>20250302</v>
      </c>
      <c r="E636" s="25" t="n">
        <v>76</v>
      </c>
      <c r="F636" s="25" t="n">
        <v>32</v>
      </c>
      <c r="G636" s="25" t="s">
        <v>114</v>
      </c>
      <c r="H636" s="25" t="s">
        <v>2262</v>
      </c>
      <c r="I636" s="25" t="s">
        <v>1770</v>
      </c>
      <c r="J636" s="25" t="s">
        <v>250</v>
      </c>
      <c r="K636" s="25" t="n">
        <v>2</v>
      </c>
      <c r="L636" s="25" t="n">
        <v>23243.35</v>
      </c>
      <c r="M636" s="25" t="n">
        <v>20</v>
      </c>
      <c r="N636" s="25" t="n">
        <v>46486.7</v>
      </c>
      <c r="O636" s="25" t="n">
        <v>9297.34</v>
      </c>
      <c r="P636" s="25" t="n">
        <v>37189.36</v>
      </c>
      <c r="Q636" s="27" t="b">
        <f aca="false">FALSE()</f>
        <v>0</v>
      </c>
      <c r="R636" s="27" t="b">
        <f aca="false">FALSE()</f>
        <v>0</v>
      </c>
      <c r="S636" s="27" t="b">
        <f aca="false">FALSE()</f>
        <v>0</v>
      </c>
    </row>
    <row r="637" customFormat="false" ht="15" hidden="false" customHeight="false" outlineLevel="0" collapsed="false">
      <c r="A637" s="25" t="n">
        <v>636</v>
      </c>
      <c r="B637" s="25" t="s">
        <v>1554</v>
      </c>
      <c r="C637" s="25" t="s">
        <v>418</v>
      </c>
      <c r="D637" s="25" t="n">
        <v>20250610</v>
      </c>
      <c r="E637" s="25" t="n">
        <v>92</v>
      </c>
      <c r="F637" s="25" t="n">
        <v>13</v>
      </c>
      <c r="G637" s="25" t="s">
        <v>115</v>
      </c>
      <c r="H637" s="25" t="s">
        <v>25</v>
      </c>
      <c r="I637" s="25" t="s">
        <v>1743</v>
      </c>
      <c r="J637" s="25" t="s">
        <v>250</v>
      </c>
      <c r="K637" s="25" t="n">
        <v>1</v>
      </c>
      <c r="L637" s="25" t="n">
        <v>15622.68</v>
      </c>
      <c r="M637" s="25" t="n">
        <v>0</v>
      </c>
      <c r="N637" s="25" t="n">
        <v>15622.68</v>
      </c>
      <c r="O637" s="25" t="n">
        <v>0</v>
      </c>
      <c r="P637" s="25" t="n">
        <v>15622.68</v>
      </c>
      <c r="Q637" s="27" t="b">
        <f aca="false">FALSE()</f>
        <v>0</v>
      </c>
      <c r="R637" s="27" t="b">
        <f aca="false">FALSE()</f>
        <v>0</v>
      </c>
      <c r="S637" s="27" t="b">
        <f aca="false">FALSE()</f>
        <v>0</v>
      </c>
    </row>
    <row r="638" customFormat="false" ht="15" hidden="false" customHeight="false" outlineLevel="0" collapsed="false">
      <c r="A638" s="25" t="n">
        <v>637</v>
      </c>
      <c r="B638" s="25" t="s">
        <v>1555</v>
      </c>
      <c r="C638" s="25" t="s">
        <v>530</v>
      </c>
      <c r="D638" s="25" t="n">
        <v>20250526</v>
      </c>
      <c r="E638" s="25" t="n">
        <v>61</v>
      </c>
      <c r="F638" s="25" t="n">
        <v>24</v>
      </c>
      <c r="G638" s="25" t="s">
        <v>113</v>
      </c>
      <c r="H638" s="25" t="s">
        <v>25</v>
      </c>
      <c r="I638" s="25" t="s">
        <v>89</v>
      </c>
      <c r="J638" s="25" t="s">
        <v>246</v>
      </c>
      <c r="K638" s="25" t="n">
        <v>5</v>
      </c>
      <c r="L638" s="25" t="n">
        <v>11175.62</v>
      </c>
      <c r="M638" s="25" t="n">
        <v>5</v>
      </c>
      <c r="N638" s="25" t="n">
        <v>55878.1</v>
      </c>
      <c r="O638" s="25" t="n">
        <v>2793.9</v>
      </c>
      <c r="P638" s="25" t="n">
        <v>53084.2</v>
      </c>
      <c r="Q638" s="27" t="b">
        <f aca="false">FALSE()</f>
        <v>0</v>
      </c>
      <c r="R638" s="27" t="b">
        <f aca="false">FALSE()</f>
        <v>0</v>
      </c>
      <c r="S638" s="27" t="b">
        <f aca="false">FALSE()</f>
        <v>0</v>
      </c>
    </row>
    <row r="639" customFormat="false" ht="15" hidden="false" customHeight="false" outlineLevel="0" collapsed="false">
      <c r="A639" s="25" t="n">
        <v>638</v>
      </c>
      <c r="B639" s="25" t="s">
        <v>1556</v>
      </c>
      <c r="C639" s="25" t="s">
        <v>530</v>
      </c>
      <c r="D639" s="25" t="n">
        <v>20250526</v>
      </c>
      <c r="E639" s="25" t="n">
        <v>61</v>
      </c>
      <c r="F639" s="25" t="n">
        <v>49</v>
      </c>
      <c r="G639" s="25" t="s">
        <v>113</v>
      </c>
      <c r="H639" s="25" t="s">
        <v>25</v>
      </c>
      <c r="I639" s="25" t="s">
        <v>89</v>
      </c>
      <c r="J639" s="25" t="s">
        <v>246</v>
      </c>
      <c r="K639" s="25" t="n">
        <v>2</v>
      </c>
      <c r="L639" s="25" t="n">
        <v>12393.99</v>
      </c>
      <c r="M639" s="25" t="n">
        <v>10</v>
      </c>
      <c r="N639" s="25" t="n">
        <v>24787.98</v>
      </c>
      <c r="O639" s="25" t="n">
        <v>2478.8</v>
      </c>
      <c r="P639" s="25" t="n">
        <v>22309.18</v>
      </c>
      <c r="Q639" s="27" t="b">
        <f aca="false">FALSE()</f>
        <v>0</v>
      </c>
      <c r="R639" s="27" t="b">
        <f aca="false">FALSE()</f>
        <v>0</v>
      </c>
      <c r="S639" s="27" t="b">
        <f aca="false">FALSE()</f>
        <v>0</v>
      </c>
    </row>
    <row r="640" customFormat="false" ht="15" hidden="false" customHeight="false" outlineLevel="0" collapsed="false">
      <c r="A640" s="25" t="n">
        <v>639</v>
      </c>
      <c r="B640" s="25" t="s">
        <v>1557</v>
      </c>
      <c r="C640" s="25" t="s">
        <v>364</v>
      </c>
      <c r="D640" s="25" t="n">
        <v>20240520</v>
      </c>
      <c r="E640" s="25" t="n">
        <v>108</v>
      </c>
      <c r="F640" s="25" t="n">
        <v>20</v>
      </c>
      <c r="G640" s="25" t="s">
        <v>114</v>
      </c>
      <c r="H640" s="25" t="s">
        <v>25</v>
      </c>
      <c r="I640" s="25" t="s">
        <v>1743</v>
      </c>
      <c r="J640" s="25" t="s">
        <v>250</v>
      </c>
      <c r="K640" s="25" t="n">
        <v>1</v>
      </c>
      <c r="L640" s="25" t="n">
        <v>3634.57</v>
      </c>
      <c r="M640" s="25" t="n">
        <v>0</v>
      </c>
      <c r="N640" s="25" t="n">
        <v>3634.57</v>
      </c>
      <c r="O640" s="25" t="n">
        <v>0</v>
      </c>
      <c r="P640" s="25" t="n">
        <v>3634.57</v>
      </c>
      <c r="Q640" s="27" t="b">
        <f aca="false">FALSE()</f>
        <v>0</v>
      </c>
      <c r="R640" s="27" t="b">
        <f aca="false">FALSE()</f>
        <v>0</v>
      </c>
      <c r="S640" s="27" t="b">
        <f aca="false">FALSE()</f>
        <v>0</v>
      </c>
    </row>
    <row r="641" customFormat="false" ht="15" hidden="false" customHeight="false" outlineLevel="0" collapsed="false">
      <c r="A641" s="25" t="n">
        <v>640</v>
      </c>
      <c r="B641" s="25" t="s">
        <v>1559</v>
      </c>
      <c r="C641" s="25" t="s">
        <v>364</v>
      </c>
      <c r="D641" s="25" t="n">
        <v>20240520</v>
      </c>
      <c r="E641" s="25" t="n">
        <v>108</v>
      </c>
      <c r="F641" s="25" t="n">
        <v>64</v>
      </c>
      <c r="G641" s="25" t="s">
        <v>114</v>
      </c>
      <c r="H641" s="25" t="s">
        <v>25</v>
      </c>
      <c r="I641" s="25" t="s">
        <v>1743</v>
      </c>
      <c r="J641" s="25" t="s">
        <v>250</v>
      </c>
      <c r="K641" s="25" t="n">
        <v>3</v>
      </c>
      <c r="L641" s="25" t="n">
        <v>11089.19</v>
      </c>
      <c r="M641" s="25" t="n">
        <v>10</v>
      </c>
      <c r="N641" s="25" t="n">
        <v>33267.57</v>
      </c>
      <c r="O641" s="25" t="n">
        <v>3326.76</v>
      </c>
      <c r="P641" s="25" t="n">
        <v>29940.81</v>
      </c>
      <c r="Q641" s="27" t="b">
        <f aca="false">FALSE()</f>
        <v>0</v>
      </c>
      <c r="R641" s="27" t="b">
        <f aca="false">FALSE()</f>
        <v>0</v>
      </c>
      <c r="S641" s="27" t="b">
        <f aca="false">FALSE()</f>
        <v>0</v>
      </c>
    </row>
    <row r="642" customFormat="false" ht="15" hidden="false" customHeight="false" outlineLevel="0" collapsed="false">
      <c r="A642" s="25" t="n">
        <v>641</v>
      </c>
      <c r="B642" s="25" t="s">
        <v>1560</v>
      </c>
      <c r="C642" s="25" t="s">
        <v>364</v>
      </c>
      <c r="D642" s="25" t="n">
        <v>20240520</v>
      </c>
      <c r="E642" s="25" t="n">
        <v>108</v>
      </c>
      <c r="F642" s="25" t="n">
        <v>40</v>
      </c>
      <c r="G642" s="25" t="s">
        <v>114</v>
      </c>
      <c r="H642" s="25" t="s">
        <v>25</v>
      </c>
      <c r="I642" s="25" t="s">
        <v>1743</v>
      </c>
      <c r="J642" s="25" t="s">
        <v>250</v>
      </c>
      <c r="K642" s="25" t="n">
        <v>1</v>
      </c>
      <c r="L642" s="25" t="n">
        <v>1116.12</v>
      </c>
      <c r="M642" s="25" t="n">
        <v>10</v>
      </c>
      <c r="N642" s="25" t="n">
        <v>1116.12</v>
      </c>
      <c r="O642" s="25" t="n">
        <v>111.61</v>
      </c>
      <c r="P642" s="25" t="n">
        <v>1004.51</v>
      </c>
      <c r="Q642" s="27" t="b">
        <f aca="false">FALSE()</f>
        <v>0</v>
      </c>
      <c r="R642" s="27" t="b">
        <f aca="false">FALSE()</f>
        <v>0</v>
      </c>
      <c r="S642" s="27" t="b">
        <f aca="false">FALSE()</f>
        <v>0</v>
      </c>
    </row>
    <row r="643" customFormat="false" ht="15" hidden="false" customHeight="false" outlineLevel="0" collapsed="false">
      <c r="A643" s="25" t="n">
        <v>642</v>
      </c>
      <c r="B643" s="25" t="s">
        <v>1561</v>
      </c>
      <c r="C643" s="25" t="s">
        <v>548</v>
      </c>
      <c r="D643" s="25" t="n">
        <v>20241223</v>
      </c>
      <c r="E643" s="25" t="n">
        <v>76</v>
      </c>
      <c r="F643" s="25" t="n">
        <v>2</v>
      </c>
      <c r="G643" s="25" t="s">
        <v>115</v>
      </c>
      <c r="H643" s="25" t="s">
        <v>2278</v>
      </c>
      <c r="I643" s="25" t="s">
        <v>79</v>
      </c>
      <c r="J643" s="25" t="s">
        <v>242</v>
      </c>
      <c r="K643" s="25" t="n">
        <v>4</v>
      </c>
      <c r="L643" s="25" t="n">
        <v>9953.59</v>
      </c>
      <c r="M643" s="25" t="n">
        <v>0</v>
      </c>
      <c r="N643" s="25" t="n">
        <v>39814.36</v>
      </c>
      <c r="O643" s="25" t="n">
        <v>0</v>
      </c>
      <c r="P643" s="25" t="n">
        <v>39814.36</v>
      </c>
      <c r="Q643" s="27" t="b">
        <f aca="false">FALSE()</f>
        <v>0</v>
      </c>
      <c r="R643" s="27" t="b">
        <f aca="false">FALSE()</f>
        <v>0</v>
      </c>
      <c r="S643" s="27" t="b">
        <f aca="false">FALSE()</f>
        <v>0</v>
      </c>
    </row>
    <row r="644" customFormat="false" ht="15" hidden="false" customHeight="false" outlineLevel="0" collapsed="false">
      <c r="A644" s="25" t="n">
        <v>643</v>
      </c>
      <c r="B644" s="25" t="s">
        <v>1562</v>
      </c>
      <c r="C644" s="25" t="s">
        <v>548</v>
      </c>
      <c r="D644" s="25" t="n">
        <v>20241223</v>
      </c>
      <c r="E644" s="25" t="n">
        <v>76</v>
      </c>
      <c r="F644" s="25" t="n">
        <v>42</v>
      </c>
      <c r="G644" s="25" t="s">
        <v>115</v>
      </c>
      <c r="H644" s="25" t="s">
        <v>2278</v>
      </c>
      <c r="I644" s="25" t="s">
        <v>79</v>
      </c>
      <c r="J644" s="25" t="s">
        <v>242</v>
      </c>
      <c r="K644" s="25" t="n">
        <v>2</v>
      </c>
      <c r="L644" s="25" t="n">
        <v>11284.39</v>
      </c>
      <c r="M644" s="25" t="n">
        <v>5</v>
      </c>
      <c r="N644" s="25" t="n">
        <v>22568.78</v>
      </c>
      <c r="O644" s="25" t="n">
        <v>1128.44</v>
      </c>
      <c r="P644" s="25" t="n">
        <v>21440.34</v>
      </c>
      <c r="Q644" s="27" t="b">
        <f aca="false">TRUE()</f>
        <v>1</v>
      </c>
      <c r="R644" s="27" t="b">
        <f aca="false">FALSE()</f>
        <v>0</v>
      </c>
      <c r="S644" s="27" t="b">
        <f aca="false">FALSE()</f>
        <v>0</v>
      </c>
    </row>
    <row r="645" customFormat="false" ht="15" hidden="false" customHeight="false" outlineLevel="0" collapsed="false">
      <c r="A645" s="25" t="n">
        <v>644</v>
      </c>
      <c r="B645" s="25" t="s">
        <v>1563</v>
      </c>
      <c r="C645" s="25" t="s">
        <v>323</v>
      </c>
      <c r="D645" s="25" t="n">
        <v>20240513</v>
      </c>
      <c r="E645" s="25" t="n">
        <v>154</v>
      </c>
      <c r="F645" s="25" t="n">
        <v>4</v>
      </c>
      <c r="G645" s="25" t="s">
        <v>113</v>
      </c>
      <c r="H645" s="25" t="s">
        <v>25</v>
      </c>
      <c r="I645" s="25" t="s">
        <v>1738</v>
      </c>
      <c r="J645" s="25" t="s">
        <v>242</v>
      </c>
      <c r="K645" s="25" t="n">
        <v>3</v>
      </c>
      <c r="L645" s="25" t="n">
        <v>21122.18</v>
      </c>
      <c r="M645" s="25" t="n">
        <v>0</v>
      </c>
      <c r="N645" s="25" t="n">
        <v>63366.54</v>
      </c>
      <c r="O645" s="25" t="n">
        <v>0</v>
      </c>
      <c r="P645" s="25" t="n">
        <v>63366.54</v>
      </c>
      <c r="Q645" s="27" t="b">
        <f aca="false">FALSE()</f>
        <v>0</v>
      </c>
      <c r="R645" s="27" t="b">
        <f aca="false">FALSE()</f>
        <v>0</v>
      </c>
      <c r="S645" s="27" t="b">
        <f aca="false">FALSE()</f>
        <v>0</v>
      </c>
    </row>
    <row r="646" customFormat="false" ht="15" hidden="false" customHeight="false" outlineLevel="0" collapsed="false">
      <c r="A646" s="25" t="n">
        <v>645</v>
      </c>
      <c r="B646" s="25" t="s">
        <v>1564</v>
      </c>
      <c r="C646" s="25" t="s">
        <v>323</v>
      </c>
      <c r="D646" s="25" t="n">
        <v>20240513</v>
      </c>
      <c r="E646" s="25" t="n">
        <v>154</v>
      </c>
      <c r="F646" s="25" t="n">
        <v>12</v>
      </c>
      <c r="G646" s="25" t="s">
        <v>113</v>
      </c>
      <c r="H646" s="25" t="s">
        <v>25</v>
      </c>
      <c r="I646" s="25" t="s">
        <v>1738</v>
      </c>
      <c r="J646" s="25" t="s">
        <v>242</v>
      </c>
      <c r="K646" s="25" t="n">
        <v>5</v>
      </c>
      <c r="L646" s="25" t="n">
        <v>11434.02</v>
      </c>
      <c r="M646" s="25" t="n">
        <v>0</v>
      </c>
      <c r="N646" s="25" t="n">
        <v>57170.1</v>
      </c>
      <c r="O646" s="25" t="n">
        <v>0</v>
      </c>
      <c r="P646" s="25" t="n">
        <v>57170.1</v>
      </c>
      <c r="Q646" s="27" t="b">
        <f aca="false">FALSE()</f>
        <v>0</v>
      </c>
      <c r="R646" s="27" t="b">
        <f aca="false">FALSE()</f>
        <v>0</v>
      </c>
      <c r="S646" s="27" t="b">
        <f aca="false">FALSE()</f>
        <v>0</v>
      </c>
    </row>
    <row r="647" customFormat="false" ht="15" hidden="false" customHeight="false" outlineLevel="0" collapsed="false">
      <c r="A647" s="25" t="n">
        <v>646</v>
      </c>
      <c r="B647" s="25" t="s">
        <v>1565</v>
      </c>
      <c r="C647" s="25" t="s">
        <v>456</v>
      </c>
      <c r="D647" s="25" t="n">
        <v>20250318</v>
      </c>
      <c r="E647" s="25" t="n">
        <v>10</v>
      </c>
      <c r="F647" s="25" t="n">
        <v>46</v>
      </c>
      <c r="G647" s="25" t="s">
        <v>115</v>
      </c>
      <c r="H647" s="25" t="s">
        <v>2261</v>
      </c>
      <c r="I647" s="25" t="s">
        <v>83</v>
      </c>
      <c r="J647" s="25" t="s">
        <v>242</v>
      </c>
      <c r="K647" s="25" t="n">
        <v>4</v>
      </c>
      <c r="L647" s="25" t="n">
        <v>15383.27</v>
      </c>
      <c r="M647" s="25" t="n">
        <v>0</v>
      </c>
      <c r="N647" s="25" t="n">
        <v>61533.08</v>
      </c>
      <c r="O647" s="25" t="n">
        <v>0</v>
      </c>
      <c r="P647" s="25" t="n">
        <v>61533.08</v>
      </c>
      <c r="Q647" s="27" t="b">
        <f aca="false">FALSE()</f>
        <v>0</v>
      </c>
      <c r="R647" s="27" t="b">
        <f aca="false">FALSE()</f>
        <v>0</v>
      </c>
      <c r="S647" s="27" t="b">
        <f aca="false">FALSE()</f>
        <v>0</v>
      </c>
    </row>
    <row r="648" customFormat="false" ht="15" hidden="false" customHeight="false" outlineLevel="0" collapsed="false">
      <c r="A648" s="25" t="n">
        <v>647</v>
      </c>
      <c r="B648" s="25" t="s">
        <v>1566</v>
      </c>
      <c r="C648" s="25" t="s">
        <v>456</v>
      </c>
      <c r="D648" s="25" t="n">
        <v>20250318</v>
      </c>
      <c r="E648" s="25" t="n">
        <v>10</v>
      </c>
      <c r="F648" s="25" t="n">
        <v>18</v>
      </c>
      <c r="G648" s="25" t="s">
        <v>115</v>
      </c>
      <c r="H648" s="25" t="s">
        <v>2261</v>
      </c>
      <c r="I648" s="25" t="s">
        <v>83</v>
      </c>
      <c r="J648" s="25" t="s">
        <v>242</v>
      </c>
      <c r="K648" s="25" t="n">
        <v>1</v>
      </c>
      <c r="L648" s="25" t="n">
        <v>17477.91</v>
      </c>
      <c r="M648" s="25" t="n">
        <v>20</v>
      </c>
      <c r="N648" s="25" t="n">
        <v>17477.91</v>
      </c>
      <c r="O648" s="25" t="n">
        <v>3495.58</v>
      </c>
      <c r="P648" s="25" t="n">
        <v>13982.33</v>
      </c>
      <c r="Q648" s="27" t="b">
        <f aca="false">FALSE()</f>
        <v>0</v>
      </c>
      <c r="R648" s="27" t="b">
        <f aca="false">FALSE()</f>
        <v>0</v>
      </c>
      <c r="S648" s="27" t="b">
        <f aca="false">FALSE()</f>
        <v>0</v>
      </c>
    </row>
    <row r="649" customFormat="false" ht="15" hidden="false" customHeight="false" outlineLevel="0" collapsed="false">
      <c r="A649" s="25" t="n">
        <v>648</v>
      </c>
      <c r="B649" s="25" t="s">
        <v>1567</v>
      </c>
      <c r="C649" s="25" t="s">
        <v>260</v>
      </c>
      <c r="D649" s="25" t="n">
        <v>20240907</v>
      </c>
      <c r="E649" s="25" t="n">
        <v>118</v>
      </c>
      <c r="F649" s="25" t="n">
        <v>14</v>
      </c>
      <c r="G649" s="25" t="s">
        <v>115</v>
      </c>
      <c r="H649" s="25" t="s">
        <v>25</v>
      </c>
      <c r="I649" s="25" t="s">
        <v>1770</v>
      </c>
      <c r="J649" s="25" t="s">
        <v>242</v>
      </c>
      <c r="K649" s="25" t="n">
        <v>2</v>
      </c>
      <c r="L649" s="25" t="n">
        <v>13809.86</v>
      </c>
      <c r="M649" s="25" t="n">
        <v>0</v>
      </c>
      <c r="N649" s="25" t="n">
        <v>27619.72</v>
      </c>
      <c r="O649" s="25" t="n">
        <v>0</v>
      </c>
      <c r="P649" s="25" t="n">
        <v>27619.72</v>
      </c>
      <c r="Q649" s="27" t="b">
        <f aca="false">FALSE()</f>
        <v>0</v>
      </c>
      <c r="R649" s="27" t="b">
        <f aca="false">FALSE()</f>
        <v>0</v>
      </c>
      <c r="S649" s="27" t="b">
        <f aca="false">FALSE()</f>
        <v>0</v>
      </c>
    </row>
    <row r="650" customFormat="false" ht="15" hidden="false" customHeight="false" outlineLevel="0" collapsed="false">
      <c r="A650" s="25" t="n">
        <v>649</v>
      </c>
      <c r="B650" s="25" t="s">
        <v>1568</v>
      </c>
      <c r="C650" s="25" t="s">
        <v>260</v>
      </c>
      <c r="D650" s="25" t="n">
        <v>20240907</v>
      </c>
      <c r="E650" s="25" t="n">
        <v>118</v>
      </c>
      <c r="F650" s="25" t="n">
        <v>39</v>
      </c>
      <c r="G650" s="25" t="s">
        <v>115</v>
      </c>
      <c r="H650" s="25" t="s">
        <v>25</v>
      </c>
      <c r="I650" s="25" t="s">
        <v>1770</v>
      </c>
      <c r="J650" s="25" t="s">
        <v>242</v>
      </c>
      <c r="K650" s="25" t="n">
        <v>5</v>
      </c>
      <c r="L650" s="25" t="n">
        <v>5818.64</v>
      </c>
      <c r="M650" s="25" t="n">
        <v>0</v>
      </c>
      <c r="N650" s="25" t="n">
        <v>29093.2</v>
      </c>
      <c r="O650" s="25" t="n">
        <v>0</v>
      </c>
      <c r="P650" s="25" t="n">
        <v>29093.2</v>
      </c>
      <c r="Q650" s="27" t="b">
        <f aca="false">FALSE()</f>
        <v>0</v>
      </c>
      <c r="R650" s="27" t="b">
        <f aca="false">FALSE()</f>
        <v>0</v>
      </c>
      <c r="S650" s="27" t="b">
        <f aca="false">FALSE()</f>
        <v>0</v>
      </c>
    </row>
    <row r="651" customFormat="false" ht="15" hidden="false" customHeight="false" outlineLevel="0" collapsed="false">
      <c r="A651" s="25" t="n">
        <v>650</v>
      </c>
      <c r="B651" s="25" t="s">
        <v>1569</v>
      </c>
      <c r="C651" s="25" t="s">
        <v>260</v>
      </c>
      <c r="D651" s="25" t="n">
        <v>20240907</v>
      </c>
      <c r="E651" s="25" t="n">
        <v>118</v>
      </c>
      <c r="F651" s="25" t="n">
        <v>4</v>
      </c>
      <c r="G651" s="25" t="s">
        <v>115</v>
      </c>
      <c r="H651" s="25" t="s">
        <v>25</v>
      </c>
      <c r="I651" s="25" t="s">
        <v>1770</v>
      </c>
      <c r="J651" s="25" t="s">
        <v>242</v>
      </c>
      <c r="K651" s="25" t="n">
        <v>5</v>
      </c>
      <c r="L651" s="25" t="n">
        <v>21122.18</v>
      </c>
      <c r="M651" s="25" t="n">
        <v>20</v>
      </c>
      <c r="N651" s="25" t="n">
        <v>105610.9</v>
      </c>
      <c r="O651" s="25" t="n">
        <v>21122.18</v>
      </c>
      <c r="P651" s="25" t="n">
        <v>84488.72</v>
      </c>
      <c r="Q651" s="27" t="b">
        <f aca="false">FALSE()</f>
        <v>0</v>
      </c>
      <c r="R651" s="27" t="b">
        <f aca="false">FALSE()</f>
        <v>0</v>
      </c>
      <c r="S651" s="27" t="b">
        <f aca="false">FALSE()</f>
        <v>0</v>
      </c>
    </row>
    <row r="652" customFormat="false" ht="15" hidden="false" customHeight="false" outlineLevel="0" collapsed="false">
      <c r="A652" s="25" t="n">
        <v>651</v>
      </c>
      <c r="B652" s="25" t="s">
        <v>1570</v>
      </c>
      <c r="C652" s="25" t="s">
        <v>465</v>
      </c>
      <c r="D652" s="25" t="n">
        <v>20240118</v>
      </c>
      <c r="E652" s="25" t="n">
        <v>71</v>
      </c>
      <c r="F652" s="25" t="n">
        <v>41</v>
      </c>
      <c r="G652" s="25" t="s">
        <v>113</v>
      </c>
      <c r="H652" s="25" t="s">
        <v>25</v>
      </c>
      <c r="I652" s="25" t="s">
        <v>83</v>
      </c>
      <c r="J652" s="25" t="s">
        <v>242</v>
      </c>
      <c r="K652" s="25" t="n">
        <v>4</v>
      </c>
      <c r="L652" s="25" t="n">
        <v>11992.92</v>
      </c>
      <c r="M652" s="25" t="n">
        <v>0</v>
      </c>
      <c r="N652" s="25" t="n">
        <v>47971.68</v>
      </c>
      <c r="O652" s="25" t="n">
        <v>0</v>
      </c>
      <c r="P652" s="25" t="n">
        <v>47971.68</v>
      </c>
      <c r="Q652" s="27" t="b">
        <f aca="false">FALSE()</f>
        <v>0</v>
      </c>
      <c r="R652" s="27" t="b">
        <f aca="false">FALSE()</f>
        <v>0</v>
      </c>
      <c r="S652" s="27" t="b">
        <f aca="false">FALSE()</f>
        <v>0</v>
      </c>
    </row>
    <row r="653" customFormat="false" ht="15" hidden="false" customHeight="false" outlineLevel="0" collapsed="false">
      <c r="A653" s="25" t="n">
        <v>652</v>
      </c>
      <c r="B653" s="25" t="s">
        <v>1571</v>
      </c>
      <c r="C653" s="25" t="s">
        <v>493</v>
      </c>
      <c r="D653" s="25" t="n">
        <v>20201029</v>
      </c>
      <c r="E653" s="25" t="n">
        <v>37</v>
      </c>
      <c r="F653" s="25" t="n">
        <v>58</v>
      </c>
      <c r="G653" s="25" t="s">
        <v>114</v>
      </c>
      <c r="H653" s="25" t="s">
        <v>2268</v>
      </c>
      <c r="I653" s="25" t="s">
        <v>1738</v>
      </c>
      <c r="J653" s="25" t="s">
        <v>269</v>
      </c>
      <c r="K653" s="25" t="n">
        <v>2</v>
      </c>
      <c r="L653" s="25" t="n">
        <v>22572.25</v>
      </c>
      <c r="M653" s="25" t="n">
        <v>0</v>
      </c>
      <c r="N653" s="25" t="n">
        <v>45144.5</v>
      </c>
      <c r="O653" s="25" t="n">
        <v>0</v>
      </c>
      <c r="P653" s="25" t="n">
        <v>45144.5</v>
      </c>
      <c r="Q653" s="27" t="b">
        <f aca="false">FALSE()</f>
        <v>0</v>
      </c>
      <c r="R653" s="27" t="b">
        <f aca="false">FALSE()</f>
        <v>0</v>
      </c>
      <c r="S653" s="27" t="b">
        <f aca="false">FALSE()</f>
        <v>0</v>
      </c>
    </row>
    <row r="654" customFormat="false" ht="15" hidden="false" customHeight="false" outlineLevel="0" collapsed="false">
      <c r="A654" s="25" t="n">
        <v>653</v>
      </c>
      <c r="B654" s="25" t="s">
        <v>1572</v>
      </c>
      <c r="C654" s="25" t="s">
        <v>527</v>
      </c>
      <c r="D654" s="25" t="n">
        <v>20240624</v>
      </c>
      <c r="E654" s="25" t="n">
        <v>102</v>
      </c>
      <c r="F654" s="25" t="n">
        <v>48</v>
      </c>
      <c r="G654" s="25" t="s">
        <v>113</v>
      </c>
      <c r="H654" s="25" t="s">
        <v>25</v>
      </c>
      <c r="I654" s="25" t="s">
        <v>89</v>
      </c>
      <c r="J654" s="25" t="s">
        <v>242</v>
      </c>
      <c r="K654" s="25" t="n">
        <v>1</v>
      </c>
      <c r="L654" s="25" t="n">
        <v>25643.17</v>
      </c>
      <c r="M654" s="25" t="n">
        <v>10</v>
      </c>
      <c r="N654" s="25" t="n">
        <v>25643.17</v>
      </c>
      <c r="O654" s="25" t="n">
        <v>2564.32</v>
      </c>
      <c r="P654" s="25" t="n">
        <v>23078.85</v>
      </c>
      <c r="Q654" s="27" t="b">
        <f aca="false">FALSE()</f>
        <v>0</v>
      </c>
      <c r="R654" s="27" t="b">
        <f aca="false">FALSE()</f>
        <v>0</v>
      </c>
      <c r="S654" s="27" t="b">
        <f aca="false">FALSE()</f>
        <v>0</v>
      </c>
    </row>
    <row r="655" customFormat="false" ht="15" hidden="false" customHeight="false" outlineLevel="0" collapsed="false">
      <c r="A655" s="25" t="n">
        <v>654</v>
      </c>
      <c r="B655" s="25" t="s">
        <v>1573</v>
      </c>
      <c r="C655" s="25" t="s">
        <v>527</v>
      </c>
      <c r="D655" s="25" t="n">
        <v>20240624</v>
      </c>
      <c r="E655" s="25" t="n">
        <v>102</v>
      </c>
      <c r="F655" s="25" t="n">
        <v>6</v>
      </c>
      <c r="G655" s="25" t="s">
        <v>113</v>
      </c>
      <c r="H655" s="25" t="s">
        <v>25</v>
      </c>
      <c r="I655" s="25" t="s">
        <v>89</v>
      </c>
      <c r="J655" s="25" t="s">
        <v>242</v>
      </c>
      <c r="K655" s="25" t="n">
        <v>3</v>
      </c>
      <c r="L655" s="25" t="n">
        <v>2863.09</v>
      </c>
      <c r="M655" s="25" t="n">
        <v>0</v>
      </c>
      <c r="N655" s="25" t="n">
        <v>8589.27</v>
      </c>
      <c r="O655" s="25" t="n">
        <v>0</v>
      </c>
      <c r="P655" s="25" t="n">
        <v>8589.27</v>
      </c>
      <c r="Q655" s="27" t="b">
        <f aca="false">FALSE()</f>
        <v>0</v>
      </c>
      <c r="R655" s="27" t="b">
        <f aca="false">FALSE()</f>
        <v>0</v>
      </c>
      <c r="S655" s="27" t="b">
        <f aca="false">FALSE()</f>
        <v>0</v>
      </c>
    </row>
    <row r="656" customFormat="false" ht="15" hidden="false" customHeight="false" outlineLevel="0" collapsed="false">
      <c r="A656" s="25" t="n">
        <v>655</v>
      </c>
      <c r="B656" s="25" t="s">
        <v>1574</v>
      </c>
      <c r="C656" s="25" t="s">
        <v>527</v>
      </c>
      <c r="D656" s="25" t="n">
        <v>20240624</v>
      </c>
      <c r="E656" s="25" t="n">
        <v>102</v>
      </c>
      <c r="F656" s="25" t="n">
        <v>49</v>
      </c>
      <c r="G656" s="25" t="s">
        <v>113</v>
      </c>
      <c r="H656" s="25" t="s">
        <v>25</v>
      </c>
      <c r="I656" s="25" t="s">
        <v>89</v>
      </c>
      <c r="J656" s="25" t="s">
        <v>242</v>
      </c>
      <c r="K656" s="25" t="n">
        <v>1</v>
      </c>
      <c r="L656" s="25" t="n">
        <v>12393.99</v>
      </c>
      <c r="M656" s="25" t="n">
        <v>20</v>
      </c>
      <c r="N656" s="25" t="n">
        <v>12393.99</v>
      </c>
      <c r="O656" s="25" t="n">
        <v>2478.8</v>
      </c>
      <c r="P656" s="25" t="n">
        <v>9915.19</v>
      </c>
      <c r="Q656" s="27" t="b">
        <f aca="false">FALSE()</f>
        <v>0</v>
      </c>
      <c r="R656" s="27" t="b">
        <f aca="false">FALSE()</f>
        <v>0</v>
      </c>
      <c r="S656" s="27" t="b">
        <f aca="false">FALSE()</f>
        <v>0</v>
      </c>
    </row>
    <row r="657" customFormat="false" ht="15" hidden="false" customHeight="false" outlineLevel="0" collapsed="false">
      <c r="A657" s="25" t="n">
        <v>656</v>
      </c>
      <c r="B657" s="25" t="s">
        <v>1575</v>
      </c>
      <c r="C657" s="25" t="s">
        <v>351</v>
      </c>
      <c r="D657" s="25" t="n">
        <v>20240206</v>
      </c>
      <c r="E657" s="25" t="n">
        <v>81</v>
      </c>
      <c r="F657" s="25" t="n">
        <v>12</v>
      </c>
      <c r="G657" s="25" t="s">
        <v>115</v>
      </c>
      <c r="H657" s="25" t="s">
        <v>2270</v>
      </c>
      <c r="I657" s="25" t="s">
        <v>1770</v>
      </c>
      <c r="J657" s="25" t="s">
        <v>242</v>
      </c>
      <c r="K657" s="25" t="n">
        <v>5</v>
      </c>
      <c r="L657" s="25" t="n">
        <v>11434.02</v>
      </c>
      <c r="M657" s="25" t="n">
        <v>0</v>
      </c>
      <c r="N657" s="25" t="n">
        <v>57170.1</v>
      </c>
      <c r="O657" s="25" t="n">
        <v>0</v>
      </c>
      <c r="P657" s="25" t="n">
        <v>57170.1</v>
      </c>
      <c r="Q657" s="27" t="b">
        <f aca="false">FALSE()</f>
        <v>0</v>
      </c>
      <c r="R657" s="27" t="b">
        <f aca="false">FALSE()</f>
        <v>0</v>
      </c>
      <c r="S657" s="27" t="b">
        <f aca="false">FALSE()</f>
        <v>0</v>
      </c>
    </row>
    <row r="658" customFormat="false" ht="15" hidden="false" customHeight="false" outlineLevel="0" collapsed="false">
      <c r="A658" s="25" t="n">
        <v>657</v>
      </c>
      <c r="B658" s="25" t="s">
        <v>1577</v>
      </c>
      <c r="C658" s="25" t="s">
        <v>351</v>
      </c>
      <c r="D658" s="25" t="n">
        <v>20240206</v>
      </c>
      <c r="E658" s="25" t="n">
        <v>81</v>
      </c>
      <c r="F658" s="25" t="n">
        <v>57</v>
      </c>
      <c r="G658" s="25" t="s">
        <v>115</v>
      </c>
      <c r="H658" s="25" t="s">
        <v>2270</v>
      </c>
      <c r="I658" s="25" t="s">
        <v>1770</v>
      </c>
      <c r="J658" s="25" t="s">
        <v>242</v>
      </c>
      <c r="K658" s="25" t="n">
        <v>2</v>
      </c>
      <c r="L658" s="25" t="n">
        <v>11518.86</v>
      </c>
      <c r="M658" s="25" t="n">
        <v>15</v>
      </c>
      <c r="N658" s="25" t="n">
        <v>23037.72</v>
      </c>
      <c r="O658" s="25" t="n">
        <v>3455.66</v>
      </c>
      <c r="P658" s="25" t="n">
        <v>19582.06</v>
      </c>
      <c r="Q658" s="27" t="b">
        <f aca="false">FALSE()</f>
        <v>0</v>
      </c>
      <c r="R658" s="27" t="b">
        <f aca="false">FALSE()</f>
        <v>0</v>
      </c>
      <c r="S658" s="27" t="b">
        <f aca="false">FALSE()</f>
        <v>0</v>
      </c>
    </row>
    <row r="659" customFormat="false" ht="15" hidden="false" customHeight="false" outlineLevel="0" collapsed="false">
      <c r="A659" s="25" t="n">
        <v>658</v>
      </c>
      <c r="B659" s="25" t="s">
        <v>1578</v>
      </c>
      <c r="C659" s="25" t="s">
        <v>438</v>
      </c>
      <c r="D659" s="25" t="n">
        <v>20250721</v>
      </c>
      <c r="E659" s="25" t="n">
        <v>120</v>
      </c>
      <c r="F659" s="25" t="n">
        <v>67</v>
      </c>
      <c r="G659" s="25" t="s">
        <v>115</v>
      </c>
      <c r="H659" s="25" t="s">
        <v>2259</v>
      </c>
      <c r="I659" s="25" t="s">
        <v>94</v>
      </c>
      <c r="J659" s="25" t="s">
        <v>250</v>
      </c>
      <c r="K659" s="25" t="n">
        <v>4</v>
      </c>
      <c r="L659" s="25" t="n">
        <v>14595.44</v>
      </c>
      <c r="M659" s="25" t="n">
        <v>0</v>
      </c>
      <c r="N659" s="25" t="n">
        <v>58381.76</v>
      </c>
      <c r="O659" s="25" t="n">
        <v>0</v>
      </c>
      <c r="P659" s="25" t="n">
        <v>58381.76</v>
      </c>
      <c r="Q659" s="27" t="b">
        <f aca="false">FALSE()</f>
        <v>0</v>
      </c>
      <c r="R659" s="27" t="b">
        <f aca="false">FALSE()</f>
        <v>0</v>
      </c>
      <c r="S659" s="27" t="b">
        <f aca="false">FALSE()</f>
        <v>0</v>
      </c>
    </row>
    <row r="660" customFormat="false" ht="15" hidden="false" customHeight="false" outlineLevel="0" collapsed="false">
      <c r="A660" s="25" t="n">
        <v>659</v>
      </c>
      <c r="B660" s="25" t="s">
        <v>1579</v>
      </c>
      <c r="C660" s="25" t="s">
        <v>438</v>
      </c>
      <c r="D660" s="25" t="n">
        <v>20250721</v>
      </c>
      <c r="E660" s="25" t="n">
        <v>120</v>
      </c>
      <c r="F660" s="25" t="n">
        <v>60</v>
      </c>
      <c r="G660" s="25" t="s">
        <v>115</v>
      </c>
      <c r="H660" s="25" t="s">
        <v>2259</v>
      </c>
      <c r="I660" s="25" t="s">
        <v>94</v>
      </c>
      <c r="J660" s="25" t="s">
        <v>250</v>
      </c>
      <c r="K660" s="25" t="n">
        <v>3</v>
      </c>
      <c r="L660" s="25" t="n">
        <v>11569.57</v>
      </c>
      <c r="M660" s="25" t="n">
        <v>5</v>
      </c>
      <c r="N660" s="25" t="n">
        <v>34708.71</v>
      </c>
      <c r="O660" s="25" t="n">
        <v>1735.44</v>
      </c>
      <c r="P660" s="25" t="n">
        <v>32973.27</v>
      </c>
      <c r="Q660" s="27" t="b">
        <f aca="false">FALSE()</f>
        <v>0</v>
      </c>
      <c r="R660" s="27" t="b">
        <f aca="false">FALSE()</f>
        <v>0</v>
      </c>
      <c r="S660" s="27" t="b">
        <f aca="false">FALSE()</f>
        <v>0</v>
      </c>
    </row>
    <row r="661" customFormat="false" ht="15" hidden="false" customHeight="false" outlineLevel="0" collapsed="false">
      <c r="A661" s="25" t="n">
        <v>660</v>
      </c>
      <c r="B661" s="25" t="s">
        <v>1580</v>
      </c>
      <c r="C661" s="25" t="s">
        <v>406</v>
      </c>
      <c r="D661" s="25" t="n">
        <v>20250628</v>
      </c>
      <c r="E661" s="25" t="n">
        <v>30</v>
      </c>
      <c r="F661" s="25" t="n">
        <v>42</v>
      </c>
      <c r="G661" s="25" t="s">
        <v>114</v>
      </c>
      <c r="H661" s="25" t="s">
        <v>25</v>
      </c>
      <c r="I661" s="25" t="s">
        <v>94</v>
      </c>
      <c r="J661" s="25" t="s">
        <v>242</v>
      </c>
      <c r="K661" s="25" t="n">
        <v>3</v>
      </c>
      <c r="L661" s="25" t="n">
        <v>11284.39</v>
      </c>
      <c r="M661" s="25" t="n">
        <v>0</v>
      </c>
      <c r="N661" s="25" t="n">
        <v>33853.17</v>
      </c>
      <c r="O661" s="25" t="n">
        <v>0</v>
      </c>
      <c r="P661" s="25" t="n">
        <v>33853.17</v>
      </c>
      <c r="Q661" s="27" t="b">
        <f aca="false">FALSE()</f>
        <v>0</v>
      </c>
      <c r="R661" s="27" t="b">
        <f aca="false">FALSE()</f>
        <v>0</v>
      </c>
      <c r="S661" s="27" t="b">
        <f aca="false">FALSE()</f>
        <v>0</v>
      </c>
    </row>
    <row r="662" customFormat="false" ht="15" hidden="false" customHeight="false" outlineLevel="0" collapsed="false">
      <c r="A662" s="25" t="n">
        <v>661</v>
      </c>
      <c r="B662" s="25" t="s">
        <v>1582</v>
      </c>
      <c r="C662" s="25" t="s">
        <v>406</v>
      </c>
      <c r="D662" s="25" t="n">
        <v>20250628</v>
      </c>
      <c r="E662" s="25" t="n">
        <v>30</v>
      </c>
      <c r="F662" s="25" t="n">
        <v>41</v>
      </c>
      <c r="G662" s="25" t="s">
        <v>114</v>
      </c>
      <c r="H662" s="25" t="s">
        <v>25</v>
      </c>
      <c r="I662" s="25" t="s">
        <v>94</v>
      </c>
      <c r="J662" s="25" t="s">
        <v>242</v>
      </c>
      <c r="K662" s="25" t="n">
        <v>2</v>
      </c>
      <c r="L662" s="25" t="n">
        <v>11992.92</v>
      </c>
      <c r="M662" s="25" t="n">
        <v>0</v>
      </c>
      <c r="N662" s="25" t="n">
        <v>23985.84</v>
      </c>
      <c r="O662" s="25" t="n">
        <v>0</v>
      </c>
      <c r="P662" s="25" t="n">
        <v>23985.84</v>
      </c>
      <c r="Q662" s="27" t="b">
        <f aca="false">FALSE()</f>
        <v>0</v>
      </c>
      <c r="R662" s="27" t="b">
        <f aca="false">FALSE()</f>
        <v>0</v>
      </c>
      <c r="S662" s="27" t="b">
        <f aca="false">FALSE()</f>
        <v>0</v>
      </c>
    </row>
    <row r="663" customFormat="false" ht="15" hidden="false" customHeight="false" outlineLevel="0" collapsed="false">
      <c r="A663" s="25" t="n">
        <v>662</v>
      </c>
      <c r="B663" s="25" t="s">
        <v>1583</v>
      </c>
      <c r="C663" s="25" t="s">
        <v>565</v>
      </c>
      <c r="D663" s="25" t="n">
        <v>20250718</v>
      </c>
      <c r="E663" s="25" t="n">
        <v>118</v>
      </c>
      <c r="F663" s="25" t="n">
        <v>34</v>
      </c>
      <c r="G663" s="25" t="s">
        <v>113</v>
      </c>
      <c r="H663" s="25" t="s">
        <v>25</v>
      </c>
      <c r="I663" s="25" t="s">
        <v>1770</v>
      </c>
      <c r="J663" s="25" t="s">
        <v>269</v>
      </c>
      <c r="K663" s="25" t="n">
        <v>2</v>
      </c>
      <c r="L663" s="25" t="n">
        <v>11932.31</v>
      </c>
      <c r="M663" s="25" t="n">
        <v>10</v>
      </c>
      <c r="N663" s="25" t="n">
        <v>23864.62</v>
      </c>
      <c r="O663" s="25" t="n">
        <v>2386.46</v>
      </c>
      <c r="P663" s="25" t="n">
        <v>21478.16</v>
      </c>
      <c r="Q663" s="27" t="b">
        <f aca="false">FALSE()</f>
        <v>0</v>
      </c>
      <c r="R663" s="27" t="b">
        <f aca="false">FALSE()</f>
        <v>0</v>
      </c>
      <c r="S663" s="27" t="b">
        <f aca="false">FALSE()</f>
        <v>0</v>
      </c>
    </row>
    <row r="664" customFormat="false" ht="15" hidden="false" customHeight="false" outlineLevel="0" collapsed="false">
      <c r="A664" s="25" t="n">
        <v>663</v>
      </c>
      <c r="B664" s="25" t="s">
        <v>1584</v>
      </c>
      <c r="C664" s="25" t="s">
        <v>565</v>
      </c>
      <c r="D664" s="25" t="n">
        <v>20250718</v>
      </c>
      <c r="E664" s="25" t="n">
        <v>118</v>
      </c>
      <c r="F664" s="25" t="n">
        <v>21</v>
      </c>
      <c r="G664" s="25" t="s">
        <v>113</v>
      </c>
      <c r="H664" s="25" t="s">
        <v>25</v>
      </c>
      <c r="I664" s="25" t="s">
        <v>1770</v>
      </c>
      <c r="J664" s="25" t="s">
        <v>269</v>
      </c>
      <c r="K664" s="25" t="n">
        <v>4</v>
      </c>
      <c r="L664" s="25" t="n">
        <v>3184.81</v>
      </c>
      <c r="M664" s="25" t="n">
        <v>0</v>
      </c>
      <c r="N664" s="25" t="n">
        <v>12739.24</v>
      </c>
      <c r="O664" s="25" t="n">
        <v>0</v>
      </c>
      <c r="P664" s="25" t="n">
        <v>12739.24</v>
      </c>
      <c r="Q664" s="27" t="b">
        <f aca="false">FALSE()</f>
        <v>0</v>
      </c>
      <c r="R664" s="27" t="b">
        <f aca="false">FALSE()</f>
        <v>0</v>
      </c>
      <c r="S664" s="27" t="b">
        <f aca="false">FALSE()</f>
        <v>0</v>
      </c>
    </row>
    <row r="665" customFormat="false" ht="15" hidden="false" customHeight="false" outlineLevel="0" collapsed="false">
      <c r="A665" s="25" t="n">
        <v>664</v>
      </c>
      <c r="B665" s="25" t="s">
        <v>1585</v>
      </c>
      <c r="C665" s="25" t="s">
        <v>565</v>
      </c>
      <c r="D665" s="25" t="n">
        <v>20250718</v>
      </c>
      <c r="E665" s="25" t="n">
        <v>118</v>
      </c>
      <c r="F665" s="25" t="n">
        <v>23</v>
      </c>
      <c r="G665" s="25" t="s">
        <v>113</v>
      </c>
      <c r="H665" s="25" t="s">
        <v>25</v>
      </c>
      <c r="I665" s="25" t="s">
        <v>1770</v>
      </c>
      <c r="J665" s="25" t="s">
        <v>269</v>
      </c>
      <c r="K665" s="25" t="n">
        <v>5</v>
      </c>
      <c r="L665" s="25" t="n">
        <v>3019.36</v>
      </c>
      <c r="M665" s="25" t="n">
        <v>0</v>
      </c>
      <c r="N665" s="25" t="n">
        <v>15096.8</v>
      </c>
      <c r="O665" s="25" t="n">
        <v>0</v>
      </c>
      <c r="P665" s="25" t="n">
        <v>15096.8</v>
      </c>
      <c r="Q665" s="27" t="b">
        <f aca="false">FALSE()</f>
        <v>0</v>
      </c>
      <c r="R665" s="27" t="b">
        <f aca="false">FALSE()</f>
        <v>0</v>
      </c>
      <c r="S665" s="27" t="b">
        <f aca="false">FALSE()</f>
        <v>0</v>
      </c>
    </row>
    <row r="666" customFormat="false" ht="15" hidden="false" customHeight="false" outlineLevel="0" collapsed="false">
      <c r="A666" s="25" t="n">
        <v>665</v>
      </c>
      <c r="B666" s="25" t="s">
        <v>1586</v>
      </c>
      <c r="C666" s="25" t="s">
        <v>492</v>
      </c>
      <c r="D666" s="25" t="n">
        <v>20250226</v>
      </c>
      <c r="E666" s="25" t="n">
        <v>78</v>
      </c>
      <c r="F666" s="25" t="n">
        <v>63</v>
      </c>
      <c r="G666" s="25" t="s">
        <v>115</v>
      </c>
      <c r="H666" s="25" t="s">
        <v>2263</v>
      </c>
      <c r="I666" s="25" t="s">
        <v>71</v>
      </c>
      <c r="J666" s="25" t="s">
        <v>242</v>
      </c>
      <c r="K666" s="25" t="n">
        <v>4</v>
      </c>
      <c r="L666" s="25" t="n">
        <v>9269.43</v>
      </c>
      <c r="M666" s="25" t="n">
        <v>20</v>
      </c>
      <c r="N666" s="25" t="n">
        <v>37077.72</v>
      </c>
      <c r="O666" s="25" t="n">
        <v>7415.54</v>
      </c>
      <c r="P666" s="25" t="n">
        <v>29662.18</v>
      </c>
      <c r="Q666" s="27" t="b">
        <f aca="false">FALSE()</f>
        <v>0</v>
      </c>
      <c r="R666" s="27" t="b">
        <f aca="false">FALSE()</f>
        <v>0</v>
      </c>
      <c r="S666" s="27" t="b">
        <f aca="false">FALSE()</f>
        <v>0</v>
      </c>
    </row>
    <row r="667" customFormat="false" ht="15" hidden="false" customHeight="false" outlineLevel="0" collapsed="false">
      <c r="A667" s="25" t="n">
        <v>666</v>
      </c>
      <c r="B667" s="25" t="s">
        <v>1587</v>
      </c>
      <c r="C667" s="25" t="s">
        <v>492</v>
      </c>
      <c r="D667" s="25" t="n">
        <v>20250226</v>
      </c>
      <c r="E667" s="25" t="n">
        <v>78</v>
      </c>
      <c r="F667" s="25" t="n">
        <v>54</v>
      </c>
      <c r="G667" s="25" t="s">
        <v>115</v>
      </c>
      <c r="H667" s="25" t="s">
        <v>2263</v>
      </c>
      <c r="I667" s="25" t="s">
        <v>71</v>
      </c>
      <c r="J667" s="25" t="s">
        <v>242</v>
      </c>
      <c r="K667" s="25" t="n">
        <v>3</v>
      </c>
      <c r="L667" s="25" t="n">
        <v>20481.04</v>
      </c>
      <c r="M667" s="25" t="n">
        <v>20</v>
      </c>
      <c r="N667" s="25" t="n">
        <v>61443.12</v>
      </c>
      <c r="O667" s="25" t="n">
        <v>12288.62</v>
      </c>
      <c r="P667" s="25" t="n">
        <v>49154.5</v>
      </c>
      <c r="Q667" s="27" t="b">
        <f aca="false">FALSE()</f>
        <v>0</v>
      </c>
      <c r="R667" s="27" t="b">
        <f aca="false">FALSE()</f>
        <v>0</v>
      </c>
      <c r="S667" s="27" t="b">
        <f aca="false">FALSE()</f>
        <v>0</v>
      </c>
    </row>
    <row r="668" customFormat="false" ht="15" hidden="false" customHeight="false" outlineLevel="0" collapsed="false">
      <c r="A668" s="25" t="n">
        <v>667</v>
      </c>
      <c r="B668" s="25" t="s">
        <v>1588</v>
      </c>
      <c r="C668" s="25" t="s">
        <v>492</v>
      </c>
      <c r="D668" s="25" t="n">
        <v>20250226</v>
      </c>
      <c r="E668" s="25" t="n">
        <v>78</v>
      </c>
      <c r="F668" s="25" t="n">
        <v>26</v>
      </c>
      <c r="G668" s="25" t="s">
        <v>115</v>
      </c>
      <c r="H668" s="25" t="s">
        <v>2263</v>
      </c>
      <c r="I668" s="25" t="s">
        <v>71</v>
      </c>
      <c r="J668" s="25" t="s">
        <v>242</v>
      </c>
      <c r="K668" s="25" t="n">
        <v>1</v>
      </c>
      <c r="L668" s="25" t="n">
        <v>13038.96</v>
      </c>
      <c r="M668" s="25" t="n">
        <v>15</v>
      </c>
      <c r="N668" s="25" t="n">
        <v>13038.96</v>
      </c>
      <c r="O668" s="25" t="n">
        <v>1955.84</v>
      </c>
      <c r="P668" s="25" t="n">
        <v>11083.12</v>
      </c>
      <c r="Q668" s="27" t="b">
        <f aca="false">FALSE()</f>
        <v>0</v>
      </c>
      <c r="R668" s="27" t="b">
        <f aca="false">FALSE()</f>
        <v>0</v>
      </c>
      <c r="S668" s="27" t="b">
        <f aca="false">FALSE()</f>
        <v>0</v>
      </c>
    </row>
    <row r="669" customFormat="false" ht="15" hidden="false" customHeight="false" outlineLevel="0" collapsed="false">
      <c r="A669" s="25" t="n">
        <v>668</v>
      </c>
      <c r="B669" s="25" t="s">
        <v>1589</v>
      </c>
      <c r="C669" s="25" t="s">
        <v>281</v>
      </c>
      <c r="D669" s="25" t="n">
        <v>20250210</v>
      </c>
      <c r="E669" s="25" t="n">
        <v>106</v>
      </c>
      <c r="F669" s="25" t="n">
        <v>38</v>
      </c>
      <c r="G669" s="25" t="s">
        <v>115</v>
      </c>
      <c r="H669" s="25" t="s">
        <v>25</v>
      </c>
      <c r="I669" s="25" t="s">
        <v>94</v>
      </c>
      <c r="J669" s="25" t="s">
        <v>242</v>
      </c>
      <c r="K669" s="25" t="n">
        <v>2</v>
      </c>
      <c r="L669" s="25" t="n">
        <v>25201.06</v>
      </c>
      <c r="M669" s="25" t="n">
        <v>15</v>
      </c>
      <c r="N669" s="25" t="n">
        <v>50402.12</v>
      </c>
      <c r="O669" s="25" t="n">
        <v>7560.32</v>
      </c>
      <c r="P669" s="25" t="n">
        <v>42841.8</v>
      </c>
      <c r="Q669" s="27" t="b">
        <f aca="false">FALSE()</f>
        <v>0</v>
      </c>
      <c r="R669" s="27" t="b">
        <f aca="false">FALSE()</f>
        <v>0</v>
      </c>
      <c r="S669" s="27" t="b">
        <f aca="false">FALSE()</f>
        <v>0</v>
      </c>
    </row>
    <row r="670" customFormat="false" ht="15" hidden="false" customHeight="false" outlineLevel="0" collapsed="false">
      <c r="A670" s="25" t="n">
        <v>669</v>
      </c>
      <c r="B670" s="25" t="s">
        <v>1590</v>
      </c>
      <c r="C670" s="25" t="s">
        <v>281</v>
      </c>
      <c r="D670" s="25" t="n">
        <v>20250210</v>
      </c>
      <c r="E670" s="25" t="n">
        <v>106</v>
      </c>
      <c r="F670" s="25" t="n">
        <v>29</v>
      </c>
      <c r="G670" s="25" t="s">
        <v>115</v>
      </c>
      <c r="H670" s="25" t="s">
        <v>25</v>
      </c>
      <c r="I670" s="25" t="s">
        <v>94</v>
      </c>
      <c r="J670" s="25" t="s">
        <v>242</v>
      </c>
      <c r="K670" s="25" t="n">
        <v>3</v>
      </c>
      <c r="L670" s="25" t="n">
        <v>7855.79</v>
      </c>
      <c r="M670" s="25" t="n">
        <v>10</v>
      </c>
      <c r="N670" s="25" t="n">
        <v>23567.37</v>
      </c>
      <c r="O670" s="25" t="n">
        <v>2356.74</v>
      </c>
      <c r="P670" s="25" t="n">
        <v>21210.63</v>
      </c>
      <c r="Q670" s="27" t="b">
        <f aca="false">TRUE()</f>
        <v>1</v>
      </c>
      <c r="R670" s="27" t="b">
        <f aca="false">FALSE()</f>
        <v>0</v>
      </c>
      <c r="S670" s="27" t="b">
        <f aca="false">FALSE()</f>
        <v>0</v>
      </c>
    </row>
    <row r="671" customFormat="false" ht="15" hidden="false" customHeight="false" outlineLevel="0" collapsed="false">
      <c r="A671" s="25" t="n">
        <v>670</v>
      </c>
      <c r="B671" s="25" t="s">
        <v>1591</v>
      </c>
      <c r="C671" s="25" t="s">
        <v>304</v>
      </c>
      <c r="D671" s="25" t="n">
        <v>20240730</v>
      </c>
      <c r="E671" s="25" t="n">
        <v>114</v>
      </c>
      <c r="F671" s="25" t="n">
        <v>47</v>
      </c>
      <c r="G671" s="25" t="s">
        <v>115</v>
      </c>
      <c r="H671" s="25" t="s">
        <v>25</v>
      </c>
      <c r="I671" s="25" t="s">
        <v>1770</v>
      </c>
      <c r="J671" s="25" t="s">
        <v>242</v>
      </c>
      <c r="K671" s="25" t="n">
        <v>2</v>
      </c>
      <c r="L671" s="25" t="n">
        <v>5145.55</v>
      </c>
      <c r="M671" s="25" t="n">
        <v>20</v>
      </c>
      <c r="N671" s="25" t="n">
        <v>10291.1</v>
      </c>
      <c r="O671" s="25" t="n">
        <v>2058.22</v>
      </c>
      <c r="P671" s="25" t="n">
        <v>8232.88</v>
      </c>
      <c r="Q671" s="27" t="b">
        <f aca="false">FALSE()</f>
        <v>0</v>
      </c>
      <c r="R671" s="27" t="b">
        <f aca="false">FALSE()</f>
        <v>0</v>
      </c>
      <c r="S671" s="27" t="b">
        <f aca="false">FALSE()</f>
        <v>0</v>
      </c>
    </row>
    <row r="672" customFormat="false" ht="15" hidden="false" customHeight="false" outlineLevel="0" collapsed="false">
      <c r="A672" s="25" t="n">
        <v>671</v>
      </c>
      <c r="B672" s="25" t="s">
        <v>1592</v>
      </c>
      <c r="C672" s="25" t="s">
        <v>304</v>
      </c>
      <c r="D672" s="25" t="n">
        <v>20240730</v>
      </c>
      <c r="E672" s="25" t="n">
        <v>114</v>
      </c>
      <c r="F672" s="25" t="n">
        <v>39</v>
      </c>
      <c r="G672" s="25" t="s">
        <v>115</v>
      </c>
      <c r="H672" s="25" t="s">
        <v>25</v>
      </c>
      <c r="I672" s="25" t="s">
        <v>1770</v>
      </c>
      <c r="J672" s="25" t="s">
        <v>242</v>
      </c>
      <c r="K672" s="25" t="n">
        <v>5</v>
      </c>
      <c r="L672" s="25" t="n">
        <v>5818.64</v>
      </c>
      <c r="M672" s="25" t="n">
        <v>10</v>
      </c>
      <c r="N672" s="25" t="n">
        <v>29093.2</v>
      </c>
      <c r="O672" s="25" t="n">
        <v>2909.32</v>
      </c>
      <c r="P672" s="25" t="n">
        <v>26183.88</v>
      </c>
      <c r="Q672" s="27" t="b">
        <f aca="false">FALSE()</f>
        <v>0</v>
      </c>
      <c r="R672" s="27" t="b">
        <f aca="false">FALSE()</f>
        <v>0</v>
      </c>
      <c r="S672" s="27" t="b">
        <f aca="false">FALSE()</f>
        <v>0</v>
      </c>
    </row>
    <row r="673" customFormat="false" ht="15" hidden="false" customHeight="false" outlineLevel="0" collapsed="false">
      <c r="A673" s="25" t="n">
        <v>672</v>
      </c>
      <c r="B673" s="25" t="s">
        <v>1593</v>
      </c>
      <c r="C673" s="25" t="s">
        <v>304</v>
      </c>
      <c r="D673" s="25" t="n">
        <v>20240730</v>
      </c>
      <c r="E673" s="25" t="n">
        <v>114</v>
      </c>
      <c r="F673" s="25" t="n">
        <v>16</v>
      </c>
      <c r="G673" s="25" t="s">
        <v>115</v>
      </c>
      <c r="H673" s="25" t="s">
        <v>25</v>
      </c>
      <c r="I673" s="25" t="s">
        <v>1770</v>
      </c>
      <c r="J673" s="25" t="s">
        <v>242</v>
      </c>
      <c r="K673" s="25" t="n">
        <v>3</v>
      </c>
      <c r="L673" s="25" t="n">
        <v>2260.53</v>
      </c>
      <c r="M673" s="25" t="n">
        <v>20</v>
      </c>
      <c r="N673" s="25" t="n">
        <v>6781.59</v>
      </c>
      <c r="O673" s="25" t="n">
        <v>1356.32</v>
      </c>
      <c r="P673" s="25" t="n">
        <v>5425.27</v>
      </c>
      <c r="Q673" s="27" t="b">
        <f aca="false">FALSE()</f>
        <v>0</v>
      </c>
      <c r="R673" s="27" t="b">
        <f aca="false">FALSE()</f>
        <v>0</v>
      </c>
      <c r="S673" s="27" t="b">
        <f aca="false">FALSE()</f>
        <v>0</v>
      </c>
    </row>
    <row r="674" customFormat="false" ht="15" hidden="false" customHeight="false" outlineLevel="0" collapsed="false">
      <c r="A674" s="25" t="n">
        <v>673</v>
      </c>
      <c r="B674" s="25" t="s">
        <v>1594</v>
      </c>
      <c r="C674" s="25" t="s">
        <v>372</v>
      </c>
      <c r="D674" s="25" t="n">
        <v>20250214</v>
      </c>
      <c r="E674" s="25" t="n">
        <v>52</v>
      </c>
      <c r="F674" s="25" t="n">
        <v>11</v>
      </c>
      <c r="G674" s="25" t="s">
        <v>114</v>
      </c>
      <c r="H674" s="25" t="s">
        <v>2272</v>
      </c>
      <c r="I674" s="25" t="s">
        <v>94</v>
      </c>
      <c r="J674" s="25" t="s">
        <v>269</v>
      </c>
      <c r="K674" s="25" t="n">
        <v>4</v>
      </c>
      <c r="L674" s="25" t="n">
        <v>1179.68</v>
      </c>
      <c r="M674" s="25" t="n">
        <v>20</v>
      </c>
      <c r="N674" s="25" t="n">
        <v>4718.72</v>
      </c>
      <c r="O674" s="25" t="n">
        <v>943.74</v>
      </c>
      <c r="P674" s="25" t="n">
        <v>3774.98</v>
      </c>
      <c r="Q674" s="27" t="b">
        <f aca="false">FALSE()</f>
        <v>0</v>
      </c>
      <c r="R674" s="27" t="b">
        <f aca="false">FALSE()</f>
        <v>0</v>
      </c>
      <c r="S674" s="27" t="b">
        <f aca="false">FALSE()</f>
        <v>0</v>
      </c>
    </row>
    <row r="675" customFormat="false" ht="15" hidden="false" customHeight="false" outlineLevel="0" collapsed="false">
      <c r="A675" s="25" t="n">
        <v>674</v>
      </c>
      <c r="B675" s="25" t="s">
        <v>1595</v>
      </c>
      <c r="C675" s="25" t="s">
        <v>518</v>
      </c>
      <c r="D675" s="25" t="n">
        <v>20240105</v>
      </c>
      <c r="E675" s="25" t="n">
        <v>149</v>
      </c>
      <c r="F675" s="25" t="n">
        <v>6</v>
      </c>
      <c r="G675" s="25" t="s">
        <v>115</v>
      </c>
      <c r="H675" s="25" t="s">
        <v>2277</v>
      </c>
      <c r="I675" s="25" t="s">
        <v>89</v>
      </c>
      <c r="J675" s="25" t="s">
        <v>250</v>
      </c>
      <c r="K675" s="25" t="n">
        <v>3</v>
      </c>
      <c r="L675" s="25" t="n">
        <v>2863.09</v>
      </c>
      <c r="M675" s="25" t="n">
        <v>5</v>
      </c>
      <c r="N675" s="25" t="n">
        <v>8589.27</v>
      </c>
      <c r="O675" s="25" t="n">
        <v>429.46</v>
      </c>
      <c r="P675" s="25" t="n">
        <v>8159.81</v>
      </c>
      <c r="Q675" s="27" t="b">
        <f aca="false">FALSE()</f>
        <v>0</v>
      </c>
      <c r="R675" s="27" t="b">
        <f aca="false">FALSE()</f>
        <v>0</v>
      </c>
      <c r="S675" s="27" t="b">
        <f aca="false">FALSE()</f>
        <v>0</v>
      </c>
    </row>
    <row r="676" customFormat="false" ht="15" hidden="false" customHeight="false" outlineLevel="0" collapsed="false">
      <c r="A676" s="25" t="n">
        <v>675</v>
      </c>
      <c r="B676" s="25" t="s">
        <v>1596</v>
      </c>
      <c r="C676" s="25" t="s">
        <v>518</v>
      </c>
      <c r="D676" s="25" t="n">
        <v>20240105</v>
      </c>
      <c r="E676" s="25" t="n">
        <v>149</v>
      </c>
      <c r="F676" s="25" t="n">
        <v>70</v>
      </c>
      <c r="G676" s="25" t="s">
        <v>115</v>
      </c>
      <c r="H676" s="25" t="s">
        <v>2277</v>
      </c>
      <c r="I676" s="25" t="s">
        <v>89</v>
      </c>
      <c r="J676" s="25" t="s">
        <v>250</v>
      </c>
      <c r="K676" s="25" t="n">
        <v>1</v>
      </c>
      <c r="L676" s="25" t="n">
        <v>3962.52</v>
      </c>
      <c r="M676" s="25" t="n">
        <v>20</v>
      </c>
      <c r="N676" s="25" t="n">
        <v>3962.52</v>
      </c>
      <c r="O676" s="25" t="n">
        <v>792.5</v>
      </c>
      <c r="P676" s="25" t="n">
        <v>3170.02</v>
      </c>
      <c r="Q676" s="27" t="b">
        <f aca="false">FALSE()</f>
        <v>0</v>
      </c>
      <c r="R676" s="27" t="b">
        <f aca="false">FALSE()</f>
        <v>0</v>
      </c>
      <c r="S676" s="27" t="b">
        <f aca="false">FALSE()</f>
        <v>0</v>
      </c>
    </row>
    <row r="677" customFormat="false" ht="15" hidden="false" customHeight="false" outlineLevel="0" collapsed="false">
      <c r="A677" s="25" t="n">
        <v>676</v>
      </c>
      <c r="B677" s="25" t="s">
        <v>1597</v>
      </c>
      <c r="C677" s="25" t="s">
        <v>518</v>
      </c>
      <c r="D677" s="25" t="n">
        <v>20240105</v>
      </c>
      <c r="E677" s="25" t="n">
        <v>149</v>
      </c>
      <c r="F677" s="25" t="n">
        <v>70</v>
      </c>
      <c r="G677" s="25" t="s">
        <v>115</v>
      </c>
      <c r="H677" s="25" t="s">
        <v>2277</v>
      </c>
      <c r="I677" s="25" t="s">
        <v>89</v>
      </c>
      <c r="J677" s="25" t="s">
        <v>250</v>
      </c>
      <c r="K677" s="25" t="n">
        <v>2</v>
      </c>
      <c r="L677" s="25" t="n">
        <v>3962.52</v>
      </c>
      <c r="M677" s="25" t="n">
        <v>15</v>
      </c>
      <c r="N677" s="25" t="n">
        <v>7925.04</v>
      </c>
      <c r="O677" s="25" t="n">
        <v>1188.76</v>
      </c>
      <c r="P677" s="25" t="n">
        <v>6736.28</v>
      </c>
      <c r="Q677" s="27" t="b">
        <f aca="false">FALSE()</f>
        <v>0</v>
      </c>
      <c r="R677" s="27" t="b">
        <f aca="false">FALSE()</f>
        <v>0</v>
      </c>
      <c r="S677" s="27" t="b">
        <f aca="false">FALSE()</f>
        <v>0</v>
      </c>
    </row>
    <row r="678" customFormat="false" ht="15" hidden="false" customHeight="false" outlineLevel="0" collapsed="false">
      <c r="A678" s="25" t="n">
        <v>677</v>
      </c>
      <c r="B678" s="25" t="s">
        <v>1598</v>
      </c>
      <c r="C678" s="25" t="s">
        <v>263</v>
      </c>
      <c r="D678" s="25" t="n">
        <v>20250904</v>
      </c>
      <c r="E678" s="25" t="n">
        <v>100</v>
      </c>
      <c r="F678" s="25" t="n">
        <v>-1</v>
      </c>
      <c r="G678" s="25" t="s">
        <v>113</v>
      </c>
      <c r="H678" s="25" t="s">
        <v>25</v>
      </c>
      <c r="I678" s="25" t="s">
        <v>1770</v>
      </c>
      <c r="J678" s="25" t="s">
        <v>242</v>
      </c>
      <c r="K678" s="25" t="n">
        <v>4</v>
      </c>
      <c r="L678" s="25" t="n">
        <v>1179.68</v>
      </c>
      <c r="M678" s="25" t="n">
        <v>20</v>
      </c>
      <c r="N678" s="25" t="n">
        <v>4718.72</v>
      </c>
      <c r="O678" s="25" t="n">
        <v>943.74</v>
      </c>
      <c r="P678" s="25" t="n">
        <v>3774.98</v>
      </c>
      <c r="Q678" s="27" t="b">
        <f aca="false">FALSE()</f>
        <v>0</v>
      </c>
      <c r="R678" s="27" t="b">
        <f aca="false">FALSE()</f>
        <v>0</v>
      </c>
      <c r="S678" s="27" t="b">
        <f aca="false">FALSE()</f>
        <v>0</v>
      </c>
    </row>
    <row r="679" customFormat="false" ht="15" hidden="false" customHeight="false" outlineLevel="0" collapsed="false">
      <c r="A679" s="25" t="n">
        <v>678</v>
      </c>
      <c r="B679" s="25" t="s">
        <v>1600</v>
      </c>
      <c r="C679" s="25" t="s">
        <v>263</v>
      </c>
      <c r="D679" s="25" t="n">
        <v>20250904</v>
      </c>
      <c r="E679" s="25" t="n">
        <v>100</v>
      </c>
      <c r="F679" s="25" t="n">
        <v>30</v>
      </c>
      <c r="G679" s="25" t="s">
        <v>113</v>
      </c>
      <c r="H679" s="25" t="s">
        <v>25</v>
      </c>
      <c r="I679" s="25" t="s">
        <v>1770</v>
      </c>
      <c r="J679" s="25" t="s">
        <v>242</v>
      </c>
      <c r="K679" s="25" t="n">
        <v>4</v>
      </c>
      <c r="L679" s="25" t="n">
        <v>20253.93</v>
      </c>
      <c r="M679" s="25" t="n">
        <v>0</v>
      </c>
      <c r="N679" s="25" t="n">
        <v>81015.72</v>
      </c>
      <c r="O679" s="25" t="n">
        <v>0</v>
      </c>
      <c r="P679" s="25" t="n">
        <v>81015.72</v>
      </c>
      <c r="Q679" s="27" t="b">
        <f aca="false">FALSE()</f>
        <v>0</v>
      </c>
      <c r="R679" s="27" t="b">
        <f aca="false">FALSE()</f>
        <v>0</v>
      </c>
      <c r="S679" s="27" t="b">
        <f aca="false">FALSE()</f>
        <v>0</v>
      </c>
    </row>
    <row r="680" customFormat="false" ht="15" hidden="false" customHeight="false" outlineLevel="0" collapsed="false">
      <c r="A680" s="25" t="n">
        <v>679</v>
      </c>
      <c r="B680" s="25" t="s">
        <v>1601</v>
      </c>
      <c r="C680" s="25" t="s">
        <v>263</v>
      </c>
      <c r="D680" s="25" t="n">
        <v>20250904</v>
      </c>
      <c r="E680" s="25" t="n">
        <v>100</v>
      </c>
      <c r="F680" s="25" t="n">
        <v>61</v>
      </c>
      <c r="G680" s="25" t="s">
        <v>113</v>
      </c>
      <c r="H680" s="25" t="s">
        <v>25</v>
      </c>
      <c r="I680" s="25" t="s">
        <v>1770</v>
      </c>
      <c r="J680" s="25" t="s">
        <v>242</v>
      </c>
      <c r="K680" s="25" t="n">
        <v>2</v>
      </c>
      <c r="L680" s="25" t="n">
        <v>8318.56</v>
      </c>
      <c r="M680" s="25" t="n">
        <v>0</v>
      </c>
      <c r="N680" s="25" t="n">
        <v>16637.12</v>
      </c>
      <c r="O680" s="25" t="n">
        <v>0</v>
      </c>
      <c r="P680" s="25" t="n">
        <v>16637.12</v>
      </c>
      <c r="Q680" s="27" t="b">
        <f aca="false">FALSE()</f>
        <v>0</v>
      </c>
      <c r="R680" s="27" t="b">
        <f aca="false">FALSE()</f>
        <v>0</v>
      </c>
      <c r="S680" s="27" t="b">
        <f aca="false">FALSE()</f>
        <v>0</v>
      </c>
    </row>
    <row r="681" customFormat="false" ht="15" hidden="false" customHeight="false" outlineLevel="0" collapsed="false">
      <c r="A681" s="25" t="n">
        <v>680</v>
      </c>
      <c r="B681" s="25" t="s">
        <v>1602</v>
      </c>
      <c r="C681" s="25" t="s">
        <v>263</v>
      </c>
      <c r="D681" s="25" t="n">
        <v>20250904</v>
      </c>
      <c r="E681" s="25" t="n">
        <v>100</v>
      </c>
      <c r="F681" s="25" t="n">
        <v>65</v>
      </c>
      <c r="G681" s="25" t="s">
        <v>113</v>
      </c>
      <c r="H681" s="25" t="s">
        <v>25</v>
      </c>
      <c r="I681" s="25" t="s">
        <v>1770</v>
      </c>
      <c r="J681" s="25" t="s">
        <v>242</v>
      </c>
      <c r="K681" s="25" t="n">
        <v>5</v>
      </c>
      <c r="L681" s="25" t="n">
        <v>15706.03</v>
      </c>
      <c r="M681" s="25" t="n">
        <v>15</v>
      </c>
      <c r="N681" s="25" t="n">
        <v>78530.15</v>
      </c>
      <c r="O681" s="25" t="n">
        <v>11779.52</v>
      </c>
      <c r="P681" s="25" t="n">
        <v>66750.63</v>
      </c>
      <c r="Q681" s="27" t="b">
        <f aca="false">FALSE()</f>
        <v>0</v>
      </c>
      <c r="R681" s="27" t="b">
        <f aca="false">FALSE()</f>
        <v>0</v>
      </c>
      <c r="S681" s="27" t="b">
        <f aca="false">FALSE()</f>
        <v>0</v>
      </c>
    </row>
    <row r="682" customFormat="false" ht="15" hidden="false" customHeight="false" outlineLevel="0" collapsed="false">
      <c r="A682" s="25" t="n">
        <v>681</v>
      </c>
      <c r="B682" s="25" t="s">
        <v>1603</v>
      </c>
      <c r="C682" s="25" t="s">
        <v>504</v>
      </c>
      <c r="D682" s="25" t="n">
        <v>20240722</v>
      </c>
      <c r="E682" s="25" t="n">
        <v>61</v>
      </c>
      <c r="F682" s="25" t="n">
        <v>48</v>
      </c>
      <c r="G682" s="25" t="s">
        <v>114</v>
      </c>
      <c r="H682" s="25" t="s">
        <v>25</v>
      </c>
      <c r="I682" s="25" t="s">
        <v>71</v>
      </c>
      <c r="J682" s="25" t="s">
        <v>242</v>
      </c>
      <c r="K682" s="25" t="n">
        <v>4</v>
      </c>
      <c r="L682" s="25" t="n">
        <v>25643.17</v>
      </c>
      <c r="M682" s="25" t="n">
        <v>20</v>
      </c>
      <c r="N682" s="25" t="n">
        <v>102572.68</v>
      </c>
      <c r="O682" s="25" t="n">
        <v>20514.54</v>
      </c>
      <c r="P682" s="25" t="n">
        <v>82058.14</v>
      </c>
      <c r="Q682" s="27" t="b">
        <f aca="false">FALSE()</f>
        <v>0</v>
      </c>
      <c r="R682" s="27" t="b">
        <f aca="false">FALSE()</f>
        <v>0</v>
      </c>
      <c r="S682" s="27" t="b">
        <f aca="false">FALSE()</f>
        <v>0</v>
      </c>
    </row>
    <row r="683" customFormat="false" ht="15" hidden="false" customHeight="false" outlineLevel="0" collapsed="false">
      <c r="A683" s="25" t="n">
        <v>682</v>
      </c>
      <c r="B683" s="25" t="s">
        <v>1604</v>
      </c>
      <c r="C683" s="25" t="s">
        <v>504</v>
      </c>
      <c r="D683" s="25" t="n">
        <v>20240722</v>
      </c>
      <c r="E683" s="25" t="n">
        <v>61</v>
      </c>
      <c r="F683" s="25" t="n">
        <v>9</v>
      </c>
      <c r="G683" s="25" t="s">
        <v>114</v>
      </c>
      <c r="H683" s="25" t="s">
        <v>25</v>
      </c>
      <c r="I683" s="25" t="s">
        <v>71</v>
      </c>
      <c r="J683" s="25" t="s">
        <v>242</v>
      </c>
      <c r="K683" s="25" t="n">
        <v>2</v>
      </c>
      <c r="L683" s="25" t="n">
        <v>26274.11</v>
      </c>
      <c r="M683" s="25" t="n">
        <v>0</v>
      </c>
      <c r="N683" s="25" t="n">
        <v>52548.22</v>
      </c>
      <c r="O683" s="25" t="n">
        <v>0</v>
      </c>
      <c r="P683" s="25" t="n">
        <v>52548.22</v>
      </c>
      <c r="Q683" s="27" t="b">
        <f aca="false">FALSE()</f>
        <v>0</v>
      </c>
      <c r="R683" s="27" t="b">
        <f aca="false">FALSE()</f>
        <v>0</v>
      </c>
      <c r="S683" s="27" t="b">
        <f aca="false">FALSE()</f>
        <v>0</v>
      </c>
    </row>
    <row r="684" customFormat="false" ht="15" hidden="false" customHeight="false" outlineLevel="0" collapsed="false">
      <c r="A684" s="25" t="n">
        <v>683</v>
      </c>
      <c r="B684" s="25" t="s">
        <v>1605</v>
      </c>
      <c r="C684" s="25" t="s">
        <v>340</v>
      </c>
      <c r="D684" s="25" t="n">
        <v>20250219</v>
      </c>
      <c r="E684" s="25" t="n">
        <v>37</v>
      </c>
      <c r="F684" s="25" t="n">
        <v>50</v>
      </c>
      <c r="G684" s="25" t="s">
        <v>114</v>
      </c>
      <c r="H684" s="25" t="s">
        <v>2267</v>
      </c>
      <c r="I684" s="25" t="s">
        <v>1738</v>
      </c>
      <c r="J684" s="25" t="s">
        <v>242</v>
      </c>
      <c r="K684" s="25" t="n">
        <v>3</v>
      </c>
      <c r="L684" s="25" t="n">
        <v>22582.54</v>
      </c>
      <c r="M684" s="25" t="n">
        <v>5</v>
      </c>
      <c r="N684" s="25" t="n">
        <v>67747.62</v>
      </c>
      <c r="O684" s="25" t="n">
        <v>3387.38</v>
      </c>
      <c r="P684" s="25" t="n">
        <v>64360.24</v>
      </c>
      <c r="Q684" s="27" t="b">
        <f aca="false">FALSE()</f>
        <v>0</v>
      </c>
      <c r="R684" s="27" t="b">
        <f aca="false">FALSE()</f>
        <v>0</v>
      </c>
      <c r="S684" s="27" t="b">
        <f aca="false">FALSE()</f>
        <v>0</v>
      </c>
    </row>
    <row r="685" customFormat="false" ht="15" hidden="false" customHeight="false" outlineLevel="0" collapsed="false">
      <c r="A685" s="25" t="n">
        <v>684</v>
      </c>
      <c r="B685" s="25" t="s">
        <v>1606</v>
      </c>
      <c r="C685" s="25" t="s">
        <v>340</v>
      </c>
      <c r="D685" s="25" t="n">
        <v>20250219</v>
      </c>
      <c r="E685" s="25" t="n">
        <v>37</v>
      </c>
      <c r="F685" s="25" t="n">
        <v>40</v>
      </c>
      <c r="G685" s="25" t="s">
        <v>114</v>
      </c>
      <c r="H685" s="25" t="s">
        <v>2267</v>
      </c>
      <c r="I685" s="25" t="s">
        <v>1738</v>
      </c>
      <c r="J685" s="25" t="s">
        <v>242</v>
      </c>
      <c r="K685" s="25" t="n">
        <v>4</v>
      </c>
      <c r="L685" s="25" t="n">
        <v>1086.86</v>
      </c>
      <c r="M685" s="25" t="n">
        <v>0</v>
      </c>
      <c r="N685" s="25" t="n">
        <v>4347.44</v>
      </c>
      <c r="O685" s="25" t="n">
        <v>0</v>
      </c>
      <c r="P685" s="25" t="n">
        <v>4347.44</v>
      </c>
      <c r="Q685" s="27" t="b">
        <f aca="false">FALSE()</f>
        <v>0</v>
      </c>
      <c r="R685" s="27" t="b">
        <f aca="false">FALSE()</f>
        <v>0</v>
      </c>
      <c r="S685" s="27" t="b">
        <f aca="false">FALSE()</f>
        <v>0</v>
      </c>
    </row>
    <row r="686" customFormat="false" ht="15" hidden="false" customHeight="false" outlineLevel="0" collapsed="false">
      <c r="A686" s="25" t="n">
        <v>685</v>
      </c>
      <c r="B686" s="25" t="s">
        <v>1607</v>
      </c>
      <c r="C686" s="25" t="s">
        <v>340</v>
      </c>
      <c r="D686" s="25" t="n">
        <v>20250219</v>
      </c>
      <c r="E686" s="25" t="n">
        <v>37</v>
      </c>
      <c r="F686" s="25" t="n">
        <v>31</v>
      </c>
      <c r="G686" s="25" t="s">
        <v>114</v>
      </c>
      <c r="H686" s="25" t="s">
        <v>2267</v>
      </c>
      <c r="I686" s="25" t="s">
        <v>1738</v>
      </c>
      <c r="J686" s="25" t="s">
        <v>242</v>
      </c>
      <c r="K686" s="25" t="n">
        <v>2</v>
      </c>
      <c r="L686" s="25" t="n">
        <v>20098.63</v>
      </c>
      <c r="M686" s="25" t="n">
        <v>10</v>
      </c>
      <c r="N686" s="25" t="n">
        <v>40197.26</v>
      </c>
      <c r="O686" s="25" t="n">
        <v>4019.73</v>
      </c>
      <c r="P686" s="25" t="n">
        <v>36177.53</v>
      </c>
      <c r="Q686" s="27" t="b">
        <f aca="false">FALSE()</f>
        <v>0</v>
      </c>
      <c r="R686" s="27" t="b">
        <f aca="false">FALSE()</f>
        <v>0</v>
      </c>
      <c r="S686" s="27" t="b">
        <f aca="false">FALSE()</f>
        <v>0</v>
      </c>
    </row>
    <row r="687" customFormat="false" ht="15" hidden="false" customHeight="false" outlineLevel="0" collapsed="false">
      <c r="A687" s="25" t="n">
        <v>686</v>
      </c>
      <c r="B687" s="25" t="s">
        <v>1608</v>
      </c>
      <c r="C687" s="25" t="s">
        <v>340</v>
      </c>
      <c r="D687" s="25" t="n">
        <v>20250219</v>
      </c>
      <c r="E687" s="25" t="n">
        <v>37</v>
      </c>
      <c r="F687" s="25" t="n">
        <v>4</v>
      </c>
      <c r="G687" s="25" t="s">
        <v>114</v>
      </c>
      <c r="H687" s="25" t="s">
        <v>2267</v>
      </c>
      <c r="I687" s="25" t="s">
        <v>1738</v>
      </c>
      <c r="J687" s="25" t="s">
        <v>242</v>
      </c>
      <c r="K687" s="25" t="n">
        <v>5</v>
      </c>
      <c r="L687" s="25" t="n">
        <v>21122.18</v>
      </c>
      <c r="M687" s="25" t="n">
        <v>20</v>
      </c>
      <c r="N687" s="25" t="n">
        <v>105610.9</v>
      </c>
      <c r="O687" s="25" t="n">
        <v>21122.18</v>
      </c>
      <c r="P687" s="25" t="n">
        <v>84488.72</v>
      </c>
      <c r="Q687" s="27" t="b">
        <f aca="false">FALSE()</f>
        <v>0</v>
      </c>
      <c r="R687" s="27" t="b">
        <f aca="false">FALSE()</f>
        <v>0</v>
      </c>
      <c r="S687" s="27" t="b">
        <f aca="false">FALSE()</f>
        <v>0</v>
      </c>
    </row>
    <row r="688" customFormat="false" ht="15" hidden="false" customHeight="false" outlineLevel="0" collapsed="false">
      <c r="A688" s="25" t="n">
        <v>687</v>
      </c>
      <c r="B688" s="25" t="s">
        <v>1609</v>
      </c>
      <c r="C688" s="25" t="s">
        <v>482</v>
      </c>
      <c r="D688" s="25" t="n">
        <v>20240508</v>
      </c>
      <c r="E688" s="25" t="n">
        <v>108</v>
      </c>
      <c r="F688" s="25" t="n">
        <v>14</v>
      </c>
      <c r="G688" s="25" t="s">
        <v>114</v>
      </c>
      <c r="H688" s="25" t="s">
        <v>25</v>
      </c>
      <c r="I688" s="25" t="s">
        <v>1738</v>
      </c>
      <c r="J688" s="25" t="s">
        <v>269</v>
      </c>
      <c r="K688" s="25" t="n">
        <v>4</v>
      </c>
      <c r="L688" s="25" t="n">
        <v>13809.86</v>
      </c>
      <c r="M688" s="25" t="n">
        <v>0</v>
      </c>
      <c r="N688" s="25" t="n">
        <v>55239.44</v>
      </c>
      <c r="O688" s="25" t="n">
        <v>0</v>
      </c>
      <c r="P688" s="25" t="n">
        <v>55239.44</v>
      </c>
      <c r="Q688" s="27" t="b">
        <f aca="false">FALSE()</f>
        <v>0</v>
      </c>
      <c r="R688" s="27" t="b">
        <f aca="false">FALSE()</f>
        <v>0</v>
      </c>
      <c r="S688" s="27" t="b">
        <f aca="false">FALSE()</f>
        <v>0</v>
      </c>
    </row>
    <row r="689" customFormat="false" ht="15" hidden="false" customHeight="false" outlineLevel="0" collapsed="false">
      <c r="A689" s="25" t="n">
        <v>688</v>
      </c>
      <c r="B689" s="25" t="s">
        <v>1610</v>
      </c>
      <c r="C689" s="25" t="s">
        <v>482</v>
      </c>
      <c r="D689" s="25" t="n">
        <v>20240508</v>
      </c>
      <c r="E689" s="25" t="n">
        <v>108</v>
      </c>
      <c r="F689" s="25" t="n">
        <v>38</v>
      </c>
      <c r="G689" s="25" t="s">
        <v>114</v>
      </c>
      <c r="H689" s="25" t="s">
        <v>25</v>
      </c>
      <c r="I689" s="25" t="s">
        <v>1738</v>
      </c>
      <c r="J689" s="25" t="s">
        <v>269</v>
      </c>
      <c r="K689" s="25" t="n">
        <v>1</v>
      </c>
      <c r="L689" s="25" t="n">
        <v>25201.06</v>
      </c>
      <c r="M689" s="25" t="n">
        <v>5</v>
      </c>
      <c r="N689" s="25" t="n">
        <v>25201.06</v>
      </c>
      <c r="O689" s="25" t="n">
        <v>1260.05</v>
      </c>
      <c r="P689" s="25" t="n">
        <v>23941.01</v>
      </c>
      <c r="Q689" s="27" t="b">
        <f aca="false">FALSE()</f>
        <v>0</v>
      </c>
      <c r="R689" s="27" t="b">
        <f aca="false">FALSE()</f>
        <v>0</v>
      </c>
      <c r="S689" s="27" t="b">
        <f aca="false">FALSE()</f>
        <v>0</v>
      </c>
    </row>
    <row r="690" customFormat="false" ht="15" hidden="false" customHeight="false" outlineLevel="0" collapsed="false">
      <c r="A690" s="25" t="n">
        <v>689</v>
      </c>
      <c r="B690" s="25" t="s">
        <v>1611</v>
      </c>
      <c r="C690" s="25" t="s">
        <v>482</v>
      </c>
      <c r="D690" s="25" t="n">
        <v>20240508</v>
      </c>
      <c r="E690" s="25" t="n">
        <v>108</v>
      </c>
      <c r="F690" s="25" t="n">
        <v>23</v>
      </c>
      <c r="G690" s="25" t="s">
        <v>114</v>
      </c>
      <c r="H690" s="25" t="s">
        <v>25</v>
      </c>
      <c r="I690" s="25" t="s">
        <v>1738</v>
      </c>
      <c r="J690" s="25" t="s">
        <v>269</v>
      </c>
      <c r="K690" s="25" t="n">
        <v>2</v>
      </c>
      <c r="L690" s="25" t="n">
        <v>3019.36</v>
      </c>
      <c r="M690" s="25" t="n">
        <v>5</v>
      </c>
      <c r="N690" s="25" t="n">
        <v>6038.72</v>
      </c>
      <c r="O690" s="25" t="n">
        <v>301.94</v>
      </c>
      <c r="P690" s="25" t="n">
        <v>5736.78</v>
      </c>
      <c r="Q690" s="27" t="b">
        <f aca="false">FALSE()</f>
        <v>0</v>
      </c>
      <c r="R690" s="27" t="b">
        <f aca="false">FALSE()</f>
        <v>0</v>
      </c>
      <c r="S690" s="27" t="b">
        <f aca="false">FALSE()</f>
        <v>0</v>
      </c>
    </row>
    <row r="691" customFormat="false" ht="15" hidden="false" customHeight="false" outlineLevel="0" collapsed="false">
      <c r="A691" s="25" t="n">
        <v>690</v>
      </c>
      <c r="B691" s="25" t="s">
        <v>1612</v>
      </c>
      <c r="C691" s="25" t="s">
        <v>482</v>
      </c>
      <c r="D691" s="25" t="n">
        <v>20240508</v>
      </c>
      <c r="E691" s="25" t="n">
        <v>108</v>
      </c>
      <c r="F691" s="25" t="n">
        <v>38</v>
      </c>
      <c r="G691" s="25" t="s">
        <v>114</v>
      </c>
      <c r="H691" s="25" t="s">
        <v>25</v>
      </c>
      <c r="I691" s="25" t="s">
        <v>1738</v>
      </c>
      <c r="J691" s="25" t="s">
        <v>269</v>
      </c>
      <c r="K691" s="25" t="n">
        <v>4</v>
      </c>
      <c r="L691" s="25" t="n">
        <v>25201.06</v>
      </c>
      <c r="M691" s="25" t="n">
        <v>5</v>
      </c>
      <c r="N691" s="25" t="n">
        <v>100804.24</v>
      </c>
      <c r="O691" s="25" t="n">
        <v>5040.21</v>
      </c>
      <c r="P691" s="25" t="n">
        <v>95764.03</v>
      </c>
      <c r="Q691" s="27" t="b">
        <f aca="false">FALSE()</f>
        <v>0</v>
      </c>
      <c r="R691" s="27" t="b">
        <f aca="false">FALSE()</f>
        <v>0</v>
      </c>
      <c r="S691" s="27" t="b">
        <f aca="false">FALSE()</f>
        <v>0</v>
      </c>
    </row>
    <row r="692" customFormat="false" ht="15" hidden="false" customHeight="false" outlineLevel="0" collapsed="false">
      <c r="A692" s="25" t="n">
        <v>691</v>
      </c>
      <c r="B692" s="25" t="s">
        <v>1613</v>
      </c>
      <c r="C692" s="25" t="s">
        <v>309</v>
      </c>
      <c r="D692" s="25" t="n">
        <v>20240615</v>
      </c>
      <c r="E692" s="25" t="n">
        <v>32</v>
      </c>
      <c r="F692" s="25" t="n">
        <v>26</v>
      </c>
      <c r="G692" s="25" t="s">
        <v>115</v>
      </c>
      <c r="H692" s="25" t="s">
        <v>2271</v>
      </c>
      <c r="I692" s="25" t="s">
        <v>83</v>
      </c>
      <c r="J692" s="25" t="s">
        <v>246</v>
      </c>
      <c r="K692" s="25" t="n">
        <v>2</v>
      </c>
      <c r="L692" s="25" t="n">
        <v>13038.96</v>
      </c>
      <c r="M692" s="25" t="n">
        <v>20</v>
      </c>
      <c r="N692" s="25" t="n">
        <v>26077.92</v>
      </c>
      <c r="O692" s="25" t="n">
        <v>5215.58</v>
      </c>
      <c r="P692" s="25" t="n">
        <v>20862.34</v>
      </c>
      <c r="Q692" s="27" t="b">
        <f aca="false">TRUE()</f>
        <v>1</v>
      </c>
      <c r="R692" s="27" t="b">
        <f aca="false">FALSE()</f>
        <v>0</v>
      </c>
      <c r="S692" s="27" t="b">
        <f aca="false">FALSE()</f>
        <v>0</v>
      </c>
    </row>
    <row r="693" customFormat="false" ht="15" hidden="false" customHeight="false" outlineLevel="0" collapsed="false">
      <c r="A693" s="25" t="n">
        <v>692</v>
      </c>
      <c r="B693" s="25" t="s">
        <v>1614</v>
      </c>
      <c r="C693" s="25" t="s">
        <v>309</v>
      </c>
      <c r="D693" s="25" t="n">
        <v>20240615</v>
      </c>
      <c r="E693" s="25" t="n">
        <v>32</v>
      </c>
      <c r="F693" s="25" t="n">
        <v>68</v>
      </c>
      <c r="G693" s="25" t="s">
        <v>115</v>
      </c>
      <c r="H693" s="25" t="s">
        <v>2271</v>
      </c>
      <c r="I693" s="25" t="s">
        <v>83</v>
      </c>
      <c r="J693" s="25" t="s">
        <v>246</v>
      </c>
      <c r="K693" s="25" t="n">
        <v>2</v>
      </c>
      <c r="L693" s="25" t="n">
        <v>21978.46</v>
      </c>
      <c r="M693" s="25" t="n">
        <v>0</v>
      </c>
      <c r="N693" s="25" t="n">
        <v>43956.92</v>
      </c>
      <c r="O693" s="25" t="n">
        <v>0</v>
      </c>
      <c r="P693" s="25" t="n">
        <v>43956.92</v>
      </c>
      <c r="Q693" s="27" t="b">
        <f aca="false">FALSE()</f>
        <v>0</v>
      </c>
      <c r="R693" s="27" t="b">
        <f aca="false">FALSE()</f>
        <v>0</v>
      </c>
      <c r="S693" s="27" t="b">
        <f aca="false">FALSE()</f>
        <v>0</v>
      </c>
    </row>
    <row r="694" customFormat="false" ht="15" hidden="false" customHeight="false" outlineLevel="0" collapsed="false">
      <c r="A694" s="25" t="n">
        <v>693</v>
      </c>
      <c r="B694" s="25" t="s">
        <v>1615</v>
      </c>
      <c r="C694" s="25" t="s">
        <v>309</v>
      </c>
      <c r="D694" s="25" t="n">
        <v>20240615</v>
      </c>
      <c r="E694" s="25" t="n">
        <v>32</v>
      </c>
      <c r="F694" s="25" t="n">
        <v>42</v>
      </c>
      <c r="G694" s="25" t="s">
        <v>115</v>
      </c>
      <c r="H694" s="25" t="s">
        <v>2271</v>
      </c>
      <c r="I694" s="25" t="s">
        <v>83</v>
      </c>
      <c r="J694" s="25" t="s">
        <v>246</v>
      </c>
      <c r="K694" s="25" t="n">
        <v>3</v>
      </c>
      <c r="L694" s="25" t="n">
        <v>11284.39</v>
      </c>
      <c r="M694" s="25" t="n">
        <v>10</v>
      </c>
      <c r="N694" s="25" t="n">
        <v>33853.17</v>
      </c>
      <c r="O694" s="25" t="n">
        <v>3385.32</v>
      </c>
      <c r="P694" s="25" t="n">
        <v>30467.85</v>
      </c>
      <c r="Q694" s="27" t="b">
        <f aca="false">FALSE()</f>
        <v>0</v>
      </c>
      <c r="R694" s="27" t="b">
        <f aca="false">FALSE()</f>
        <v>0</v>
      </c>
      <c r="S694" s="27" t="b">
        <f aca="false">FALSE()</f>
        <v>0</v>
      </c>
    </row>
    <row r="695" customFormat="false" ht="15" hidden="false" customHeight="false" outlineLevel="0" collapsed="false">
      <c r="A695" s="25" t="n">
        <v>694</v>
      </c>
      <c r="B695" s="25" t="s">
        <v>1616</v>
      </c>
      <c r="C695" s="25" t="s">
        <v>309</v>
      </c>
      <c r="D695" s="25" t="n">
        <v>20240615</v>
      </c>
      <c r="E695" s="25" t="n">
        <v>32</v>
      </c>
      <c r="F695" s="25" t="n">
        <v>2</v>
      </c>
      <c r="G695" s="25" t="s">
        <v>115</v>
      </c>
      <c r="H695" s="25" t="s">
        <v>2271</v>
      </c>
      <c r="I695" s="25" t="s">
        <v>83</v>
      </c>
      <c r="J695" s="25" t="s">
        <v>246</v>
      </c>
      <c r="K695" s="25" t="n">
        <v>4</v>
      </c>
      <c r="L695" s="25" t="n">
        <v>9953.59</v>
      </c>
      <c r="M695" s="25" t="n">
        <v>20</v>
      </c>
      <c r="N695" s="25" t="n">
        <v>39814.36</v>
      </c>
      <c r="O695" s="25" t="n">
        <v>7962.87</v>
      </c>
      <c r="P695" s="25" t="n">
        <v>31851.49</v>
      </c>
      <c r="Q695" s="27" t="b">
        <f aca="false">FALSE()</f>
        <v>0</v>
      </c>
      <c r="R695" s="27" t="b">
        <f aca="false">FALSE()</f>
        <v>0</v>
      </c>
      <c r="S695" s="27" t="b">
        <f aca="false">FALSE()</f>
        <v>0</v>
      </c>
    </row>
    <row r="696" customFormat="false" ht="15" hidden="false" customHeight="false" outlineLevel="0" collapsed="false">
      <c r="A696" s="25" t="n">
        <v>695</v>
      </c>
      <c r="B696" s="25" t="s">
        <v>1617</v>
      </c>
      <c r="C696" s="25" t="s">
        <v>539</v>
      </c>
      <c r="D696" s="25" t="n">
        <v>20240205</v>
      </c>
      <c r="E696" s="25" t="n">
        <v>105</v>
      </c>
      <c r="F696" s="25" t="n">
        <v>41</v>
      </c>
      <c r="G696" s="25" t="s">
        <v>114</v>
      </c>
      <c r="H696" s="25" t="s">
        <v>25</v>
      </c>
      <c r="I696" s="25" t="s">
        <v>86</v>
      </c>
      <c r="J696" s="25" t="s">
        <v>246</v>
      </c>
      <c r="K696" s="25" t="n">
        <v>5</v>
      </c>
      <c r="L696" s="25" t="n">
        <v>11992.92</v>
      </c>
      <c r="M696" s="25" t="n">
        <v>0</v>
      </c>
      <c r="N696" s="25" t="n">
        <v>59964.6</v>
      </c>
      <c r="O696" s="25" t="n">
        <v>0</v>
      </c>
      <c r="P696" s="25" t="n">
        <v>59964.6</v>
      </c>
      <c r="Q696" s="27" t="b">
        <f aca="false">FALSE()</f>
        <v>0</v>
      </c>
      <c r="R696" s="27" t="b">
        <f aca="false">FALSE()</f>
        <v>0</v>
      </c>
      <c r="S696" s="27" t="b">
        <f aca="false">FALSE()</f>
        <v>0</v>
      </c>
    </row>
    <row r="697" customFormat="false" ht="15" hidden="false" customHeight="false" outlineLevel="0" collapsed="false">
      <c r="A697" s="25" t="n">
        <v>696</v>
      </c>
      <c r="B697" s="25" t="s">
        <v>1618</v>
      </c>
      <c r="C697" s="25" t="s">
        <v>539</v>
      </c>
      <c r="D697" s="25" t="n">
        <v>20240205</v>
      </c>
      <c r="E697" s="25" t="n">
        <v>105</v>
      </c>
      <c r="F697" s="25" t="n">
        <v>35</v>
      </c>
      <c r="G697" s="25" t="s">
        <v>114</v>
      </c>
      <c r="H697" s="25" t="s">
        <v>25</v>
      </c>
      <c r="I697" s="25" t="s">
        <v>86</v>
      </c>
      <c r="J697" s="25" t="s">
        <v>246</v>
      </c>
      <c r="K697" s="25" t="n">
        <v>1</v>
      </c>
      <c r="L697" s="25" t="n">
        <v>1741.05</v>
      </c>
      <c r="M697" s="25" t="n">
        <v>10</v>
      </c>
      <c r="N697" s="25" t="n">
        <v>1741.05</v>
      </c>
      <c r="O697" s="25" t="n">
        <v>174.1</v>
      </c>
      <c r="P697" s="25" t="n">
        <v>1566.95</v>
      </c>
      <c r="Q697" s="27" t="b">
        <f aca="false">FALSE()</f>
        <v>0</v>
      </c>
      <c r="R697" s="27" t="b">
        <f aca="false">FALSE()</f>
        <v>0</v>
      </c>
      <c r="S697" s="27" t="b">
        <f aca="false">FALSE()</f>
        <v>0</v>
      </c>
    </row>
    <row r="698" customFormat="false" ht="15" hidden="false" customHeight="false" outlineLevel="0" collapsed="false">
      <c r="A698" s="25" t="n">
        <v>697</v>
      </c>
      <c r="B698" s="25" t="s">
        <v>1619</v>
      </c>
      <c r="C698" s="25" t="s">
        <v>539</v>
      </c>
      <c r="D698" s="25" t="n">
        <v>20240205</v>
      </c>
      <c r="E698" s="25" t="n">
        <v>105</v>
      </c>
      <c r="F698" s="25" t="n">
        <v>36</v>
      </c>
      <c r="G698" s="25" t="s">
        <v>114</v>
      </c>
      <c r="H698" s="25" t="s">
        <v>25</v>
      </c>
      <c r="I698" s="25" t="s">
        <v>86</v>
      </c>
      <c r="J698" s="25" t="s">
        <v>246</v>
      </c>
      <c r="K698" s="25" t="n">
        <v>4</v>
      </c>
      <c r="L698" s="25" t="n">
        <v>4574.41</v>
      </c>
      <c r="M698" s="25" t="n">
        <v>5</v>
      </c>
      <c r="N698" s="25" t="n">
        <v>18297.64</v>
      </c>
      <c r="O698" s="25" t="n">
        <v>914.88</v>
      </c>
      <c r="P698" s="25" t="n">
        <v>17382.76</v>
      </c>
      <c r="Q698" s="27" t="b">
        <f aca="false">FALSE()</f>
        <v>0</v>
      </c>
      <c r="R698" s="27" t="b">
        <f aca="false">FALSE()</f>
        <v>0</v>
      </c>
      <c r="S698" s="27" t="b">
        <f aca="false">FALSE()</f>
        <v>0</v>
      </c>
    </row>
    <row r="699" customFormat="false" ht="15" hidden="false" customHeight="false" outlineLevel="0" collapsed="false">
      <c r="A699" s="25" t="n">
        <v>698</v>
      </c>
      <c r="B699" s="25" t="s">
        <v>1620</v>
      </c>
      <c r="C699" s="25" t="s">
        <v>424</v>
      </c>
      <c r="D699" s="25" t="n">
        <v>20240825</v>
      </c>
      <c r="E699" s="25" t="n">
        <v>121</v>
      </c>
      <c r="F699" s="25" t="n">
        <v>19</v>
      </c>
      <c r="G699" s="25" t="s">
        <v>113</v>
      </c>
      <c r="H699" s="25" t="s">
        <v>25</v>
      </c>
      <c r="I699" s="25" t="s">
        <v>75</v>
      </c>
      <c r="J699" s="25" t="s">
        <v>242</v>
      </c>
      <c r="K699" s="25" t="n">
        <v>3</v>
      </c>
      <c r="L699" s="25" t="n">
        <v>7877.61</v>
      </c>
      <c r="M699" s="25" t="n">
        <v>20</v>
      </c>
      <c r="N699" s="25" t="n">
        <v>23632.83</v>
      </c>
      <c r="O699" s="25" t="n">
        <v>4726.57</v>
      </c>
      <c r="P699" s="25" t="n">
        <v>18906.26</v>
      </c>
      <c r="Q699" s="27" t="b">
        <f aca="false">FALSE()</f>
        <v>0</v>
      </c>
      <c r="R699" s="27" t="b">
        <f aca="false">FALSE()</f>
        <v>0</v>
      </c>
      <c r="S699" s="27" t="b">
        <f aca="false">FALSE()</f>
        <v>0</v>
      </c>
    </row>
    <row r="700" customFormat="false" ht="15" hidden="false" customHeight="false" outlineLevel="0" collapsed="false">
      <c r="A700" s="25" t="n">
        <v>699</v>
      </c>
      <c r="B700" s="25" t="s">
        <v>1621</v>
      </c>
      <c r="C700" s="25" t="s">
        <v>424</v>
      </c>
      <c r="D700" s="25" t="n">
        <v>20240825</v>
      </c>
      <c r="E700" s="25" t="n">
        <v>121</v>
      </c>
      <c r="F700" s="25" t="n">
        <v>33</v>
      </c>
      <c r="G700" s="25" t="s">
        <v>113</v>
      </c>
      <c r="H700" s="25" t="s">
        <v>25</v>
      </c>
      <c r="I700" s="25" t="s">
        <v>75</v>
      </c>
      <c r="J700" s="25" t="s">
        <v>242</v>
      </c>
      <c r="K700" s="25" t="n">
        <v>4</v>
      </c>
      <c r="L700" s="25" t="n">
        <v>11865.75</v>
      </c>
      <c r="M700" s="25" t="n">
        <v>20</v>
      </c>
      <c r="N700" s="25" t="n">
        <v>47463</v>
      </c>
      <c r="O700" s="25" t="n">
        <v>9492.6</v>
      </c>
      <c r="P700" s="25" t="n">
        <v>37970.4</v>
      </c>
      <c r="Q700" s="27" t="b">
        <f aca="false">FALSE()</f>
        <v>0</v>
      </c>
      <c r="R700" s="27" t="b">
        <f aca="false">FALSE()</f>
        <v>0</v>
      </c>
      <c r="S700" s="27" t="b">
        <f aca="false">FALSE()</f>
        <v>0</v>
      </c>
    </row>
    <row r="701" customFormat="false" ht="15" hidden="false" customHeight="false" outlineLevel="0" collapsed="false">
      <c r="A701" s="25" t="n">
        <v>700</v>
      </c>
      <c r="B701" s="25" t="s">
        <v>1622</v>
      </c>
      <c r="C701" s="25" t="s">
        <v>424</v>
      </c>
      <c r="D701" s="25" t="n">
        <v>20240825</v>
      </c>
      <c r="E701" s="25" t="n">
        <v>121</v>
      </c>
      <c r="F701" s="25" t="n">
        <v>70</v>
      </c>
      <c r="G701" s="25" t="s">
        <v>113</v>
      </c>
      <c r="H701" s="25" t="s">
        <v>25</v>
      </c>
      <c r="I701" s="25" t="s">
        <v>75</v>
      </c>
      <c r="J701" s="25" t="s">
        <v>242</v>
      </c>
      <c r="K701" s="25" t="n">
        <v>1</v>
      </c>
      <c r="L701" s="25" t="n">
        <v>3962.52</v>
      </c>
      <c r="M701" s="25" t="n">
        <v>5</v>
      </c>
      <c r="N701" s="25" t="n">
        <v>3962.52</v>
      </c>
      <c r="O701" s="25" t="n">
        <v>198.13</v>
      </c>
      <c r="P701" s="25" t="n">
        <v>3764.39</v>
      </c>
      <c r="Q701" s="27" t="b">
        <f aca="false">FALSE()</f>
        <v>0</v>
      </c>
      <c r="R701" s="27" t="b">
        <f aca="false">FALSE()</f>
        <v>0</v>
      </c>
      <c r="S701" s="27" t="b">
        <f aca="false">FALSE()</f>
        <v>0</v>
      </c>
    </row>
    <row r="702" customFormat="false" ht="15" hidden="false" customHeight="false" outlineLevel="0" collapsed="false">
      <c r="A702" s="25" t="n">
        <v>701</v>
      </c>
      <c r="B702" s="25" t="s">
        <v>1623</v>
      </c>
      <c r="C702" s="25" t="s">
        <v>425</v>
      </c>
      <c r="D702" s="25" t="n">
        <v>20250326</v>
      </c>
      <c r="E702" s="25" t="n">
        <v>1</v>
      </c>
      <c r="F702" s="25" t="n">
        <v>69</v>
      </c>
      <c r="G702" s="25" t="s">
        <v>114</v>
      </c>
      <c r="H702" s="25" t="s">
        <v>2260</v>
      </c>
      <c r="I702" s="25" t="s">
        <v>75</v>
      </c>
      <c r="J702" s="25" t="s">
        <v>246</v>
      </c>
      <c r="K702" s="25" t="n">
        <v>4</v>
      </c>
      <c r="L702" s="25" t="n">
        <v>25742.49</v>
      </c>
      <c r="M702" s="25" t="n">
        <v>20</v>
      </c>
      <c r="N702" s="25" t="n">
        <v>102969.96</v>
      </c>
      <c r="O702" s="25" t="n">
        <v>20593.99</v>
      </c>
      <c r="P702" s="25" t="n">
        <v>82375.97</v>
      </c>
      <c r="Q702" s="27" t="b">
        <f aca="false">FALSE()</f>
        <v>0</v>
      </c>
      <c r="R702" s="27" t="b">
        <f aca="false">FALSE()</f>
        <v>0</v>
      </c>
      <c r="S702" s="27" t="b">
        <f aca="false">FALSE()</f>
        <v>0</v>
      </c>
    </row>
    <row r="703" customFormat="false" ht="15" hidden="false" customHeight="false" outlineLevel="0" collapsed="false">
      <c r="A703" s="25" t="n">
        <v>702</v>
      </c>
      <c r="B703" s="25" t="s">
        <v>1624</v>
      </c>
      <c r="C703" s="25" t="s">
        <v>444</v>
      </c>
      <c r="D703" s="25" t="n">
        <v>20240627</v>
      </c>
      <c r="E703" s="25" t="n">
        <v>71</v>
      </c>
      <c r="F703" s="25" t="n">
        <v>45</v>
      </c>
      <c r="G703" s="25" t="s">
        <v>115</v>
      </c>
      <c r="H703" s="25" t="s">
        <v>25</v>
      </c>
      <c r="I703" s="25" t="s">
        <v>75</v>
      </c>
      <c r="J703" s="25" t="s">
        <v>250</v>
      </c>
      <c r="K703" s="25" t="n">
        <v>5</v>
      </c>
      <c r="L703" s="25" t="n">
        <v>27280.24</v>
      </c>
      <c r="M703" s="25" t="n">
        <v>20</v>
      </c>
      <c r="N703" s="25" t="n">
        <v>136401.2</v>
      </c>
      <c r="O703" s="25" t="n">
        <v>27280.24</v>
      </c>
      <c r="P703" s="25" t="n">
        <v>109120.96</v>
      </c>
      <c r="Q703" s="27" t="b">
        <f aca="false">FALSE()</f>
        <v>0</v>
      </c>
      <c r="R703" s="27" t="b">
        <f aca="false">FALSE()</f>
        <v>0</v>
      </c>
      <c r="S703" s="27" t="b">
        <f aca="false">FALSE()</f>
        <v>0</v>
      </c>
    </row>
    <row r="704" customFormat="false" ht="15" hidden="false" customHeight="false" outlineLevel="0" collapsed="false">
      <c r="A704" s="25" t="n">
        <v>703</v>
      </c>
      <c r="B704" s="25" t="s">
        <v>1625</v>
      </c>
      <c r="C704" s="25" t="s">
        <v>444</v>
      </c>
      <c r="D704" s="25" t="n">
        <v>20240627</v>
      </c>
      <c r="E704" s="25" t="n">
        <v>71</v>
      </c>
      <c r="F704" s="25" t="n">
        <v>36</v>
      </c>
      <c r="G704" s="25" t="s">
        <v>115</v>
      </c>
      <c r="H704" s="25" t="s">
        <v>25</v>
      </c>
      <c r="I704" s="25" t="s">
        <v>75</v>
      </c>
      <c r="J704" s="25" t="s">
        <v>250</v>
      </c>
      <c r="K704" s="25" t="n">
        <v>1</v>
      </c>
      <c r="L704" s="25" t="n">
        <v>4574.41</v>
      </c>
      <c r="M704" s="25" t="n">
        <v>20</v>
      </c>
      <c r="N704" s="25" t="n">
        <v>4574.41</v>
      </c>
      <c r="O704" s="25" t="n">
        <v>914.88</v>
      </c>
      <c r="P704" s="25" t="n">
        <v>3659.53</v>
      </c>
      <c r="Q704" s="27" t="b">
        <f aca="false">FALSE()</f>
        <v>0</v>
      </c>
      <c r="R704" s="27" t="b">
        <f aca="false">FALSE()</f>
        <v>0</v>
      </c>
      <c r="S704" s="27" t="b">
        <f aca="false">FALSE()</f>
        <v>0</v>
      </c>
    </row>
    <row r="705" customFormat="false" ht="15" hidden="false" customHeight="false" outlineLevel="0" collapsed="false">
      <c r="A705" s="25" t="n">
        <v>704</v>
      </c>
      <c r="B705" s="25" t="s">
        <v>1626</v>
      </c>
      <c r="C705" s="25" t="s">
        <v>341</v>
      </c>
      <c r="D705" s="25" t="n">
        <v>20241125</v>
      </c>
      <c r="E705" s="25" t="n">
        <v>85</v>
      </c>
      <c r="F705" s="25" t="n">
        <v>13</v>
      </c>
      <c r="G705" s="25" t="s">
        <v>113</v>
      </c>
      <c r="H705" s="25" t="s">
        <v>25</v>
      </c>
      <c r="I705" s="25" t="s">
        <v>94</v>
      </c>
      <c r="J705" s="25" t="s">
        <v>242</v>
      </c>
      <c r="K705" s="25" t="n">
        <v>1</v>
      </c>
      <c r="L705" s="25" t="n">
        <v>15622.68</v>
      </c>
      <c r="M705" s="25" t="n">
        <v>15</v>
      </c>
      <c r="N705" s="25" t="n">
        <v>15622.68</v>
      </c>
      <c r="O705" s="25" t="n">
        <v>2343.4</v>
      </c>
      <c r="P705" s="25" t="n">
        <v>13279.28</v>
      </c>
      <c r="Q705" s="27" t="b">
        <f aca="false">FALSE()</f>
        <v>0</v>
      </c>
      <c r="R705" s="27" t="b">
        <f aca="false">FALSE()</f>
        <v>0</v>
      </c>
      <c r="S705" s="27" t="b">
        <f aca="false">FALSE()</f>
        <v>0</v>
      </c>
    </row>
    <row r="706" customFormat="false" ht="15" hidden="false" customHeight="false" outlineLevel="0" collapsed="false">
      <c r="A706" s="25" t="n">
        <v>705</v>
      </c>
      <c r="B706" s="25" t="s">
        <v>1627</v>
      </c>
      <c r="C706" s="25" t="s">
        <v>341</v>
      </c>
      <c r="D706" s="25" t="n">
        <v>20241125</v>
      </c>
      <c r="E706" s="25" t="n">
        <v>85</v>
      </c>
      <c r="F706" s="25" t="n">
        <v>61</v>
      </c>
      <c r="G706" s="25" t="s">
        <v>113</v>
      </c>
      <c r="H706" s="25" t="s">
        <v>25</v>
      </c>
      <c r="I706" s="25" t="s">
        <v>94</v>
      </c>
      <c r="J706" s="25" t="s">
        <v>242</v>
      </c>
      <c r="K706" s="25" t="n">
        <v>2</v>
      </c>
      <c r="L706" s="25" t="n">
        <v>8318.56</v>
      </c>
      <c r="M706" s="25" t="n">
        <v>10</v>
      </c>
      <c r="N706" s="25" t="n">
        <v>16637.12</v>
      </c>
      <c r="O706" s="25" t="n">
        <v>1663.71</v>
      </c>
      <c r="P706" s="25" t="n">
        <v>14973.41</v>
      </c>
      <c r="Q706" s="27" t="b">
        <f aca="false">FALSE()</f>
        <v>0</v>
      </c>
      <c r="R706" s="27" t="b">
        <f aca="false">FALSE()</f>
        <v>0</v>
      </c>
      <c r="S706" s="27" t="b">
        <f aca="false">FALSE()</f>
        <v>0</v>
      </c>
    </row>
    <row r="707" customFormat="false" ht="15" hidden="false" customHeight="false" outlineLevel="0" collapsed="false">
      <c r="A707" s="25" t="n">
        <v>706</v>
      </c>
      <c r="B707" s="25" t="s">
        <v>1628</v>
      </c>
      <c r="C707" s="25" t="s">
        <v>341</v>
      </c>
      <c r="D707" s="25" t="n">
        <v>20241125</v>
      </c>
      <c r="E707" s="25" t="n">
        <v>85</v>
      </c>
      <c r="F707" s="25" t="n">
        <v>45</v>
      </c>
      <c r="G707" s="25" t="s">
        <v>113</v>
      </c>
      <c r="H707" s="25" t="s">
        <v>25</v>
      </c>
      <c r="I707" s="25" t="s">
        <v>94</v>
      </c>
      <c r="J707" s="25" t="s">
        <v>242</v>
      </c>
      <c r="K707" s="25" t="n">
        <v>5</v>
      </c>
      <c r="L707" s="25" t="n">
        <v>27280.24</v>
      </c>
      <c r="M707" s="25" t="n">
        <v>15</v>
      </c>
      <c r="N707" s="25" t="n">
        <v>136401.2</v>
      </c>
      <c r="O707" s="25" t="n">
        <v>20460.18</v>
      </c>
      <c r="P707" s="25" t="n">
        <v>115941.02</v>
      </c>
      <c r="Q707" s="27" t="b">
        <f aca="false">FALSE()</f>
        <v>0</v>
      </c>
      <c r="R707" s="27" t="b">
        <f aca="false">FALSE()</f>
        <v>0</v>
      </c>
      <c r="S707" s="27" t="b">
        <f aca="false">FALSE()</f>
        <v>0</v>
      </c>
    </row>
    <row r="708" customFormat="false" ht="15" hidden="false" customHeight="false" outlineLevel="0" collapsed="false">
      <c r="A708" s="25" t="n">
        <v>707</v>
      </c>
      <c r="B708" s="25" t="s">
        <v>1629</v>
      </c>
      <c r="C708" s="25" t="s">
        <v>341</v>
      </c>
      <c r="D708" s="25" t="n">
        <v>20241125</v>
      </c>
      <c r="E708" s="25" t="n">
        <v>85</v>
      </c>
      <c r="F708" s="25" t="n">
        <v>38</v>
      </c>
      <c r="G708" s="25" t="s">
        <v>113</v>
      </c>
      <c r="H708" s="25" t="s">
        <v>25</v>
      </c>
      <c r="I708" s="25" t="s">
        <v>94</v>
      </c>
      <c r="J708" s="25" t="s">
        <v>242</v>
      </c>
      <c r="K708" s="25" t="n">
        <v>4</v>
      </c>
      <c r="L708" s="25" t="n">
        <v>25201.06</v>
      </c>
      <c r="M708" s="25" t="n">
        <v>20</v>
      </c>
      <c r="N708" s="25" t="n">
        <v>100804.24</v>
      </c>
      <c r="O708" s="25" t="n">
        <v>20160.85</v>
      </c>
      <c r="P708" s="25" t="n">
        <v>80643.39</v>
      </c>
      <c r="Q708" s="27" t="b">
        <f aca="false">FALSE()</f>
        <v>0</v>
      </c>
      <c r="R708" s="27" t="b">
        <f aca="false">FALSE()</f>
        <v>0</v>
      </c>
      <c r="S708" s="27" t="b">
        <f aca="false">FALSE()</f>
        <v>0</v>
      </c>
    </row>
    <row r="709" customFormat="false" ht="15" hidden="false" customHeight="false" outlineLevel="0" collapsed="false">
      <c r="A709" s="25" t="n">
        <v>708</v>
      </c>
      <c r="B709" s="25" t="s">
        <v>1630</v>
      </c>
      <c r="C709" s="25" t="s">
        <v>451</v>
      </c>
      <c r="D709" s="25" t="n">
        <v>20251007</v>
      </c>
      <c r="E709" s="25" t="n">
        <v>88</v>
      </c>
      <c r="F709" s="25" t="n">
        <v>15</v>
      </c>
      <c r="G709" s="25" t="s">
        <v>114</v>
      </c>
      <c r="H709" s="25" t="s">
        <v>25</v>
      </c>
      <c r="I709" s="25" t="s">
        <v>94</v>
      </c>
      <c r="J709" s="25" t="s">
        <v>242</v>
      </c>
      <c r="K709" s="25" t="n">
        <v>3</v>
      </c>
      <c r="L709" s="25" t="n">
        <v>4516.1</v>
      </c>
      <c r="M709" s="25" t="n">
        <v>0</v>
      </c>
      <c r="N709" s="25" t="n">
        <v>13548.3</v>
      </c>
      <c r="O709" s="25" t="n">
        <v>0</v>
      </c>
      <c r="P709" s="25" t="n">
        <v>13548.3</v>
      </c>
      <c r="Q709" s="27" t="b">
        <f aca="false">FALSE()</f>
        <v>0</v>
      </c>
      <c r="R709" s="27" t="b">
        <f aca="false">FALSE()</f>
        <v>0</v>
      </c>
      <c r="S709" s="27" t="b">
        <f aca="false">FALSE()</f>
        <v>0</v>
      </c>
    </row>
    <row r="710" customFormat="false" ht="15" hidden="false" customHeight="false" outlineLevel="0" collapsed="false">
      <c r="A710" s="25" t="n">
        <v>709</v>
      </c>
      <c r="B710" s="25" t="s">
        <v>1631</v>
      </c>
      <c r="C710" s="25" t="s">
        <v>321</v>
      </c>
      <c r="D710" s="25" t="n">
        <v>20250831</v>
      </c>
      <c r="E710" s="25" t="n">
        <v>111</v>
      </c>
      <c r="F710" s="25" t="n">
        <v>66</v>
      </c>
      <c r="G710" s="25" t="s">
        <v>115</v>
      </c>
      <c r="H710" s="25" t="s">
        <v>25</v>
      </c>
      <c r="I710" s="25" t="s">
        <v>1738</v>
      </c>
      <c r="J710" s="25" t="s">
        <v>269</v>
      </c>
      <c r="K710" s="25" t="n">
        <v>2</v>
      </c>
      <c r="L710" s="25" t="n">
        <v>19639.31</v>
      </c>
      <c r="M710" s="25" t="n">
        <v>10</v>
      </c>
      <c r="N710" s="25" t="n">
        <v>39278.62</v>
      </c>
      <c r="O710" s="25" t="n">
        <v>3927.86</v>
      </c>
      <c r="P710" s="25" t="n">
        <v>35350.76</v>
      </c>
      <c r="Q710" s="27" t="b">
        <f aca="false">FALSE()</f>
        <v>0</v>
      </c>
      <c r="R710" s="27" t="b">
        <f aca="false">FALSE()</f>
        <v>0</v>
      </c>
      <c r="S710" s="27" t="b">
        <f aca="false">FALSE()</f>
        <v>0</v>
      </c>
    </row>
    <row r="711" customFormat="false" ht="15" hidden="false" customHeight="false" outlineLevel="0" collapsed="false">
      <c r="A711" s="25" t="n">
        <v>710</v>
      </c>
      <c r="B711" s="25" t="s">
        <v>1632</v>
      </c>
      <c r="C711" s="25" t="s">
        <v>321</v>
      </c>
      <c r="D711" s="25" t="n">
        <v>20250831</v>
      </c>
      <c r="E711" s="25" t="n">
        <v>111</v>
      </c>
      <c r="F711" s="25" t="n">
        <v>30</v>
      </c>
      <c r="G711" s="25" t="s">
        <v>115</v>
      </c>
      <c r="H711" s="25" t="s">
        <v>25</v>
      </c>
      <c r="I711" s="25" t="s">
        <v>1738</v>
      </c>
      <c r="J711" s="25" t="s">
        <v>269</v>
      </c>
      <c r="K711" s="25" t="n">
        <v>4</v>
      </c>
      <c r="L711" s="25" t="n">
        <v>20253.93</v>
      </c>
      <c r="M711" s="25" t="n">
        <v>15</v>
      </c>
      <c r="N711" s="25" t="n">
        <v>81015.72</v>
      </c>
      <c r="O711" s="25" t="n">
        <v>12152.36</v>
      </c>
      <c r="P711" s="25" t="n">
        <v>68863.36</v>
      </c>
      <c r="Q711" s="27" t="b">
        <f aca="false">FALSE()</f>
        <v>0</v>
      </c>
      <c r="R711" s="27" t="b">
        <f aca="false">FALSE()</f>
        <v>0</v>
      </c>
      <c r="S711" s="27" t="b">
        <f aca="false">FALSE()</f>
        <v>0</v>
      </c>
    </row>
    <row r="712" customFormat="false" ht="15" hidden="false" customHeight="false" outlineLevel="0" collapsed="false">
      <c r="A712" s="25" t="n">
        <v>711</v>
      </c>
      <c r="B712" s="25" t="s">
        <v>1633</v>
      </c>
      <c r="C712" s="25" t="s">
        <v>461</v>
      </c>
      <c r="D712" s="25" t="n">
        <v>20240309</v>
      </c>
      <c r="E712" s="25" t="n">
        <v>65</v>
      </c>
      <c r="F712" s="25" t="n">
        <v>28</v>
      </c>
      <c r="G712" s="25" t="s">
        <v>114</v>
      </c>
      <c r="H712" s="25" t="s">
        <v>25</v>
      </c>
      <c r="I712" s="25" t="s">
        <v>1743</v>
      </c>
      <c r="J712" s="25" t="s">
        <v>269</v>
      </c>
      <c r="K712" s="25" t="n">
        <v>2</v>
      </c>
      <c r="L712" s="25" t="n">
        <v>7218.53</v>
      </c>
      <c r="M712" s="25" t="n">
        <v>0</v>
      </c>
      <c r="N712" s="25" t="n">
        <v>14437.06</v>
      </c>
      <c r="O712" s="25" t="n">
        <v>0</v>
      </c>
      <c r="P712" s="25" t="n">
        <v>14437.06</v>
      </c>
      <c r="Q712" s="27" t="b">
        <f aca="false">FALSE()</f>
        <v>0</v>
      </c>
      <c r="R712" s="27" t="b">
        <f aca="false">FALSE()</f>
        <v>0</v>
      </c>
      <c r="S712" s="27" t="b">
        <f aca="false">FALSE()</f>
        <v>0</v>
      </c>
    </row>
    <row r="713" customFormat="false" ht="15" hidden="false" customHeight="false" outlineLevel="0" collapsed="false">
      <c r="A713" s="25" t="n">
        <v>712</v>
      </c>
      <c r="B713" s="25" t="s">
        <v>1634</v>
      </c>
      <c r="C713" s="25" t="s">
        <v>461</v>
      </c>
      <c r="D713" s="25" t="n">
        <v>20240309</v>
      </c>
      <c r="E713" s="25" t="n">
        <v>65</v>
      </c>
      <c r="F713" s="25" t="n">
        <v>34</v>
      </c>
      <c r="G713" s="25" t="s">
        <v>114</v>
      </c>
      <c r="H713" s="25" t="s">
        <v>25</v>
      </c>
      <c r="I713" s="25" t="s">
        <v>1743</v>
      </c>
      <c r="J713" s="25" t="s">
        <v>269</v>
      </c>
      <c r="K713" s="25" t="n">
        <v>2</v>
      </c>
      <c r="L713" s="25" t="n">
        <v>11932.31</v>
      </c>
      <c r="M713" s="25" t="n">
        <v>0</v>
      </c>
      <c r="N713" s="25" t="n">
        <v>23864.62</v>
      </c>
      <c r="O713" s="25" t="n">
        <v>0</v>
      </c>
      <c r="P713" s="25" t="n">
        <v>23864.62</v>
      </c>
      <c r="Q713" s="27" t="b">
        <f aca="false">FALSE()</f>
        <v>0</v>
      </c>
      <c r="R713" s="27" t="b">
        <f aca="false">FALSE()</f>
        <v>0</v>
      </c>
      <c r="S713" s="27" t="b">
        <f aca="false">FALSE()</f>
        <v>0</v>
      </c>
    </row>
    <row r="714" customFormat="false" ht="15" hidden="false" customHeight="false" outlineLevel="0" collapsed="false">
      <c r="A714" s="25" t="n">
        <v>713</v>
      </c>
      <c r="B714" s="25" t="s">
        <v>1635</v>
      </c>
      <c r="C714" s="25" t="s">
        <v>461</v>
      </c>
      <c r="D714" s="25" t="n">
        <v>20240309</v>
      </c>
      <c r="E714" s="25" t="n">
        <v>65</v>
      </c>
      <c r="F714" s="25" t="n">
        <v>25</v>
      </c>
      <c r="G714" s="25" t="s">
        <v>114</v>
      </c>
      <c r="H714" s="25" t="s">
        <v>25</v>
      </c>
      <c r="I714" s="25" t="s">
        <v>1743</v>
      </c>
      <c r="J714" s="25" t="s">
        <v>269</v>
      </c>
      <c r="K714" s="25" t="n">
        <v>1</v>
      </c>
      <c r="L714" s="25" t="n">
        <v>19632.52</v>
      </c>
      <c r="M714" s="25" t="n">
        <v>10</v>
      </c>
      <c r="N714" s="25" t="n">
        <v>19632.52</v>
      </c>
      <c r="O714" s="25" t="n">
        <v>1963.25</v>
      </c>
      <c r="P714" s="25" t="n">
        <v>17669.27</v>
      </c>
      <c r="Q714" s="27" t="b">
        <f aca="false">FALSE()</f>
        <v>0</v>
      </c>
      <c r="R714" s="27" t="b">
        <f aca="false">FALSE()</f>
        <v>0</v>
      </c>
      <c r="S714" s="27" t="b">
        <f aca="false">FALSE()</f>
        <v>0</v>
      </c>
    </row>
    <row r="715" customFormat="false" ht="15" hidden="false" customHeight="false" outlineLevel="0" collapsed="false">
      <c r="A715" s="25" t="n">
        <v>714</v>
      </c>
      <c r="B715" s="25" t="s">
        <v>1636</v>
      </c>
      <c r="C715" s="25" t="s">
        <v>461</v>
      </c>
      <c r="D715" s="25" t="n">
        <v>20240309</v>
      </c>
      <c r="E715" s="25" t="n">
        <v>65</v>
      </c>
      <c r="F715" s="25" t="n">
        <v>56</v>
      </c>
      <c r="G715" s="25" t="s">
        <v>114</v>
      </c>
      <c r="H715" s="25" t="s">
        <v>25</v>
      </c>
      <c r="I715" s="25" t="s">
        <v>1743</v>
      </c>
      <c r="J715" s="25" t="s">
        <v>269</v>
      </c>
      <c r="K715" s="25" t="n">
        <v>1</v>
      </c>
      <c r="L715" s="25" t="n">
        <v>16535.66</v>
      </c>
      <c r="M715" s="25" t="n">
        <v>20</v>
      </c>
      <c r="N715" s="25" t="n">
        <v>16535.66</v>
      </c>
      <c r="O715" s="25" t="n">
        <v>3307.13</v>
      </c>
      <c r="P715" s="25" t="n">
        <v>13228.53</v>
      </c>
      <c r="Q715" s="27" t="b">
        <f aca="false">FALSE()</f>
        <v>0</v>
      </c>
      <c r="R715" s="27" t="b">
        <f aca="false">FALSE()</f>
        <v>0</v>
      </c>
      <c r="S715" s="27" t="b">
        <f aca="false">FALSE()</f>
        <v>0</v>
      </c>
    </row>
    <row r="716" customFormat="false" ht="15" hidden="false" customHeight="false" outlineLevel="0" collapsed="false">
      <c r="A716" s="25" t="n">
        <v>715</v>
      </c>
      <c r="B716" s="25" t="s">
        <v>1637</v>
      </c>
      <c r="C716" s="25" t="s">
        <v>353</v>
      </c>
      <c r="D716" s="25" t="n">
        <v>20241115</v>
      </c>
      <c r="E716" s="25" t="n">
        <v>120</v>
      </c>
      <c r="F716" s="25" t="n">
        <v>61</v>
      </c>
      <c r="G716" s="25" t="s">
        <v>114</v>
      </c>
      <c r="H716" s="25" t="s">
        <v>2271</v>
      </c>
      <c r="I716" s="25" t="s">
        <v>86</v>
      </c>
      <c r="J716" s="25" t="s">
        <v>269</v>
      </c>
      <c r="K716" s="25" t="n">
        <v>4</v>
      </c>
      <c r="L716" s="25" t="n">
        <v>8318.56</v>
      </c>
      <c r="M716" s="25" t="n">
        <v>10</v>
      </c>
      <c r="N716" s="25" t="n">
        <v>33274.24</v>
      </c>
      <c r="O716" s="25" t="n">
        <v>3327.42</v>
      </c>
      <c r="P716" s="25" t="n">
        <v>29946.82</v>
      </c>
      <c r="Q716" s="27" t="b">
        <f aca="false">FALSE()</f>
        <v>0</v>
      </c>
      <c r="R716" s="27" t="b">
        <f aca="false">FALSE()</f>
        <v>0</v>
      </c>
      <c r="S716" s="27" t="b">
        <f aca="false">FALSE()</f>
        <v>0</v>
      </c>
    </row>
    <row r="717" customFormat="false" ht="15" hidden="false" customHeight="false" outlineLevel="0" collapsed="false">
      <c r="A717" s="25" t="n">
        <v>716</v>
      </c>
      <c r="B717" s="25" t="s">
        <v>1638</v>
      </c>
      <c r="C717" s="25" t="s">
        <v>353</v>
      </c>
      <c r="D717" s="25" t="n">
        <v>20241115</v>
      </c>
      <c r="E717" s="25" t="n">
        <v>120</v>
      </c>
      <c r="F717" s="25" t="n">
        <v>15</v>
      </c>
      <c r="G717" s="25" t="s">
        <v>114</v>
      </c>
      <c r="H717" s="25" t="s">
        <v>2271</v>
      </c>
      <c r="I717" s="25" t="s">
        <v>86</v>
      </c>
      <c r="J717" s="25" t="s">
        <v>269</v>
      </c>
      <c r="K717" s="25" t="n">
        <v>2</v>
      </c>
      <c r="L717" s="25" t="n">
        <v>4516.1</v>
      </c>
      <c r="M717" s="25" t="n">
        <v>0</v>
      </c>
      <c r="N717" s="25" t="n">
        <v>9032.2</v>
      </c>
      <c r="O717" s="25" t="n">
        <v>0</v>
      </c>
      <c r="P717" s="25" t="n">
        <v>9032.2</v>
      </c>
      <c r="Q717" s="27" t="b">
        <f aca="false">FALSE()</f>
        <v>0</v>
      </c>
      <c r="R717" s="27" t="b">
        <f aca="false">FALSE()</f>
        <v>0</v>
      </c>
      <c r="S717" s="27" t="b">
        <f aca="false">FALSE()</f>
        <v>0</v>
      </c>
    </row>
    <row r="718" customFormat="false" ht="15" hidden="false" customHeight="false" outlineLevel="0" collapsed="false">
      <c r="A718" s="25" t="n">
        <v>717</v>
      </c>
      <c r="B718" s="25" t="s">
        <v>1639</v>
      </c>
      <c r="C718" s="25" t="s">
        <v>305</v>
      </c>
      <c r="D718" s="25" t="n">
        <v>20250110</v>
      </c>
      <c r="E718" s="25" t="n">
        <v>148</v>
      </c>
      <c r="F718" s="25" t="n">
        <v>29</v>
      </c>
      <c r="G718" s="25" t="s">
        <v>113</v>
      </c>
      <c r="H718" s="25" t="s">
        <v>25</v>
      </c>
      <c r="I718" s="25" t="s">
        <v>94</v>
      </c>
      <c r="J718" s="25" t="s">
        <v>242</v>
      </c>
      <c r="K718" s="25" t="n">
        <v>3</v>
      </c>
      <c r="L718" s="25" t="n">
        <v>7855.79</v>
      </c>
      <c r="M718" s="25" t="n">
        <v>0</v>
      </c>
      <c r="N718" s="25" t="n">
        <v>23567.37</v>
      </c>
      <c r="O718" s="25" t="n">
        <v>0</v>
      </c>
      <c r="P718" s="25" t="n">
        <v>23567.37</v>
      </c>
      <c r="Q718" s="27" t="b">
        <f aca="false">FALSE()</f>
        <v>0</v>
      </c>
      <c r="R718" s="27" t="b">
        <f aca="false">FALSE()</f>
        <v>0</v>
      </c>
      <c r="S718" s="27" t="b">
        <f aca="false">FALSE()</f>
        <v>0</v>
      </c>
    </row>
    <row r="719" customFormat="false" ht="15" hidden="false" customHeight="false" outlineLevel="0" collapsed="false">
      <c r="A719" s="25" t="n">
        <v>718</v>
      </c>
      <c r="B719" s="25" t="s">
        <v>1640</v>
      </c>
      <c r="C719" s="25" t="s">
        <v>305</v>
      </c>
      <c r="D719" s="25" t="n">
        <v>20250110</v>
      </c>
      <c r="E719" s="25" t="n">
        <v>148</v>
      </c>
      <c r="F719" s="25" t="n">
        <v>27</v>
      </c>
      <c r="G719" s="25" t="s">
        <v>113</v>
      </c>
      <c r="H719" s="25" t="s">
        <v>25</v>
      </c>
      <c r="I719" s="25" t="s">
        <v>94</v>
      </c>
      <c r="J719" s="25" t="s">
        <v>242</v>
      </c>
      <c r="K719" s="25" t="n">
        <v>2</v>
      </c>
      <c r="L719" s="25" t="n">
        <v>20550.39</v>
      </c>
      <c r="M719" s="25" t="n">
        <v>10</v>
      </c>
      <c r="N719" s="25" t="n">
        <v>41100.78</v>
      </c>
      <c r="O719" s="25" t="n">
        <v>4110.08</v>
      </c>
      <c r="P719" s="25" t="n">
        <v>36990.7</v>
      </c>
      <c r="Q719" s="27" t="b">
        <f aca="false">FALSE()</f>
        <v>0</v>
      </c>
      <c r="R719" s="27" t="b">
        <f aca="false">FALSE()</f>
        <v>0</v>
      </c>
      <c r="S719" s="27" t="b">
        <f aca="false">FALSE()</f>
        <v>0</v>
      </c>
    </row>
    <row r="720" customFormat="false" ht="15" hidden="false" customHeight="false" outlineLevel="0" collapsed="false">
      <c r="A720" s="25" t="n">
        <v>719</v>
      </c>
      <c r="B720" s="25" t="s">
        <v>1641</v>
      </c>
      <c r="C720" s="25" t="s">
        <v>305</v>
      </c>
      <c r="D720" s="25" t="n">
        <v>20250110</v>
      </c>
      <c r="E720" s="25" t="n">
        <v>148</v>
      </c>
      <c r="F720" s="25" t="n">
        <v>25</v>
      </c>
      <c r="G720" s="25" t="s">
        <v>113</v>
      </c>
      <c r="H720" s="25" t="s">
        <v>25</v>
      </c>
      <c r="I720" s="25" t="s">
        <v>94</v>
      </c>
      <c r="J720" s="25" t="s">
        <v>242</v>
      </c>
      <c r="K720" s="25" t="n">
        <v>1</v>
      </c>
      <c r="L720" s="25" t="n">
        <v>19632.52</v>
      </c>
      <c r="M720" s="25" t="n">
        <v>0</v>
      </c>
      <c r="N720" s="25" t="n">
        <v>19632.52</v>
      </c>
      <c r="O720" s="25" t="n">
        <v>0</v>
      </c>
      <c r="P720" s="25" t="n">
        <v>19632.52</v>
      </c>
      <c r="Q720" s="27" t="b">
        <f aca="false">FALSE()</f>
        <v>0</v>
      </c>
      <c r="R720" s="27" t="b">
        <f aca="false">FALSE()</f>
        <v>0</v>
      </c>
      <c r="S720" s="27" t="b">
        <f aca="false">FALSE()</f>
        <v>0</v>
      </c>
    </row>
    <row r="721" customFormat="false" ht="15" hidden="false" customHeight="false" outlineLevel="0" collapsed="false">
      <c r="A721" s="25" t="n">
        <v>720</v>
      </c>
      <c r="B721" s="25" t="s">
        <v>1642</v>
      </c>
      <c r="C721" s="25" t="s">
        <v>473</v>
      </c>
      <c r="D721" s="25" t="n">
        <v>20240725</v>
      </c>
      <c r="E721" s="25" t="n">
        <v>106</v>
      </c>
      <c r="F721" s="25" t="n">
        <v>8</v>
      </c>
      <c r="G721" s="25" t="s">
        <v>115</v>
      </c>
      <c r="H721" s="25" t="s">
        <v>25</v>
      </c>
      <c r="I721" s="25" t="s">
        <v>79</v>
      </c>
      <c r="J721" s="25" t="s">
        <v>242</v>
      </c>
      <c r="K721" s="25" t="n">
        <v>1</v>
      </c>
      <c r="L721" s="25" t="n">
        <v>15176.98</v>
      </c>
      <c r="M721" s="25" t="n">
        <v>20</v>
      </c>
      <c r="N721" s="25" t="n">
        <v>15176.98</v>
      </c>
      <c r="O721" s="25" t="n">
        <v>3035.4</v>
      </c>
      <c r="P721" s="25" t="n">
        <v>12141.58</v>
      </c>
      <c r="Q721" s="27" t="b">
        <f aca="false">FALSE()</f>
        <v>0</v>
      </c>
      <c r="R721" s="27" t="b">
        <f aca="false">FALSE()</f>
        <v>0</v>
      </c>
      <c r="S721" s="27" t="b">
        <f aca="false">FALSE()</f>
        <v>0</v>
      </c>
    </row>
    <row r="722" customFormat="false" ht="15" hidden="false" customHeight="false" outlineLevel="0" collapsed="false">
      <c r="A722" s="25" t="n">
        <v>721</v>
      </c>
      <c r="B722" s="25" t="s">
        <v>1643</v>
      </c>
      <c r="C722" s="25" t="s">
        <v>332</v>
      </c>
      <c r="D722" s="25" t="n">
        <v>20250709</v>
      </c>
      <c r="E722" s="25" t="n">
        <v>144</v>
      </c>
      <c r="F722" s="25" t="n">
        <v>63</v>
      </c>
      <c r="G722" s="25" t="s">
        <v>114</v>
      </c>
      <c r="H722" s="25" t="s">
        <v>25</v>
      </c>
      <c r="I722" s="25" t="s">
        <v>86</v>
      </c>
      <c r="J722" s="25" t="s">
        <v>242</v>
      </c>
      <c r="K722" s="25" t="n">
        <v>1</v>
      </c>
      <c r="L722" s="25" t="n">
        <v>9269.43</v>
      </c>
      <c r="M722" s="25" t="n">
        <v>10</v>
      </c>
      <c r="N722" s="25" t="n">
        <v>9269.43</v>
      </c>
      <c r="O722" s="25" t="n">
        <v>926.94</v>
      </c>
      <c r="P722" s="25" t="n">
        <v>8342.49</v>
      </c>
      <c r="Q722" s="27" t="b">
        <f aca="false">FALSE()</f>
        <v>0</v>
      </c>
      <c r="R722" s="27" t="b">
        <f aca="false">FALSE()</f>
        <v>0</v>
      </c>
      <c r="S722" s="27" t="b">
        <f aca="false">FALSE()</f>
        <v>0</v>
      </c>
    </row>
    <row r="723" customFormat="false" ht="15" hidden="false" customHeight="false" outlineLevel="0" collapsed="false">
      <c r="A723" s="25" t="n">
        <v>722</v>
      </c>
      <c r="B723" s="25" t="s">
        <v>1644</v>
      </c>
      <c r="C723" s="25" t="s">
        <v>273</v>
      </c>
      <c r="D723" s="25" t="n">
        <v>20240623</v>
      </c>
      <c r="E723" s="25" t="n">
        <v>50</v>
      </c>
      <c r="F723" s="25" t="n">
        <v>25</v>
      </c>
      <c r="G723" s="25" t="s">
        <v>114</v>
      </c>
      <c r="H723" s="25" t="s">
        <v>25</v>
      </c>
      <c r="I723" s="25" t="s">
        <v>79</v>
      </c>
      <c r="J723" s="25" t="s">
        <v>269</v>
      </c>
      <c r="K723" s="25" t="n">
        <v>3</v>
      </c>
      <c r="L723" s="25" t="n">
        <v>19632.52</v>
      </c>
      <c r="M723" s="25" t="n">
        <v>15</v>
      </c>
      <c r="N723" s="25" t="n">
        <v>58897.56</v>
      </c>
      <c r="O723" s="25" t="n">
        <v>8834.63</v>
      </c>
      <c r="P723" s="25" t="n">
        <v>50062.93</v>
      </c>
      <c r="Q723" s="27" t="b">
        <f aca="false">FALSE()</f>
        <v>0</v>
      </c>
      <c r="R723" s="27" t="b">
        <f aca="false">FALSE()</f>
        <v>0</v>
      </c>
      <c r="S723" s="27" t="b">
        <f aca="false">FALSE()</f>
        <v>0</v>
      </c>
    </row>
    <row r="724" customFormat="false" ht="15" hidden="false" customHeight="false" outlineLevel="0" collapsed="false">
      <c r="A724" s="25" t="n">
        <v>723</v>
      </c>
      <c r="B724" s="25" t="s">
        <v>1645</v>
      </c>
      <c r="C724" s="25" t="s">
        <v>273</v>
      </c>
      <c r="D724" s="25" t="n">
        <v>20240623</v>
      </c>
      <c r="E724" s="25" t="n">
        <v>50</v>
      </c>
      <c r="F724" s="25" t="n">
        <v>37</v>
      </c>
      <c r="G724" s="25" t="s">
        <v>114</v>
      </c>
      <c r="H724" s="25" t="s">
        <v>25</v>
      </c>
      <c r="I724" s="25" t="s">
        <v>79</v>
      </c>
      <c r="J724" s="25" t="s">
        <v>269</v>
      </c>
      <c r="K724" s="25" t="n">
        <v>3</v>
      </c>
      <c r="L724" s="25" t="n">
        <v>16084.14</v>
      </c>
      <c r="M724" s="25" t="n">
        <v>5</v>
      </c>
      <c r="N724" s="25" t="n">
        <v>48252.42</v>
      </c>
      <c r="O724" s="25" t="n">
        <v>2412.62</v>
      </c>
      <c r="P724" s="25" t="n">
        <v>45839.8</v>
      </c>
      <c r="Q724" s="27" t="b">
        <f aca="false">FALSE()</f>
        <v>0</v>
      </c>
      <c r="R724" s="27" t="b">
        <f aca="false">FALSE()</f>
        <v>0</v>
      </c>
      <c r="S724" s="27" t="b">
        <f aca="false">FALSE()</f>
        <v>0</v>
      </c>
    </row>
    <row r="725" customFormat="false" ht="15" hidden="false" customHeight="false" outlineLevel="0" collapsed="false">
      <c r="A725" s="25" t="n">
        <v>724</v>
      </c>
      <c r="B725" s="25" t="s">
        <v>1646</v>
      </c>
      <c r="C725" s="25" t="s">
        <v>273</v>
      </c>
      <c r="D725" s="25" t="n">
        <v>20240623</v>
      </c>
      <c r="E725" s="25" t="n">
        <v>50</v>
      </c>
      <c r="F725" s="25" t="n">
        <v>48</v>
      </c>
      <c r="G725" s="25" t="s">
        <v>114</v>
      </c>
      <c r="H725" s="25" t="s">
        <v>25</v>
      </c>
      <c r="I725" s="25" t="s">
        <v>79</v>
      </c>
      <c r="J725" s="25" t="s">
        <v>269</v>
      </c>
      <c r="K725" s="25" t="n">
        <v>4</v>
      </c>
      <c r="L725" s="25" t="n">
        <v>25643.17</v>
      </c>
      <c r="M725" s="25" t="n">
        <v>10</v>
      </c>
      <c r="N725" s="25" t="n">
        <v>102572.68</v>
      </c>
      <c r="O725" s="25" t="n">
        <v>10257.27</v>
      </c>
      <c r="P725" s="25" t="n">
        <v>92315.41</v>
      </c>
      <c r="Q725" s="27" t="b">
        <f aca="false">FALSE()</f>
        <v>0</v>
      </c>
      <c r="R725" s="27" t="b">
        <f aca="false">FALSE()</f>
        <v>0</v>
      </c>
      <c r="S725" s="27" t="b">
        <f aca="false">FALSE()</f>
        <v>0</v>
      </c>
    </row>
    <row r="726" customFormat="false" ht="15" hidden="false" customHeight="false" outlineLevel="0" collapsed="false">
      <c r="A726" s="25" t="n">
        <v>725</v>
      </c>
      <c r="B726" s="25" t="s">
        <v>1647</v>
      </c>
      <c r="C726" s="25" t="s">
        <v>316</v>
      </c>
      <c r="D726" s="25" t="n">
        <v>20240824</v>
      </c>
      <c r="E726" s="25" t="n">
        <v>57</v>
      </c>
      <c r="F726" s="25" t="n">
        <v>43</v>
      </c>
      <c r="G726" s="25" t="s">
        <v>115</v>
      </c>
      <c r="H726" s="25" t="s">
        <v>25</v>
      </c>
      <c r="I726" s="25" t="s">
        <v>83</v>
      </c>
      <c r="J726" s="25" t="s">
        <v>250</v>
      </c>
      <c r="K726" s="25" t="n">
        <v>1</v>
      </c>
      <c r="L726" s="25" t="n">
        <v>4511.74</v>
      </c>
      <c r="M726" s="25" t="n">
        <v>0</v>
      </c>
      <c r="N726" s="25" t="n">
        <v>4511.74</v>
      </c>
      <c r="O726" s="25" t="n">
        <v>0</v>
      </c>
      <c r="P726" s="25" t="n">
        <v>4511.74</v>
      </c>
      <c r="Q726" s="27" t="b">
        <f aca="false">FALSE()</f>
        <v>0</v>
      </c>
      <c r="R726" s="27" t="b">
        <f aca="false">FALSE()</f>
        <v>0</v>
      </c>
      <c r="S726" s="27" t="b">
        <f aca="false">FALSE()</f>
        <v>0</v>
      </c>
    </row>
    <row r="727" customFormat="false" ht="15" hidden="false" customHeight="false" outlineLevel="0" collapsed="false">
      <c r="A727" s="25" t="n">
        <v>726</v>
      </c>
      <c r="B727" s="25" t="s">
        <v>1649</v>
      </c>
      <c r="C727" s="25" t="s">
        <v>501</v>
      </c>
      <c r="D727" s="25" t="n">
        <v>20241022</v>
      </c>
      <c r="E727" s="25" t="n">
        <v>47</v>
      </c>
      <c r="F727" s="25" t="n">
        <v>2</v>
      </c>
      <c r="G727" s="25" t="s">
        <v>113</v>
      </c>
      <c r="H727" s="25" t="s">
        <v>2267</v>
      </c>
      <c r="I727" s="25" t="s">
        <v>83</v>
      </c>
      <c r="J727" s="25" t="s">
        <v>246</v>
      </c>
      <c r="K727" s="25" t="n">
        <v>2</v>
      </c>
      <c r="L727" s="25" t="n">
        <v>9953.59</v>
      </c>
      <c r="M727" s="25" t="n">
        <v>0</v>
      </c>
      <c r="N727" s="25" t="n">
        <v>19907.18</v>
      </c>
      <c r="O727" s="25" t="n">
        <v>0</v>
      </c>
      <c r="P727" s="25" t="n">
        <v>19907.18</v>
      </c>
      <c r="Q727" s="27" t="b">
        <f aca="false">FALSE()</f>
        <v>0</v>
      </c>
      <c r="R727" s="27" t="b">
        <f aca="false">FALSE()</f>
        <v>0</v>
      </c>
      <c r="S727" s="27" t="b">
        <f aca="false">FALSE()</f>
        <v>0</v>
      </c>
    </row>
    <row r="728" customFormat="false" ht="15" hidden="false" customHeight="false" outlineLevel="0" collapsed="false">
      <c r="A728" s="25" t="n">
        <v>727</v>
      </c>
      <c r="B728" s="25" t="s">
        <v>1650</v>
      </c>
      <c r="C728" s="25" t="s">
        <v>501</v>
      </c>
      <c r="D728" s="25" t="n">
        <v>20241022</v>
      </c>
      <c r="E728" s="25" t="n">
        <v>47</v>
      </c>
      <c r="F728" s="25" t="n">
        <v>20</v>
      </c>
      <c r="G728" s="25" t="s">
        <v>113</v>
      </c>
      <c r="H728" s="25" t="s">
        <v>2267</v>
      </c>
      <c r="I728" s="25" t="s">
        <v>83</v>
      </c>
      <c r="J728" s="25" t="s">
        <v>246</v>
      </c>
      <c r="K728" s="25" t="n">
        <v>3</v>
      </c>
      <c r="L728" s="25" t="n">
        <v>3634.57</v>
      </c>
      <c r="M728" s="25" t="n">
        <v>20</v>
      </c>
      <c r="N728" s="25" t="n">
        <v>10903.71</v>
      </c>
      <c r="O728" s="25" t="n">
        <v>2180.74</v>
      </c>
      <c r="P728" s="25" t="n">
        <v>8722.97</v>
      </c>
      <c r="Q728" s="27" t="b">
        <f aca="false">FALSE()</f>
        <v>0</v>
      </c>
      <c r="R728" s="27" t="b">
        <f aca="false">FALSE()</f>
        <v>0</v>
      </c>
      <c r="S728" s="27" t="b">
        <f aca="false">FALSE()</f>
        <v>0</v>
      </c>
    </row>
    <row r="729" customFormat="false" ht="15" hidden="false" customHeight="false" outlineLevel="0" collapsed="false">
      <c r="A729" s="25" t="n">
        <v>728</v>
      </c>
      <c r="B729" s="25" t="s">
        <v>1651</v>
      </c>
      <c r="C729" s="25" t="s">
        <v>501</v>
      </c>
      <c r="D729" s="25" t="n">
        <v>20241022</v>
      </c>
      <c r="E729" s="25" t="n">
        <v>47</v>
      </c>
      <c r="F729" s="25" t="n">
        <v>70</v>
      </c>
      <c r="G729" s="25" t="s">
        <v>113</v>
      </c>
      <c r="H729" s="25" t="s">
        <v>2267</v>
      </c>
      <c r="I729" s="25" t="s">
        <v>83</v>
      </c>
      <c r="J729" s="25" t="s">
        <v>246</v>
      </c>
      <c r="K729" s="25" t="n">
        <v>5</v>
      </c>
      <c r="L729" s="25" t="n">
        <v>3962.52</v>
      </c>
      <c r="M729" s="25" t="n">
        <v>20</v>
      </c>
      <c r="N729" s="25" t="n">
        <v>19812.6</v>
      </c>
      <c r="O729" s="25" t="n">
        <v>3962.52</v>
      </c>
      <c r="P729" s="25" t="n">
        <v>15850.08</v>
      </c>
      <c r="Q729" s="27" t="b">
        <f aca="false">FALSE()</f>
        <v>0</v>
      </c>
      <c r="R729" s="27" t="b">
        <f aca="false">FALSE()</f>
        <v>0</v>
      </c>
      <c r="S729" s="27" t="b">
        <f aca="false">FALSE()</f>
        <v>0</v>
      </c>
    </row>
    <row r="730" customFormat="false" ht="15" hidden="false" customHeight="false" outlineLevel="0" collapsed="false">
      <c r="A730" s="25" t="n">
        <v>729</v>
      </c>
      <c r="B730" s="25" t="s">
        <v>1652</v>
      </c>
      <c r="C730" s="25" t="s">
        <v>501</v>
      </c>
      <c r="D730" s="25" t="n">
        <v>20241022</v>
      </c>
      <c r="E730" s="25" t="n">
        <v>47</v>
      </c>
      <c r="F730" s="25" t="n">
        <v>68</v>
      </c>
      <c r="G730" s="25" t="s">
        <v>113</v>
      </c>
      <c r="H730" s="25" t="s">
        <v>2267</v>
      </c>
      <c r="I730" s="25" t="s">
        <v>83</v>
      </c>
      <c r="J730" s="25" t="s">
        <v>246</v>
      </c>
      <c r="K730" s="25" t="n">
        <v>2</v>
      </c>
      <c r="L730" s="25" t="n">
        <v>21978.46</v>
      </c>
      <c r="M730" s="25" t="n">
        <v>0</v>
      </c>
      <c r="N730" s="25" t="n">
        <v>43956.92</v>
      </c>
      <c r="O730" s="25" t="n">
        <v>0</v>
      </c>
      <c r="P730" s="25" t="n">
        <v>43956.92</v>
      </c>
      <c r="Q730" s="27" t="b">
        <f aca="false">TRUE()</f>
        <v>1</v>
      </c>
      <c r="R730" s="27" t="b">
        <f aca="false">FALSE()</f>
        <v>0</v>
      </c>
      <c r="S730" s="27" t="b">
        <f aca="false">FALSE()</f>
        <v>0</v>
      </c>
    </row>
    <row r="731" customFormat="false" ht="15" hidden="false" customHeight="false" outlineLevel="0" collapsed="false">
      <c r="A731" s="25" t="n">
        <v>730</v>
      </c>
      <c r="B731" s="25" t="s">
        <v>1653</v>
      </c>
      <c r="C731" s="25" t="s">
        <v>478</v>
      </c>
      <c r="D731" s="25" t="n">
        <v>20250714</v>
      </c>
      <c r="E731" s="25" t="n">
        <v>64</v>
      </c>
      <c r="F731" s="25" t="n">
        <v>44</v>
      </c>
      <c r="G731" s="25" t="s">
        <v>113</v>
      </c>
      <c r="H731" s="25" t="s">
        <v>25</v>
      </c>
      <c r="I731" s="25" t="s">
        <v>79</v>
      </c>
      <c r="J731" s="25" t="s">
        <v>246</v>
      </c>
      <c r="K731" s="25" t="n">
        <v>1</v>
      </c>
      <c r="L731" s="25" t="n">
        <v>22655.14</v>
      </c>
      <c r="M731" s="25" t="n">
        <v>20</v>
      </c>
      <c r="N731" s="25" t="n">
        <v>22655.14</v>
      </c>
      <c r="O731" s="25" t="n">
        <v>4531.03</v>
      </c>
      <c r="P731" s="25" t="n">
        <v>18124.11</v>
      </c>
      <c r="Q731" s="27" t="b">
        <f aca="false">FALSE()</f>
        <v>0</v>
      </c>
      <c r="R731" s="27" t="b">
        <f aca="false">FALSE()</f>
        <v>0</v>
      </c>
      <c r="S731" s="27" t="b">
        <f aca="false">FALSE()</f>
        <v>0</v>
      </c>
    </row>
    <row r="732" customFormat="false" ht="15" hidden="false" customHeight="false" outlineLevel="0" collapsed="false">
      <c r="A732" s="25" t="n">
        <v>731</v>
      </c>
      <c r="B732" s="25" t="s">
        <v>1654</v>
      </c>
      <c r="C732" s="25" t="s">
        <v>478</v>
      </c>
      <c r="D732" s="25" t="n">
        <v>20250714</v>
      </c>
      <c r="E732" s="25" t="n">
        <v>64</v>
      </c>
      <c r="F732" s="25" t="n">
        <v>57</v>
      </c>
      <c r="G732" s="25" t="s">
        <v>113</v>
      </c>
      <c r="H732" s="25" t="s">
        <v>25</v>
      </c>
      <c r="I732" s="25" t="s">
        <v>79</v>
      </c>
      <c r="J732" s="25" t="s">
        <v>246</v>
      </c>
      <c r="K732" s="25" t="n">
        <v>2</v>
      </c>
      <c r="L732" s="25" t="n">
        <v>11518.86</v>
      </c>
      <c r="M732" s="25" t="n">
        <v>15</v>
      </c>
      <c r="N732" s="25" t="n">
        <v>23037.72</v>
      </c>
      <c r="O732" s="25" t="n">
        <v>3455.66</v>
      </c>
      <c r="P732" s="25" t="n">
        <v>19582.06</v>
      </c>
      <c r="Q732" s="27" t="b">
        <f aca="false">FALSE()</f>
        <v>0</v>
      </c>
      <c r="R732" s="27" t="b">
        <f aca="false">FALSE()</f>
        <v>0</v>
      </c>
      <c r="S732" s="27" t="b">
        <f aca="false">FALSE()</f>
        <v>0</v>
      </c>
    </row>
    <row r="733" customFormat="false" ht="15" hidden="false" customHeight="false" outlineLevel="0" collapsed="false">
      <c r="A733" s="25" t="n">
        <v>732</v>
      </c>
      <c r="B733" s="25" t="s">
        <v>1655</v>
      </c>
      <c r="C733" s="25" t="s">
        <v>478</v>
      </c>
      <c r="D733" s="25" t="n">
        <v>20250714</v>
      </c>
      <c r="E733" s="25" t="n">
        <v>64</v>
      </c>
      <c r="F733" s="25" t="n">
        <v>25</v>
      </c>
      <c r="G733" s="25" t="s">
        <v>113</v>
      </c>
      <c r="H733" s="25" t="s">
        <v>25</v>
      </c>
      <c r="I733" s="25" t="s">
        <v>79</v>
      </c>
      <c r="J733" s="25" t="s">
        <v>246</v>
      </c>
      <c r="K733" s="25" t="n">
        <v>5</v>
      </c>
      <c r="L733" s="25" t="n">
        <v>19632.52</v>
      </c>
      <c r="M733" s="25" t="n">
        <v>0</v>
      </c>
      <c r="N733" s="25" t="n">
        <v>98162.6</v>
      </c>
      <c r="O733" s="25" t="n">
        <v>0</v>
      </c>
      <c r="P733" s="25" t="n">
        <v>98162.6</v>
      </c>
      <c r="Q733" s="27" t="b">
        <f aca="false">FALSE()</f>
        <v>0</v>
      </c>
      <c r="R733" s="27" t="b">
        <f aca="false">FALSE()</f>
        <v>0</v>
      </c>
      <c r="S733" s="27" t="b">
        <f aca="false">FALSE()</f>
        <v>0</v>
      </c>
    </row>
    <row r="734" customFormat="false" ht="15" hidden="false" customHeight="false" outlineLevel="0" collapsed="false">
      <c r="A734" s="25" t="n">
        <v>733</v>
      </c>
      <c r="B734" s="25" t="s">
        <v>1656</v>
      </c>
      <c r="C734" s="25" t="s">
        <v>398</v>
      </c>
      <c r="D734" s="25" t="n">
        <v>20250427</v>
      </c>
      <c r="E734" s="25" t="n">
        <v>137</v>
      </c>
      <c r="F734" s="25" t="n">
        <v>37</v>
      </c>
      <c r="G734" s="25" t="s">
        <v>114</v>
      </c>
      <c r="H734" s="25" t="s">
        <v>25</v>
      </c>
      <c r="I734" s="25" t="s">
        <v>71</v>
      </c>
      <c r="J734" s="25" t="s">
        <v>269</v>
      </c>
      <c r="K734" s="25" t="n">
        <v>4</v>
      </c>
      <c r="L734" s="25" t="n">
        <v>16084.14</v>
      </c>
      <c r="M734" s="25" t="n">
        <v>20</v>
      </c>
      <c r="N734" s="25" t="n">
        <v>64336.56</v>
      </c>
      <c r="O734" s="25" t="n">
        <v>12867.31</v>
      </c>
      <c r="P734" s="25" t="n">
        <v>51469.25</v>
      </c>
      <c r="Q734" s="27" t="b">
        <f aca="false">FALSE()</f>
        <v>0</v>
      </c>
      <c r="R734" s="27" t="b">
        <f aca="false">FALSE()</f>
        <v>0</v>
      </c>
      <c r="S734" s="27" t="b">
        <f aca="false">FALSE()</f>
        <v>0</v>
      </c>
    </row>
    <row r="735" customFormat="false" ht="15" hidden="false" customHeight="false" outlineLevel="0" collapsed="false">
      <c r="A735" s="25" t="n">
        <v>734</v>
      </c>
      <c r="B735" s="25" t="s">
        <v>1658</v>
      </c>
      <c r="C735" s="25" t="s">
        <v>398</v>
      </c>
      <c r="D735" s="25" t="n">
        <v>20250427</v>
      </c>
      <c r="E735" s="25" t="n">
        <v>137</v>
      </c>
      <c r="F735" s="25" t="n">
        <v>63</v>
      </c>
      <c r="G735" s="25" t="s">
        <v>114</v>
      </c>
      <c r="H735" s="25" t="s">
        <v>25</v>
      </c>
      <c r="I735" s="25" t="s">
        <v>71</v>
      </c>
      <c r="J735" s="25" t="s">
        <v>269</v>
      </c>
      <c r="K735" s="25" t="n">
        <v>3</v>
      </c>
      <c r="L735" s="25" t="n">
        <v>9269.43</v>
      </c>
      <c r="M735" s="25" t="n">
        <v>15</v>
      </c>
      <c r="N735" s="25" t="n">
        <v>27808.29</v>
      </c>
      <c r="O735" s="25" t="n">
        <v>4171.24</v>
      </c>
      <c r="P735" s="25" t="n">
        <v>23637.05</v>
      </c>
      <c r="Q735" s="27" t="b">
        <f aca="false">FALSE()</f>
        <v>0</v>
      </c>
      <c r="R735" s="27" t="b">
        <f aca="false">FALSE()</f>
        <v>0</v>
      </c>
      <c r="S735" s="27" t="b">
        <f aca="false">FALSE()</f>
        <v>0</v>
      </c>
    </row>
    <row r="736" customFormat="false" ht="15" hidden="false" customHeight="false" outlineLevel="0" collapsed="false">
      <c r="A736" s="25" t="n">
        <v>735</v>
      </c>
      <c r="B736" s="25" t="s">
        <v>1659</v>
      </c>
      <c r="C736" s="25" t="s">
        <v>398</v>
      </c>
      <c r="D736" s="25" t="n">
        <v>20250427</v>
      </c>
      <c r="E736" s="25" t="n">
        <v>137</v>
      </c>
      <c r="F736" s="25" t="n">
        <v>61</v>
      </c>
      <c r="G736" s="25" t="s">
        <v>114</v>
      </c>
      <c r="H736" s="25" t="s">
        <v>25</v>
      </c>
      <c r="I736" s="25" t="s">
        <v>71</v>
      </c>
      <c r="J736" s="25" t="s">
        <v>269</v>
      </c>
      <c r="K736" s="25" t="n">
        <v>5</v>
      </c>
      <c r="L736" s="25" t="n">
        <v>8318.56</v>
      </c>
      <c r="M736" s="25" t="n">
        <v>15</v>
      </c>
      <c r="N736" s="25" t="n">
        <v>41592.8</v>
      </c>
      <c r="O736" s="25" t="n">
        <v>6238.92</v>
      </c>
      <c r="P736" s="25" t="n">
        <v>35353.88</v>
      </c>
      <c r="Q736" s="27" t="b">
        <f aca="false">FALSE()</f>
        <v>0</v>
      </c>
      <c r="R736" s="27" t="b">
        <f aca="false">FALSE()</f>
        <v>0</v>
      </c>
      <c r="S736" s="27" t="b">
        <f aca="false">FALSE()</f>
        <v>0</v>
      </c>
    </row>
    <row r="737" customFormat="false" ht="15" hidden="false" customHeight="false" outlineLevel="0" collapsed="false">
      <c r="A737" s="25" t="n">
        <v>736</v>
      </c>
      <c r="B737" s="25" t="s">
        <v>1660</v>
      </c>
      <c r="C737" s="25" t="s">
        <v>326</v>
      </c>
      <c r="D737" s="25" t="n">
        <v>20240518</v>
      </c>
      <c r="E737" s="25" t="n">
        <v>-1</v>
      </c>
      <c r="F737" s="25" t="n">
        <v>65</v>
      </c>
      <c r="G737" s="25" t="s">
        <v>114</v>
      </c>
      <c r="H737" s="25" t="s">
        <v>25</v>
      </c>
      <c r="I737" s="25" t="s">
        <v>1770</v>
      </c>
      <c r="J737" s="25" t="s">
        <v>242</v>
      </c>
      <c r="K737" s="25" t="n">
        <v>1</v>
      </c>
      <c r="L737" s="25" t="n">
        <v>15706.03</v>
      </c>
      <c r="M737" s="25" t="n">
        <v>5</v>
      </c>
      <c r="N737" s="25" t="n">
        <v>15706.03</v>
      </c>
      <c r="O737" s="25" t="n">
        <v>785.3</v>
      </c>
      <c r="P737" s="25" t="n">
        <v>14920.73</v>
      </c>
      <c r="Q737" s="27" t="b">
        <f aca="false">FALSE()</f>
        <v>0</v>
      </c>
      <c r="R737" s="27" t="b">
        <f aca="false">FALSE()</f>
        <v>0</v>
      </c>
      <c r="S737" s="27" t="b">
        <f aca="false">FALSE()</f>
        <v>0</v>
      </c>
    </row>
    <row r="738" customFormat="false" ht="15" hidden="false" customHeight="false" outlineLevel="0" collapsed="false">
      <c r="A738" s="25" t="n">
        <v>737</v>
      </c>
      <c r="B738" s="25" t="s">
        <v>1661</v>
      </c>
      <c r="C738" s="25" t="s">
        <v>419</v>
      </c>
      <c r="D738" s="25" t="n">
        <v>20240513</v>
      </c>
      <c r="E738" s="25" t="n">
        <v>116</v>
      </c>
      <c r="F738" s="25" t="n">
        <v>12</v>
      </c>
      <c r="G738" s="25" t="s">
        <v>114</v>
      </c>
      <c r="H738" s="25" t="s">
        <v>2274</v>
      </c>
      <c r="I738" s="25" t="s">
        <v>1738</v>
      </c>
      <c r="J738" s="25" t="s">
        <v>242</v>
      </c>
      <c r="K738" s="25" t="n">
        <v>1</v>
      </c>
      <c r="L738" s="25" t="n">
        <v>11434.02</v>
      </c>
      <c r="M738" s="25" t="n">
        <v>10</v>
      </c>
      <c r="N738" s="25" t="n">
        <v>11434.02</v>
      </c>
      <c r="O738" s="25" t="n">
        <v>1143.4</v>
      </c>
      <c r="P738" s="25" t="n">
        <v>10290.62</v>
      </c>
      <c r="Q738" s="27" t="b">
        <f aca="false">FALSE()</f>
        <v>0</v>
      </c>
      <c r="R738" s="27" t="b">
        <f aca="false">FALSE()</f>
        <v>0</v>
      </c>
      <c r="S738" s="27" t="b">
        <f aca="false">FALSE()</f>
        <v>0</v>
      </c>
    </row>
    <row r="739" customFormat="false" ht="15" hidden="false" customHeight="false" outlineLevel="0" collapsed="false">
      <c r="A739" s="25" t="n">
        <v>738</v>
      </c>
      <c r="B739" s="25" t="s">
        <v>1663</v>
      </c>
      <c r="C739" s="25" t="s">
        <v>419</v>
      </c>
      <c r="D739" s="25" t="n">
        <v>20240513</v>
      </c>
      <c r="E739" s="25" t="n">
        <v>116</v>
      </c>
      <c r="F739" s="25" t="n">
        <v>67</v>
      </c>
      <c r="G739" s="25" t="s">
        <v>114</v>
      </c>
      <c r="H739" s="25" t="s">
        <v>2274</v>
      </c>
      <c r="I739" s="25" t="s">
        <v>1738</v>
      </c>
      <c r="J739" s="25" t="s">
        <v>242</v>
      </c>
      <c r="K739" s="25" t="n">
        <v>2</v>
      </c>
      <c r="L739" s="25" t="n">
        <v>14595.44</v>
      </c>
      <c r="M739" s="25" t="n">
        <v>0</v>
      </c>
      <c r="N739" s="25" t="n">
        <v>29190.88</v>
      </c>
      <c r="O739" s="25" t="n">
        <v>0</v>
      </c>
      <c r="P739" s="25" t="n">
        <v>29190.88</v>
      </c>
      <c r="Q739" s="27" t="b">
        <f aca="false">FALSE()</f>
        <v>0</v>
      </c>
      <c r="R739" s="27" t="b">
        <f aca="false">FALSE()</f>
        <v>0</v>
      </c>
      <c r="S739" s="27" t="b">
        <f aca="false">FALSE()</f>
        <v>0</v>
      </c>
    </row>
    <row r="740" customFormat="false" ht="15" hidden="false" customHeight="false" outlineLevel="0" collapsed="false">
      <c r="A740" s="25" t="n">
        <v>739</v>
      </c>
      <c r="B740" s="25" t="s">
        <v>1664</v>
      </c>
      <c r="C740" s="25" t="s">
        <v>419</v>
      </c>
      <c r="D740" s="25" t="n">
        <v>20240513</v>
      </c>
      <c r="E740" s="25" t="n">
        <v>116</v>
      </c>
      <c r="F740" s="25" t="n">
        <v>59</v>
      </c>
      <c r="G740" s="25" t="s">
        <v>114</v>
      </c>
      <c r="H740" s="25" t="s">
        <v>2274</v>
      </c>
      <c r="I740" s="25" t="s">
        <v>1738</v>
      </c>
      <c r="J740" s="25" t="s">
        <v>242</v>
      </c>
      <c r="K740" s="25" t="n">
        <v>1</v>
      </c>
      <c r="L740" s="25" t="n">
        <v>18828.5</v>
      </c>
      <c r="M740" s="25" t="n">
        <v>0</v>
      </c>
      <c r="N740" s="25" t="n">
        <v>18828.5</v>
      </c>
      <c r="O740" s="25" t="n">
        <v>0</v>
      </c>
      <c r="P740" s="25" t="n">
        <v>18828.5</v>
      </c>
      <c r="Q740" s="27" t="b">
        <f aca="false">FALSE()</f>
        <v>0</v>
      </c>
      <c r="R740" s="27" t="b">
        <f aca="false">FALSE()</f>
        <v>0</v>
      </c>
      <c r="S740" s="27" t="b">
        <f aca="false">FALSE()</f>
        <v>0</v>
      </c>
    </row>
    <row r="741" customFormat="false" ht="15" hidden="false" customHeight="false" outlineLevel="0" collapsed="false">
      <c r="A741" s="25" t="n">
        <v>740</v>
      </c>
      <c r="B741" s="25" t="s">
        <v>1665</v>
      </c>
      <c r="C741" s="25" t="s">
        <v>419</v>
      </c>
      <c r="D741" s="25" t="n">
        <v>20240513</v>
      </c>
      <c r="E741" s="25" t="n">
        <v>116</v>
      </c>
      <c r="F741" s="25" t="n">
        <v>57</v>
      </c>
      <c r="G741" s="25" t="s">
        <v>114</v>
      </c>
      <c r="H741" s="25" t="s">
        <v>2274</v>
      </c>
      <c r="I741" s="25" t="s">
        <v>1738</v>
      </c>
      <c r="J741" s="25" t="s">
        <v>242</v>
      </c>
      <c r="K741" s="25" t="n">
        <v>3</v>
      </c>
      <c r="L741" s="25" t="n">
        <v>11518.86</v>
      </c>
      <c r="M741" s="25" t="n">
        <v>0</v>
      </c>
      <c r="N741" s="25" t="n">
        <v>34556.58</v>
      </c>
      <c r="O741" s="25" t="n">
        <v>0</v>
      </c>
      <c r="P741" s="25" t="n">
        <v>34556.58</v>
      </c>
      <c r="Q741" s="27" t="b">
        <f aca="false">FALSE()</f>
        <v>0</v>
      </c>
      <c r="R741" s="27" t="b">
        <f aca="false">FALSE()</f>
        <v>0</v>
      </c>
      <c r="S741" s="27" t="b">
        <f aca="false">FALSE()</f>
        <v>0</v>
      </c>
    </row>
    <row r="742" customFormat="false" ht="15" hidden="false" customHeight="false" outlineLevel="0" collapsed="false">
      <c r="A742" s="25" t="n">
        <v>741</v>
      </c>
      <c r="B742" s="25" t="s">
        <v>1666</v>
      </c>
      <c r="C742" s="25" t="s">
        <v>241</v>
      </c>
      <c r="D742" s="25" t="n">
        <v>20221005</v>
      </c>
      <c r="E742" s="25" t="n">
        <v>33</v>
      </c>
      <c r="F742" s="25" t="n">
        <v>68</v>
      </c>
      <c r="G742" s="25" t="s">
        <v>113</v>
      </c>
      <c r="H742" s="25" t="s">
        <v>25</v>
      </c>
      <c r="I742" s="25" t="s">
        <v>1738</v>
      </c>
      <c r="J742" s="25" t="s">
        <v>242</v>
      </c>
      <c r="K742" s="25" t="n">
        <v>1</v>
      </c>
      <c r="L742" s="25" t="n">
        <v>21978.46</v>
      </c>
      <c r="M742" s="25" t="n">
        <v>20</v>
      </c>
      <c r="N742" s="25" t="n">
        <v>21978.46</v>
      </c>
      <c r="O742" s="25" t="n">
        <v>4395.69</v>
      </c>
      <c r="P742" s="25" t="n">
        <v>17582.77</v>
      </c>
      <c r="Q742" s="27" t="b">
        <f aca="false">FALSE()</f>
        <v>0</v>
      </c>
      <c r="R742" s="27" t="b">
        <f aca="false">FALSE()</f>
        <v>0</v>
      </c>
      <c r="S742" s="27" t="b">
        <f aca="false">FALSE()</f>
        <v>0</v>
      </c>
    </row>
    <row r="743" customFormat="false" ht="15" hidden="false" customHeight="false" outlineLevel="0" collapsed="false">
      <c r="A743" s="25" t="n">
        <v>742</v>
      </c>
      <c r="B743" s="25" t="s">
        <v>1667</v>
      </c>
      <c r="C743" s="25" t="s">
        <v>241</v>
      </c>
      <c r="D743" s="25" t="n">
        <v>20221005</v>
      </c>
      <c r="E743" s="25" t="n">
        <v>33</v>
      </c>
      <c r="F743" s="25" t="n">
        <v>54</v>
      </c>
      <c r="G743" s="25" t="s">
        <v>113</v>
      </c>
      <c r="H743" s="25" t="s">
        <v>25</v>
      </c>
      <c r="I743" s="25" t="s">
        <v>1738</v>
      </c>
      <c r="J743" s="25" t="s">
        <v>242</v>
      </c>
      <c r="K743" s="25" t="n">
        <v>4</v>
      </c>
      <c r="L743" s="25" t="n">
        <v>20481.04</v>
      </c>
      <c r="M743" s="25" t="n">
        <v>0</v>
      </c>
      <c r="N743" s="25" t="n">
        <v>81924.16</v>
      </c>
      <c r="O743" s="25" t="n">
        <v>0</v>
      </c>
      <c r="P743" s="25" t="n">
        <v>81924.16</v>
      </c>
      <c r="Q743" s="27" t="b">
        <f aca="false">FALSE()</f>
        <v>0</v>
      </c>
      <c r="R743" s="27" t="b">
        <f aca="false">FALSE()</f>
        <v>0</v>
      </c>
      <c r="S743" s="27" t="b">
        <f aca="false">FALSE()</f>
        <v>0</v>
      </c>
    </row>
    <row r="744" customFormat="false" ht="15" hidden="false" customHeight="false" outlineLevel="0" collapsed="false">
      <c r="A744" s="25" t="n">
        <v>743</v>
      </c>
      <c r="B744" s="25" t="s">
        <v>1668</v>
      </c>
      <c r="C744" s="25" t="s">
        <v>241</v>
      </c>
      <c r="D744" s="25" t="n">
        <v>20221005</v>
      </c>
      <c r="E744" s="25" t="n">
        <v>33</v>
      </c>
      <c r="F744" s="25" t="n">
        <v>16</v>
      </c>
      <c r="G744" s="25" t="s">
        <v>113</v>
      </c>
      <c r="H744" s="25" t="s">
        <v>25</v>
      </c>
      <c r="I744" s="25" t="s">
        <v>1738</v>
      </c>
      <c r="J744" s="25" t="s">
        <v>242</v>
      </c>
      <c r="K744" s="25" t="n">
        <v>5</v>
      </c>
      <c r="L744" s="25" t="n">
        <v>2260.53</v>
      </c>
      <c r="M744" s="25" t="n">
        <v>15</v>
      </c>
      <c r="N744" s="25" t="n">
        <v>11302.65</v>
      </c>
      <c r="O744" s="25" t="n">
        <v>1695.4</v>
      </c>
      <c r="P744" s="25" t="n">
        <v>9607.25</v>
      </c>
      <c r="Q744" s="27" t="b">
        <f aca="false">FALSE()</f>
        <v>0</v>
      </c>
      <c r="R744" s="27" t="b">
        <f aca="false">FALSE()</f>
        <v>0</v>
      </c>
      <c r="S744" s="27" t="b">
        <f aca="false">FALSE()</f>
        <v>0</v>
      </c>
    </row>
    <row r="745" customFormat="false" ht="15" hidden="false" customHeight="false" outlineLevel="0" collapsed="false">
      <c r="A745" s="25" t="n">
        <v>744</v>
      </c>
      <c r="B745" s="25" t="s">
        <v>1669</v>
      </c>
      <c r="C745" s="25" t="s">
        <v>521</v>
      </c>
      <c r="D745" s="25" t="n">
        <v>20250110</v>
      </c>
      <c r="E745" s="25" t="n">
        <v>34</v>
      </c>
      <c r="F745" s="25" t="n">
        <v>27</v>
      </c>
      <c r="G745" s="25" t="s">
        <v>113</v>
      </c>
      <c r="H745" s="25" t="s">
        <v>25</v>
      </c>
      <c r="I745" s="25" t="s">
        <v>71</v>
      </c>
      <c r="J745" s="25" t="s">
        <v>242</v>
      </c>
      <c r="K745" s="25" t="n">
        <v>4</v>
      </c>
      <c r="L745" s="25" t="n">
        <v>20550.39</v>
      </c>
      <c r="M745" s="25" t="n">
        <v>20</v>
      </c>
      <c r="N745" s="25" t="n">
        <v>82201.56</v>
      </c>
      <c r="O745" s="25" t="n">
        <v>16440.31</v>
      </c>
      <c r="P745" s="25" t="n">
        <v>65761.25</v>
      </c>
      <c r="Q745" s="27" t="b">
        <f aca="false">FALSE()</f>
        <v>0</v>
      </c>
      <c r="R745" s="27" t="b">
        <f aca="false">FALSE()</f>
        <v>0</v>
      </c>
      <c r="S745" s="27" t="b">
        <f aca="false">FALSE()</f>
        <v>0</v>
      </c>
    </row>
    <row r="746" customFormat="false" ht="15" hidden="false" customHeight="false" outlineLevel="0" collapsed="false">
      <c r="A746" s="25" t="n">
        <v>745</v>
      </c>
      <c r="B746" s="25" t="s">
        <v>1670</v>
      </c>
      <c r="C746" s="25" t="s">
        <v>567</v>
      </c>
      <c r="D746" s="25" t="n">
        <v>20240702</v>
      </c>
      <c r="E746" s="25" t="n">
        <v>1</v>
      </c>
      <c r="F746" s="25" t="n">
        <v>60</v>
      </c>
      <c r="G746" s="25" t="s">
        <v>113</v>
      </c>
      <c r="H746" s="25" t="s">
        <v>25</v>
      </c>
      <c r="I746" s="25" t="s">
        <v>71</v>
      </c>
      <c r="J746" s="25" t="s">
        <v>250</v>
      </c>
      <c r="K746" s="25" t="n">
        <v>1</v>
      </c>
      <c r="L746" s="25" t="n">
        <v>11569.57</v>
      </c>
      <c r="M746" s="25" t="n">
        <v>5</v>
      </c>
      <c r="N746" s="25" t="n">
        <v>11569.57</v>
      </c>
      <c r="O746" s="25" t="n">
        <v>578.48</v>
      </c>
      <c r="P746" s="25" t="n">
        <v>10991.09</v>
      </c>
      <c r="Q746" s="27" t="b">
        <f aca="false">FALSE()</f>
        <v>0</v>
      </c>
      <c r="R746" s="27" t="b">
        <f aca="false">FALSE()</f>
        <v>0</v>
      </c>
      <c r="S746" s="27" t="b">
        <f aca="false">FALSE()</f>
        <v>0</v>
      </c>
    </row>
    <row r="747" customFormat="false" ht="15" hidden="false" customHeight="false" outlineLevel="0" collapsed="false">
      <c r="A747" s="25" t="n">
        <v>746</v>
      </c>
      <c r="B747" s="25" t="s">
        <v>1671</v>
      </c>
      <c r="C747" s="25" t="s">
        <v>567</v>
      </c>
      <c r="D747" s="25" t="n">
        <v>20240702</v>
      </c>
      <c r="E747" s="25" t="n">
        <v>1</v>
      </c>
      <c r="F747" s="25" t="n">
        <v>59</v>
      </c>
      <c r="G747" s="25" t="s">
        <v>113</v>
      </c>
      <c r="H747" s="25" t="s">
        <v>25</v>
      </c>
      <c r="I747" s="25" t="s">
        <v>71</v>
      </c>
      <c r="J747" s="25" t="s">
        <v>250</v>
      </c>
      <c r="K747" s="25" t="n">
        <v>3</v>
      </c>
      <c r="L747" s="25" t="n">
        <v>18828.5</v>
      </c>
      <c r="M747" s="25" t="n">
        <v>20</v>
      </c>
      <c r="N747" s="25" t="n">
        <v>56485.5</v>
      </c>
      <c r="O747" s="25" t="n">
        <v>11297.1</v>
      </c>
      <c r="P747" s="25" t="n">
        <v>45188.4</v>
      </c>
      <c r="Q747" s="27" t="b">
        <f aca="false">FALSE()</f>
        <v>0</v>
      </c>
      <c r="R747" s="27" t="b">
        <f aca="false">FALSE()</f>
        <v>0</v>
      </c>
      <c r="S747" s="27" t="b">
        <f aca="false">FALSE()</f>
        <v>0</v>
      </c>
    </row>
    <row r="748" customFormat="false" ht="15" hidden="false" customHeight="false" outlineLevel="0" collapsed="false">
      <c r="A748" s="25" t="n">
        <v>747</v>
      </c>
      <c r="B748" s="25" t="s">
        <v>1672</v>
      </c>
      <c r="C748" s="25" t="s">
        <v>567</v>
      </c>
      <c r="D748" s="25" t="n">
        <v>20240702</v>
      </c>
      <c r="E748" s="25" t="n">
        <v>1</v>
      </c>
      <c r="F748" s="25" t="n">
        <v>61</v>
      </c>
      <c r="G748" s="25" t="s">
        <v>113</v>
      </c>
      <c r="H748" s="25" t="s">
        <v>25</v>
      </c>
      <c r="I748" s="25" t="s">
        <v>71</v>
      </c>
      <c r="J748" s="25" t="s">
        <v>250</v>
      </c>
      <c r="K748" s="25" t="n">
        <v>1</v>
      </c>
      <c r="L748" s="25" t="n">
        <v>8318.56</v>
      </c>
      <c r="M748" s="25" t="n">
        <v>15</v>
      </c>
      <c r="N748" s="25" t="n">
        <v>8318.56</v>
      </c>
      <c r="O748" s="25" t="n">
        <v>1247.78</v>
      </c>
      <c r="P748" s="25" t="n">
        <v>7070.78</v>
      </c>
      <c r="Q748" s="27" t="b">
        <f aca="false">FALSE()</f>
        <v>0</v>
      </c>
      <c r="R748" s="27" t="b">
        <f aca="false">FALSE()</f>
        <v>0</v>
      </c>
      <c r="S748" s="27" t="b">
        <f aca="false">FALSE()</f>
        <v>0</v>
      </c>
    </row>
    <row r="749" customFormat="false" ht="15" hidden="false" customHeight="false" outlineLevel="0" collapsed="false">
      <c r="A749" s="25" t="n">
        <v>748</v>
      </c>
      <c r="B749" s="25" t="s">
        <v>1673</v>
      </c>
      <c r="C749" s="25" t="s">
        <v>567</v>
      </c>
      <c r="D749" s="25" t="n">
        <v>20240702</v>
      </c>
      <c r="E749" s="25" t="n">
        <v>1</v>
      </c>
      <c r="F749" s="25" t="n">
        <v>34</v>
      </c>
      <c r="G749" s="25" t="s">
        <v>113</v>
      </c>
      <c r="H749" s="25" t="s">
        <v>25</v>
      </c>
      <c r="I749" s="25" t="s">
        <v>71</v>
      </c>
      <c r="J749" s="25" t="s">
        <v>250</v>
      </c>
      <c r="K749" s="25" t="n">
        <v>3</v>
      </c>
      <c r="L749" s="25" t="n">
        <v>11932.31</v>
      </c>
      <c r="M749" s="25" t="n">
        <v>10</v>
      </c>
      <c r="N749" s="25" t="n">
        <v>35796.93</v>
      </c>
      <c r="O749" s="25" t="n">
        <v>3579.69</v>
      </c>
      <c r="P749" s="25" t="n">
        <v>32217.24</v>
      </c>
      <c r="Q749" s="27" t="b">
        <f aca="false">FALSE()</f>
        <v>0</v>
      </c>
      <c r="R749" s="27" t="b">
        <f aca="false">FALSE()</f>
        <v>0</v>
      </c>
      <c r="S749" s="27" t="b">
        <f aca="false">FALSE()</f>
        <v>0</v>
      </c>
    </row>
    <row r="750" customFormat="false" ht="15" hidden="false" customHeight="false" outlineLevel="0" collapsed="false">
      <c r="A750" s="25" t="n">
        <v>749</v>
      </c>
      <c r="B750" s="25" t="s">
        <v>1674</v>
      </c>
      <c r="C750" s="25" t="s">
        <v>280</v>
      </c>
      <c r="D750" s="25" t="n">
        <v>20250621</v>
      </c>
      <c r="E750" s="25" t="n">
        <v>142</v>
      </c>
      <c r="F750" s="25" t="n">
        <v>66</v>
      </c>
      <c r="G750" s="25" t="s">
        <v>115</v>
      </c>
      <c r="H750" s="25" t="s">
        <v>2276</v>
      </c>
      <c r="I750" s="25" t="s">
        <v>83</v>
      </c>
      <c r="J750" s="25" t="s">
        <v>242</v>
      </c>
      <c r="K750" s="25" t="n">
        <v>5</v>
      </c>
      <c r="L750" s="25" t="n">
        <v>19639.31</v>
      </c>
      <c r="M750" s="25" t="n">
        <v>0</v>
      </c>
      <c r="N750" s="25" t="n">
        <v>98196.55</v>
      </c>
      <c r="O750" s="25" t="n">
        <v>0</v>
      </c>
      <c r="P750" s="25" t="n">
        <v>98196.55</v>
      </c>
      <c r="Q750" s="27" t="b">
        <f aca="false">FALSE()</f>
        <v>0</v>
      </c>
      <c r="R750" s="27" t="b">
        <f aca="false">FALSE()</f>
        <v>0</v>
      </c>
      <c r="S750" s="27" t="b">
        <f aca="false">FALSE()</f>
        <v>0</v>
      </c>
    </row>
    <row r="751" customFormat="false" ht="15" hidden="false" customHeight="false" outlineLevel="0" collapsed="false">
      <c r="A751" s="25" t="n">
        <v>750</v>
      </c>
      <c r="B751" s="25" t="s">
        <v>1675</v>
      </c>
      <c r="C751" s="25" t="s">
        <v>551</v>
      </c>
      <c r="D751" s="25" t="n">
        <v>20240629</v>
      </c>
      <c r="E751" s="25" t="n">
        <v>127</v>
      </c>
      <c r="F751" s="25" t="n">
        <v>37</v>
      </c>
      <c r="G751" s="25" t="s">
        <v>114</v>
      </c>
      <c r="H751" s="25" t="s">
        <v>25</v>
      </c>
      <c r="I751" s="25" t="s">
        <v>1743</v>
      </c>
      <c r="J751" s="25" t="s">
        <v>250</v>
      </c>
      <c r="K751" s="25" t="n">
        <v>3</v>
      </c>
      <c r="L751" s="25" t="n">
        <v>16084.14</v>
      </c>
      <c r="M751" s="25" t="n">
        <v>20</v>
      </c>
      <c r="N751" s="25" t="n">
        <v>48252.42</v>
      </c>
      <c r="O751" s="25" t="n">
        <v>9650.48</v>
      </c>
      <c r="P751" s="25" t="n">
        <v>38601.94</v>
      </c>
      <c r="Q751" s="27" t="b">
        <f aca="false">FALSE()</f>
        <v>0</v>
      </c>
      <c r="R751" s="27" t="b">
        <f aca="false">FALSE()</f>
        <v>0</v>
      </c>
      <c r="S751" s="27" t="b">
        <f aca="false">FALSE()</f>
        <v>0</v>
      </c>
    </row>
    <row r="752" customFormat="false" ht="15" hidden="false" customHeight="false" outlineLevel="0" collapsed="false">
      <c r="A752" s="25" t="n">
        <v>751</v>
      </c>
      <c r="B752" s="25" t="s">
        <v>1676</v>
      </c>
      <c r="C752" s="25" t="s">
        <v>551</v>
      </c>
      <c r="D752" s="25" t="n">
        <v>20240629</v>
      </c>
      <c r="E752" s="25" t="n">
        <v>127</v>
      </c>
      <c r="F752" s="25" t="n">
        <v>65</v>
      </c>
      <c r="G752" s="25" t="s">
        <v>114</v>
      </c>
      <c r="H752" s="25" t="s">
        <v>25</v>
      </c>
      <c r="I752" s="25" t="s">
        <v>1743</v>
      </c>
      <c r="J752" s="25" t="s">
        <v>250</v>
      </c>
      <c r="K752" s="25" t="n">
        <v>5</v>
      </c>
      <c r="L752" s="25" t="n">
        <v>15706.03</v>
      </c>
      <c r="M752" s="25" t="n">
        <v>15</v>
      </c>
      <c r="N752" s="25" t="n">
        <v>78530.15</v>
      </c>
      <c r="O752" s="25" t="n">
        <v>11779.52</v>
      </c>
      <c r="P752" s="25" t="n">
        <v>66750.63</v>
      </c>
      <c r="Q752" s="27" t="b">
        <f aca="false">FALSE()</f>
        <v>0</v>
      </c>
      <c r="R752" s="27" t="b">
        <f aca="false">FALSE()</f>
        <v>0</v>
      </c>
      <c r="S752" s="27" t="b">
        <f aca="false">FALSE()</f>
        <v>0</v>
      </c>
    </row>
    <row r="753" customFormat="false" ht="15" hidden="false" customHeight="false" outlineLevel="0" collapsed="false">
      <c r="A753" s="25" t="n">
        <v>752</v>
      </c>
      <c r="B753" s="25" t="s">
        <v>1677</v>
      </c>
      <c r="C753" s="25" t="s">
        <v>551</v>
      </c>
      <c r="D753" s="25" t="n">
        <v>20240629</v>
      </c>
      <c r="E753" s="25" t="n">
        <v>127</v>
      </c>
      <c r="F753" s="25" t="n">
        <v>10</v>
      </c>
      <c r="G753" s="25" t="s">
        <v>114</v>
      </c>
      <c r="H753" s="25" t="s">
        <v>25</v>
      </c>
      <c r="I753" s="25" t="s">
        <v>1743</v>
      </c>
      <c r="J753" s="25" t="s">
        <v>250</v>
      </c>
      <c r="K753" s="25" t="n">
        <v>1</v>
      </c>
      <c r="L753" s="25" t="n">
        <v>1165.83</v>
      </c>
      <c r="M753" s="25" t="n">
        <v>15</v>
      </c>
      <c r="N753" s="25" t="n">
        <v>1165.83</v>
      </c>
      <c r="O753" s="25" t="n">
        <v>174.87</v>
      </c>
      <c r="P753" s="25" t="n">
        <v>990.96</v>
      </c>
      <c r="Q753" s="27" t="b">
        <f aca="false">FALSE()</f>
        <v>0</v>
      </c>
      <c r="R753" s="27" t="b">
        <f aca="false">FALSE()</f>
        <v>0</v>
      </c>
      <c r="S753" s="27" t="b">
        <f aca="false">FALSE()</f>
        <v>0</v>
      </c>
    </row>
    <row r="754" customFormat="false" ht="15" hidden="false" customHeight="false" outlineLevel="0" collapsed="false">
      <c r="A754" s="25" t="n">
        <v>753</v>
      </c>
      <c r="B754" s="25" t="s">
        <v>1678</v>
      </c>
      <c r="C754" s="25" t="s">
        <v>551</v>
      </c>
      <c r="D754" s="25" t="n">
        <v>20240629</v>
      </c>
      <c r="E754" s="25" t="n">
        <v>127</v>
      </c>
      <c r="F754" s="25" t="n">
        <v>55</v>
      </c>
      <c r="G754" s="25" t="s">
        <v>114</v>
      </c>
      <c r="H754" s="25" t="s">
        <v>25</v>
      </c>
      <c r="I754" s="25" t="s">
        <v>1743</v>
      </c>
      <c r="J754" s="25" t="s">
        <v>250</v>
      </c>
      <c r="K754" s="25" t="n">
        <v>3</v>
      </c>
      <c r="L754" s="25" t="n">
        <v>5471.28</v>
      </c>
      <c r="M754" s="25" t="n">
        <v>0</v>
      </c>
      <c r="N754" s="25" t="n">
        <v>16413.84</v>
      </c>
      <c r="O754" s="25" t="n">
        <v>0</v>
      </c>
      <c r="P754" s="25" t="n">
        <v>16413.84</v>
      </c>
      <c r="Q754" s="27" t="b">
        <f aca="false">FALSE()</f>
        <v>0</v>
      </c>
      <c r="R754" s="27" t="b">
        <f aca="false">FALSE()</f>
        <v>0</v>
      </c>
      <c r="S754" s="27" t="b">
        <f aca="false">FALSE()</f>
        <v>0</v>
      </c>
    </row>
    <row r="755" customFormat="false" ht="15" hidden="false" customHeight="false" outlineLevel="0" collapsed="false">
      <c r="A755" s="25" t="n">
        <v>754</v>
      </c>
      <c r="B755" s="25" t="s">
        <v>1679</v>
      </c>
      <c r="C755" s="25" t="s">
        <v>368</v>
      </c>
      <c r="D755" s="25" t="n">
        <v>20240622</v>
      </c>
      <c r="E755" s="25" t="n">
        <v>69</v>
      </c>
      <c r="F755" s="25" t="n">
        <v>55</v>
      </c>
      <c r="G755" s="25" t="s">
        <v>113</v>
      </c>
      <c r="H755" s="25" t="s">
        <v>2268</v>
      </c>
      <c r="I755" s="25" t="s">
        <v>89</v>
      </c>
      <c r="J755" s="25" t="s">
        <v>246</v>
      </c>
      <c r="K755" s="25" t="n">
        <v>3</v>
      </c>
      <c r="L755" s="25" t="n">
        <v>5471.28</v>
      </c>
      <c r="M755" s="25" t="n">
        <v>0</v>
      </c>
      <c r="N755" s="25" t="n">
        <v>16413.84</v>
      </c>
      <c r="O755" s="25" t="n">
        <v>0</v>
      </c>
      <c r="P755" s="25" t="n">
        <v>16413.84</v>
      </c>
      <c r="Q755" s="27" t="b">
        <f aca="false">FALSE()</f>
        <v>0</v>
      </c>
      <c r="R755" s="27" t="b">
        <f aca="false">FALSE()</f>
        <v>0</v>
      </c>
      <c r="S755" s="27" t="b">
        <f aca="false">FALSE()</f>
        <v>0</v>
      </c>
    </row>
    <row r="756" customFormat="false" ht="15" hidden="false" customHeight="false" outlineLevel="0" collapsed="false">
      <c r="A756" s="25" t="n">
        <v>755</v>
      </c>
      <c r="B756" s="25" t="s">
        <v>1680</v>
      </c>
      <c r="C756" s="25" t="s">
        <v>368</v>
      </c>
      <c r="D756" s="25" t="n">
        <v>20240622</v>
      </c>
      <c r="E756" s="25" t="n">
        <v>69</v>
      </c>
      <c r="F756" s="25" t="n">
        <v>39</v>
      </c>
      <c r="G756" s="25" t="s">
        <v>113</v>
      </c>
      <c r="H756" s="25" t="s">
        <v>2268</v>
      </c>
      <c r="I756" s="25" t="s">
        <v>89</v>
      </c>
      <c r="J756" s="25" t="s">
        <v>246</v>
      </c>
      <c r="K756" s="25" t="n">
        <v>3</v>
      </c>
      <c r="L756" s="25" t="n">
        <v>5818.64</v>
      </c>
      <c r="M756" s="25" t="n">
        <v>15</v>
      </c>
      <c r="N756" s="25" t="n">
        <v>17455.92</v>
      </c>
      <c r="O756" s="25" t="n">
        <v>2618.39</v>
      </c>
      <c r="P756" s="25" t="n">
        <v>14837.53</v>
      </c>
      <c r="Q756" s="27" t="b">
        <f aca="false">FALSE()</f>
        <v>0</v>
      </c>
      <c r="R756" s="27" t="b">
        <f aca="false">FALSE()</f>
        <v>0</v>
      </c>
      <c r="S756" s="27" t="b">
        <f aca="false">FALSE()</f>
        <v>0</v>
      </c>
    </row>
    <row r="757" customFormat="false" ht="15" hidden="false" customHeight="false" outlineLevel="0" collapsed="false">
      <c r="A757" s="25" t="n">
        <v>756</v>
      </c>
      <c r="B757" s="25" t="s">
        <v>1681</v>
      </c>
      <c r="C757" s="25" t="s">
        <v>368</v>
      </c>
      <c r="D757" s="25" t="n">
        <v>20240622</v>
      </c>
      <c r="E757" s="25" t="n">
        <v>69</v>
      </c>
      <c r="F757" s="25" t="n">
        <v>20</v>
      </c>
      <c r="G757" s="25" t="s">
        <v>113</v>
      </c>
      <c r="H757" s="25" t="s">
        <v>2268</v>
      </c>
      <c r="I757" s="25" t="s">
        <v>89</v>
      </c>
      <c r="J757" s="25" t="s">
        <v>246</v>
      </c>
      <c r="K757" s="25" t="n">
        <v>5</v>
      </c>
      <c r="L757" s="25" t="n">
        <v>3634.57</v>
      </c>
      <c r="M757" s="25" t="n">
        <v>10</v>
      </c>
      <c r="N757" s="25" t="n">
        <v>18172.85</v>
      </c>
      <c r="O757" s="25" t="n">
        <v>1817.28</v>
      </c>
      <c r="P757" s="25" t="n">
        <v>16355.57</v>
      </c>
      <c r="Q757" s="27" t="b">
        <f aca="false">FALSE()</f>
        <v>0</v>
      </c>
      <c r="R757" s="27" t="b">
        <f aca="false">FALSE()</f>
        <v>0</v>
      </c>
      <c r="S757" s="27" t="b">
        <f aca="false">FALSE()</f>
        <v>0</v>
      </c>
    </row>
    <row r="758" customFormat="false" ht="15" hidden="false" customHeight="false" outlineLevel="0" collapsed="false">
      <c r="A758" s="25" t="n">
        <v>757</v>
      </c>
      <c r="B758" s="25" t="s">
        <v>1682</v>
      </c>
      <c r="C758" s="25" t="s">
        <v>368</v>
      </c>
      <c r="D758" s="25" t="n">
        <v>20240622</v>
      </c>
      <c r="E758" s="25" t="n">
        <v>69</v>
      </c>
      <c r="F758" s="25" t="n">
        <v>56</v>
      </c>
      <c r="G758" s="25" t="s">
        <v>113</v>
      </c>
      <c r="H758" s="25" t="s">
        <v>2268</v>
      </c>
      <c r="I758" s="25" t="s">
        <v>89</v>
      </c>
      <c r="J758" s="25" t="s">
        <v>246</v>
      </c>
      <c r="K758" s="25" t="n">
        <v>4</v>
      </c>
      <c r="L758" s="25" t="n">
        <v>16535.66</v>
      </c>
      <c r="M758" s="25" t="n">
        <v>0</v>
      </c>
      <c r="N758" s="25" t="n">
        <v>66142.64</v>
      </c>
      <c r="O758" s="25" t="n">
        <v>0</v>
      </c>
      <c r="P758" s="25" t="n">
        <v>66142.64</v>
      </c>
      <c r="Q758" s="27" t="b">
        <f aca="false">FALSE()</f>
        <v>0</v>
      </c>
      <c r="R758" s="27" t="b">
        <f aca="false">FALSE()</f>
        <v>0</v>
      </c>
      <c r="S758" s="27" t="b">
        <f aca="false">FALSE()</f>
        <v>0</v>
      </c>
    </row>
    <row r="759" customFormat="false" ht="15" hidden="false" customHeight="false" outlineLevel="0" collapsed="false">
      <c r="A759" s="25" t="n">
        <v>758</v>
      </c>
      <c r="B759" s="25" t="s">
        <v>1683</v>
      </c>
      <c r="C759" s="25" t="s">
        <v>303</v>
      </c>
      <c r="D759" s="25" t="n">
        <v>20240206</v>
      </c>
      <c r="E759" s="25" t="n">
        <v>29</v>
      </c>
      <c r="F759" s="25" t="n">
        <v>14</v>
      </c>
      <c r="G759" s="25" t="s">
        <v>115</v>
      </c>
      <c r="H759" s="25" t="s">
        <v>25</v>
      </c>
      <c r="I759" s="25" t="s">
        <v>71</v>
      </c>
      <c r="J759" s="25" t="s">
        <v>242</v>
      </c>
      <c r="K759" s="25" t="n">
        <v>2</v>
      </c>
      <c r="L759" s="25" t="n">
        <v>13809.86</v>
      </c>
      <c r="M759" s="25" t="n">
        <v>20</v>
      </c>
      <c r="N759" s="25" t="n">
        <v>27619.72</v>
      </c>
      <c r="O759" s="25" t="n">
        <v>5523.94</v>
      </c>
      <c r="P759" s="25" t="n">
        <v>22095.78</v>
      </c>
      <c r="Q759" s="27" t="b">
        <f aca="false">FALSE()</f>
        <v>0</v>
      </c>
      <c r="R759" s="27" t="b">
        <f aca="false">FALSE()</f>
        <v>0</v>
      </c>
      <c r="S759" s="27" t="b">
        <f aca="false">FALSE()</f>
        <v>0</v>
      </c>
    </row>
    <row r="760" customFormat="false" ht="15" hidden="false" customHeight="false" outlineLevel="0" collapsed="false">
      <c r="A760" s="25" t="n">
        <v>759</v>
      </c>
      <c r="B760" s="25" t="s">
        <v>1684</v>
      </c>
      <c r="C760" s="25" t="s">
        <v>303</v>
      </c>
      <c r="D760" s="25" t="n">
        <v>20240206</v>
      </c>
      <c r="E760" s="25" t="n">
        <v>29</v>
      </c>
      <c r="F760" s="25" t="n">
        <v>10</v>
      </c>
      <c r="G760" s="25" t="s">
        <v>115</v>
      </c>
      <c r="H760" s="25" t="s">
        <v>25</v>
      </c>
      <c r="I760" s="25" t="s">
        <v>71</v>
      </c>
      <c r="J760" s="25" t="s">
        <v>242</v>
      </c>
      <c r="K760" s="25" t="n">
        <v>1</v>
      </c>
      <c r="L760" s="25" t="n">
        <v>1165.83</v>
      </c>
      <c r="M760" s="25" t="n">
        <v>0</v>
      </c>
      <c r="N760" s="25" t="n">
        <v>1165.83</v>
      </c>
      <c r="O760" s="25" t="n">
        <v>0</v>
      </c>
      <c r="P760" s="25" t="n">
        <v>1165.83</v>
      </c>
      <c r="Q760" s="27" t="b">
        <f aca="false">FALSE()</f>
        <v>0</v>
      </c>
      <c r="R760" s="27" t="b">
        <f aca="false">FALSE()</f>
        <v>0</v>
      </c>
      <c r="S760" s="27" t="b">
        <f aca="false">FALSE()</f>
        <v>0</v>
      </c>
    </row>
    <row r="761" customFormat="false" ht="15" hidden="false" customHeight="false" outlineLevel="0" collapsed="false">
      <c r="A761" s="25" t="n">
        <v>760</v>
      </c>
      <c r="B761" s="25" t="s">
        <v>1685</v>
      </c>
      <c r="C761" s="25" t="s">
        <v>303</v>
      </c>
      <c r="D761" s="25" t="n">
        <v>20240206</v>
      </c>
      <c r="E761" s="25" t="n">
        <v>29</v>
      </c>
      <c r="F761" s="25" t="n">
        <v>25</v>
      </c>
      <c r="G761" s="25" t="s">
        <v>115</v>
      </c>
      <c r="H761" s="25" t="s">
        <v>25</v>
      </c>
      <c r="I761" s="25" t="s">
        <v>71</v>
      </c>
      <c r="J761" s="25" t="s">
        <v>242</v>
      </c>
      <c r="K761" s="25" t="n">
        <v>3</v>
      </c>
      <c r="L761" s="25" t="n">
        <v>19632.52</v>
      </c>
      <c r="M761" s="25" t="n">
        <v>20</v>
      </c>
      <c r="N761" s="25" t="n">
        <v>58897.56</v>
      </c>
      <c r="O761" s="25" t="n">
        <v>11779.51</v>
      </c>
      <c r="P761" s="25" t="n">
        <v>47118.05</v>
      </c>
      <c r="Q761" s="27" t="b">
        <f aca="false">FALSE()</f>
        <v>0</v>
      </c>
      <c r="R761" s="27" t="b">
        <f aca="false">FALSE()</f>
        <v>0</v>
      </c>
      <c r="S761" s="27" t="b">
        <f aca="false">FALSE()</f>
        <v>0</v>
      </c>
    </row>
    <row r="762" customFormat="false" ht="15" hidden="false" customHeight="false" outlineLevel="0" collapsed="false">
      <c r="A762" s="25" t="n">
        <v>761</v>
      </c>
      <c r="B762" s="25" t="s">
        <v>1686</v>
      </c>
      <c r="C762" s="25" t="s">
        <v>274</v>
      </c>
      <c r="D762" s="25" t="n">
        <v>20240929</v>
      </c>
      <c r="E762" s="25" t="n">
        <v>74</v>
      </c>
      <c r="F762" s="25" t="n">
        <v>44</v>
      </c>
      <c r="G762" s="25" t="s">
        <v>114</v>
      </c>
      <c r="H762" s="25" t="s">
        <v>25</v>
      </c>
      <c r="I762" s="25" t="s">
        <v>1743</v>
      </c>
      <c r="J762" s="25" t="s">
        <v>250</v>
      </c>
      <c r="K762" s="25" t="n">
        <v>3</v>
      </c>
      <c r="L762" s="25" t="n">
        <v>22655.14</v>
      </c>
      <c r="M762" s="25" t="n">
        <v>10</v>
      </c>
      <c r="N762" s="25" t="n">
        <v>67965.42</v>
      </c>
      <c r="O762" s="25" t="n">
        <v>6796.54</v>
      </c>
      <c r="P762" s="25" t="n">
        <v>61168.88</v>
      </c>
      <c r="Q762" s="27" t="b">
        <f aca="false">TRUE()</f>
        <v>1</v>
      </c>
      <c r="R762" s="27" t="b">
        <f aca="false">FALSE()</f>
        <v>0</v>
      </c>
      <c r="S762" s="27" t="b">
        <f aca="false">FALSE()</f>
        <v>0</v>
      </c>
    </row>
    <row r="763" customFormat="false" ht="15" hidden="false" customHeight="false" outlineLevel="0" collapsed="false">
      <c r="A763" s="25" t="n">
        <v>762</v>
      </c>
      <c r="B763" s="25" t="s">
        <v>1688</v>
      </c>
      <c r="C763" s="25" t="s">
        <v>274</v>
      </c>
      <c r="D763" s="25" t="n">
        <v>20240929</v>
      </c>
      <c r="E763" s="25" t="n">
        <v>74</v>
      </c>
      <c r="F763" s="25" t="n">
        <v>68</v>
      </c>
      <c r="G763" s="25" t="s">
        <v>114</v>
      </c>
      <c r="H763" s="25" t="s">
        <v>25</v>
      </c>
      <c r="I763" s="25" t="s">
        <v>1743</v>
      </c>
      <c r="J763" s="25" t="s">
        <v>250</v>
      </c>
      <c r="K763" s="25" t="n">
        <v>4</v>
      </c>
      <c r="L763" s="25" t="n">
        <v>21978.46</v>
      </c>
      <c r="M763" s="25" t="n">
        <v>10</v>
      </c>
      <c r="N763" s="25" t="n">
        <v>87913.84</v>
      </c>
      <c r="O763" s="25" t="n">
        <v>8791.38</v>
      </c>
      <c r="P763" s="25" t="n">
        <v>79122.46</v>
      </c>
      <c r="Q763" s="27" t="b">
        <f aca="false">FALSE()</f>
        <v>0</v>
      </c>
      <c r="R763" s="27" t="b">
        <f aca="false">FALSE()</f>
        <v>0</v>
      </c>
      <c r="S763" s="27" t="b">
        <f aca="false">FALSE()</f>
        <v>0</v>
      </c>
    </row>
    <row r="764" customFormat="false" ht="15" hidden="false" customHeight="false" outlineLevel="0" collapsed="false">
      <c r="A764" s="25" t="n">
        <v>763</v>
      </c>
      <c r="B764" s="25" t="s">
        <v>1689</v>
      </c>
      <c r="C764" s="25" t="s">
        <v>495</v>
      </c>
      <c r="D764" s="25" t="n">
        <v>20241216</v>
      </c>
      <c r="E764" s="25" t="n">
        <v>58</v>
      </c>
      <c r="F764" s="25" t="n">
        <v>22</v>
      </c>
      <c r="G764" s="25" t="s">
        <v>113</v>
      </c>
      <c r="H764" s="25" t="s">
        <v>2270</v>
      </c>
      <c r="I764" s="25" t="s">
        <v>75</v>
      </c>
      <c r="J764" s="25" t="s">
        <v>242</v>
      </c>
      <c r="K764" s="25" t="n">
        <v>3</v>
      </c>
      <c r="L764" s="25" t="n">
        <v>19552.29</v>
      </c>
      <c r="M764" s="25" t="n">
        <v>20</v>
      </c>
      <c r="N764" s="25" t="n">
        <v>58656.87</v>
      </c>
      <c r="O764" s="25" t="n">
        <v>11731.37</v>
      </c>
      <c r="P764" s="25" t="n">
        <v>46925.5</v>
      </c>
      <c r="Q764" s="27" t="b">
        <f aca="false">FALSE()</f>
        <v>0</v>
      </c>
      <c r="R764" s="27" t="b">
        <f aca="false">FALSE()</f>
        <v>0</v>
      </c>
      <c r="S764" s="27" t="b">
        <f aca="false">FALSE()</f>
        <v>0</v>
      </c>
    </row>
    <row r="765" customFormat="false" ht="15" hidden="false" customHeight="false" outlineLevel="0" collapsed="false">
      <c r="A765" s="25" t="n">
        <v>764</v>
      </c>
      <c r="B765" s="25" t="s">
        <v>1691</v>
      </c>
      <c r="C765" s="25" t="s">
        <v>468</v>
      </c>
      <c r="D765" s="25" t="n">
        <v>20240225</v>
      </c>
      <c r="E765" s="25" t="n">
        <v>44</v>
      </c>
      <c r="F765" s="25" t="n">
        <v>13</v>
      </c>
      <c r="G765" s="25" t="s">
        <v>113</v>
      </c>
      <c r="H765" s="25" t="s">
        <v>25</v>
      </c>
      <c r="I765" s="25" t="s">
        <v>75</v>
      </c>
      <c r="J765" s="25" t="s">
        <v>242</v>
      </c>
      <c r="K765" s="25" t="n">
        <v>3</v>
      </c>
      <c r="L765" s="25" t="n">
        <v>15622.68</v>
      </c>
      <c r="M765" s="25" t="n">
        <v>15</v>
      </c>
      <c r="N765" s="25" t="n">
        <v>46868.04</v>
      </c>
      <c r="O765" s="25" t="n">
        <v>7030.21</v>
      </c>
      <c r="P765" s="25" t="n">
        <v>39837.83</v>
      </c>
      <c r="Q765" s="27" t="b">
        <f aca="false">FALSE()</f>
        <v>0</v>
      </c>
      <c r="R765" s="27" t="b">
        <f aca="false">FALSE()</f>
        <v>0</v>
      </c>
      <c r="S765" s="27" t="b">
        <f aca="false">FALSE()</f>
        <v>0</v>
      </c>
    </row>
    <row r="766" customFormat="false" ht="15" hidden="false" customHeight="false" outlineLevel="0" collapsed="false">
      <c r="A766" s="25" t="n">
        <v>765</v>
      </c>
      <c r="B766" s="25" t="s">
        <v>1692</v>
      </c>
      <c r="C766" s="25" t="s">
        <v>468</v>
      </c>
      <c r="D766" s="25" t="n">
        <v>20240225</v>
      </c>
      <c r="E766" s="25" t="n">
        <v>44</v>
      </c>
      <c r="F766" s="25" t="n">
        <v>58</v>
      </c>
      <c r="G766" s="25" t="s">
        <v>113</v>
      </c>
      <c r="H766" s="25" t="s">
        <v>25</v>
      </c>
      <c r="I766" s="25" t="s">
        <v>75</v>
      </c>
      <c r="J766" s="25" t="s">
        <v>242</v>
      </c>
      <c r="K766" s="25" t="n">
        <v>3</v>
      </c>
      <c r="L766" s="25" t="n">
        <v>22572.25</v>
      </c>
      <c r="M766" s="25" t="n">
        <v>10</v>
      </c>
      <c r="N766" s="25" t="n">
        <v>67716.75</v>
      </c>
      <c r="O766" s="25" t="n">
        <v>6771.68</v>
      </c>
      <c r="P766" s="25" t="n">
        <v>60945.07</v>
      </c>
      <c r="Q766" s="27" t="b">
        <f aca="false">FALSE()</f>
        <v>0</v>
      </c>
      <c r="R766" s="27" t="b">
        <f aca="false">FALSE()</f>
        <v>0</v>
      </c>
      <c r="S766" s="27" t="b">
        <f aca="false">FALSE()</f>
        <v>0</v>
      </c>
    </row>
    <row r="767" customFormat="false" ht="15" hidden="false" customHeight="false" outlineLevel="0" collapsed="false">
      <c r="A767" s="25" t="n">
        <v>766</v>
      </c>
      <c r="B767" s="25" t="s">
        <v>1693</v>
      </c>
      <c r="C767" s="25" t="s">
        <v>314</v>
      </c>
      <c r="D767" s="25" t="n">
        <v>20250915</v>
      </c>
      <c r="E767" s="25" t="n">
        <v>158</v>
      </c>
      <c r="F767" s="25" t="n">
        <v>54</v>
      </c>
      <c r="G767" s="25" t="s">
        <v>113</v>
      </c>
      <c r="H767" s="25" t="s">
        <v>2264</v>
      </c>
      <c r="I767" s="25" t="s">
        <v>79</v>
      </c>
      <c r="J767" s="25" t="s">
        <v>269</v>
      </c>
      <c r="K767" s="25" t="n">
        <v>4</v>
      </c>
      <c r="L767" s="25" t="n">
        <v>20481.04</v>
      </c>
      <c r="M767" s="25" t="n">
        <v>5</v>
      </c>
      <c r="N767" s="25" t="n">
        <v>81924.16</v>
      </c>
      <c r="O767" s="25" t="n">
        <v>4096.21</v>
      </c>
      <c r="P767" s="25" t="n">
        <v>77827.95</v>
      </c>
      <c r="Q767" s="27" t="b">
        <f aca="false">FALSE()</f>
        <v>0</v>
      </c>
      <c r="R767" s="27" t="b">
        <f aca="false">FALSE()</f>
        <v>0</v>
      </c>
      <c r="S767" s="27" t="b">
        <f aca="false">FALSE()</f>
        <v>0</v>
      </c>
    </row>
    <row r="768" customFormat="false" ht="15" hidden="false" customHeight="false" outlineLevel="0" collapsed="false">
      <c r="A768" s="25" t="n">
        <v>767</v>
      </c>
      <c r="B768" s="25" t="s">
        <v>1694</v>
      </c>
      <c r="C768" s="25" t="s">
        <v>314</v>
      </c>
      <c r="D768" s="25" t="n">
        <v>20250915</v>
      </c>
      <c r="E768" s="25" t="n">
        <v>158</v>
      </c>
      <c r="F768" s="25" t="n">
        <v>69</v>
      </c>
      <c r="G768" s="25" t="s">
        <v>113</v>
      </c>
      <c r="H768" s="25" t="s">
        <v>2264</v>
      </c>
      <c r="I768" s="25" t="s">
        <v>79</v>
      </c>
      <c r="J768" s="25" t="s">
        <v>269</v>
      </c>
      <c r="K768" s="25" t="n">
        <v>2</v>
      </c>
      <c r="L768" s="25" t="n">
        <v>25742.49</v>
      </c>
      <c r="M768" s="25" t="n">
        <v>20</v>
      </c>
      <c r="N768" s="25" t="n">
        <v>51484.98</v>
      </c>
      <c r="O768" s="25" t="n">
        <v>10297</v>
      </c>
      <c r="P768" s="25" t="n">
        <v>41187.98</v>
      </c>
      <c r="Q768" s="27" t="b">
        <f aca="false">FALSE()</f>
        <v>0</v>
      </c>
      <c r="R768" s="27" t="b">
        <f aca="false">FALSE()</f>
        <v>0</v>
      </c>
      <c r="S768" s="27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1" customFormat="false" ht="30" hidden="false" customHeight="true" outlineLevel="0" collapsed="false">
      <c r="A1" s="10" t="s">
        <v>2279</v>
      </c>
      <c r="B1" s="10" t="s">
        <v>2280</v>
      </c>
      <c r="C1" s="10" t="s">
        <v>759</v>
      </c>
      <c r="D1" s="10" t="s">
        <v>2281</v>
      </c>
      <c r="E1" s="10" t="s">
        <v>1695</v>
      </c>
      <c r="F1" s="10" t="s">
        <v>2282</v>
      </c>
      <c r="G1" s="10" t="s">
        <v>2283</v>
      </c>
      <c r="H1" s="10" t="s">
        <v>2284</v>
      </c>
      <c r="I1" s="10" t="s">
        <v>2285</v>
      </c>
    </row>
    <row r="2" customFormat="false" ht="15" hidden="false" customHeight="false" outlineLevel="0" collapsed="false">
      <c r="A2" s="25" t="n">
        <v>1</v>
      </c>
      <c r="B2" s="25" t="s">
        <v>2286</v>
      </c>
      <c r="C2" s="25" t="s">
        <v>338</v>
      </c>
      <c r="D2" s="25" t="n">
        <v>20240123</v>
      </c>
      <c r="E2" s="25" t="n">
        <v>101</v>
      </c>
      <c r="F2" s="25" t="s">
        <v>2287</v>
      </c>
      <c r="G2" s="25" t="s">
        <v>247</v>
      </c>
      <c r="H2" s="25" t="n">
        <v>217899.14</v>
      </c>
      <c r="I2" s="27" t="b">
        <f aca="false">FALSE()</f>
        <v>0</v>
      </c>
    </row>
    <row r="3" customFormat="false" ht="15" hidden="false" customHeight="false" outlineLevel="0" collapsed="false">
      <c r="A3" s="25" t="n">
        <v>2</v>
      </c>
      <c r="B3" s="25" t="s">
        <v>2288</v>
      </c>
      <c r="C3" s="25" t="s">
        <v>578</v>
      </c>
      <c r="D3" s="25" t="n">
        <v>20240411</v>
      </c>
      <c r="E3" s="25" t="n">
        <v>142</v>
      </c>
      <c r="F3" s="25" t="s">
        <v>2289</v>
      </c>
      <c r="G3" s="25" t="s">
        <v>243</v>
      </c>
      <c r="H3" s="25" t="n">
        <v>70038.03</v>
      </c>
      <c r="I3" s="27" t="b">
        <f aca="false">FALSE()</f>
        <v>0</v>
      </c>
    </row>
    <row r="4" customFormat="false" ht="15" hidden="false" customHeight="false" outlineLevel="0" collapsed="false">
      <c r="A4" s="25" t="n">
        <v>3</v>
      </c>
      <c r="B4" s="25" t="s">
        <v>2290</v>
      </c>
      <c r="C4" s="25" t="s">
        <v>389</v>
      </c>
      <c r="D4" s="25" t="n">
        <v>-1</v>
      </c>
      <c r="E4" s="25" t="n">
        <v>139</v>
      </c>
      <c r="F4" s="25" t="s">
        <v>2291</v>
      </c>
      <c r="G4" s="25" t="s">
        <v>266</v>
      </c>
      <c r="H4" s="25" t="n">
        <v>169639.44</v>
      </c>
      <c r="I4" s="27" t="b">
        <f aca="false">FALSE()</f>
        <v>0</v>
      </c>
    </row>
    <row r="5" customFormat="false" ht="15" hidden="false" customHeight="false" outlineLevel="0" collapsed="false">
      <c r="A5" s="25" t="n">
        <v>4</v>
      </c>
      <c r="B5" s="25" t="s">
        <v>2292</v>
      </c>
      <c r="C5" s="25" t="s">
        <v>396</v>
      </c>
      <c r="D5" s="25" t="n">
        <v>20241215</v>
      </c>
      <c r="E5" s="25" t="n">
        <v>60</v>
      </c>
      <c r="F5" s="25" t="s">
        <v>2291</v>
      </c>
      <c r="G5" s="25" t="s">
        <v>243</v>
      </c>
      <c r="H5" s="25" t="n">
        <v>84945.76</v>
      </c>
      <c r="I5" s="27" t="b">
        <f aca="false">FALSE()</f>
        <v>0</v>
      </c>
    </row>
    <row r="6" customFormat="false" ht="15" hidden="false" customHeight="false" outlineLevel="0" collapsed="false">
      <c r="A6" s="25" t="n">
        <v>5</v>
      </c>
      <c r="B6" s="25" t="s">
        <v>2293</v>
      </c>
      <c r="C6" s="25" t="s">
        <v>524</v>
      </c>
      <c r="D6" s="25" t="n">
        <v>20251020</v>
      </c>
      <c r="E6" s="25" t="n">
        <v>25</v>
      </c>
      <c r="F6" s="25" t="s">
        <v>2289</v>
      </c>
      <c r="G6" s="25" t="s">
        <v>243</v>
      </c>
      <c r="H6" s="25" t="n">
        <v>66656.86</v>
      </c>
      <c r="I6" s="27" t="b">
        <f aca="false">FALSE()</f>
        <v>0</v>
      </c>
    </row>
    <row r="7" customFormat="false" ht="15" hidden="false" customHeight="false" outlineLevel="0" collapsed="false">
      <c r="A7" s="25" t="n">
        <v>6</v>
      </c>
      <c r="B7" s="25" t="s">
        <v>2294</v>
      </c>
      <c r="C7" s="25" t="s">
        <v>480</v>
      </c>
      <c r="D7" s="25" t="n">
        <v>20241211</v>
      </c>
      <c r="E7" s="25" t="n">
        <v>70</v>
      </c>
      <c r="F7" s="25" t="s">
        <v>2295</v>
      </c>
      <c r="G7" s="25" t="s">
        <v>243</v>
      </c>
      <c r="H7" s="25" t="n">
        <v>121814.2</v>
      </c>
      <c r="I7" s="27" t="b">
        <f aca="false">FALSE()</f>
        <v>0</v>
      </c>
    </row>
    <row r="8" customFormat="false" ht="15" hidden="false" customHeight="false" outlineLevel="0" collapsed="false">
      <c r="A8" s="25" t="n">
        <v>7</v>
      </c>
      <c r="B8" s="25" t="s">
        <v>2296</v>
      </c>
      <c r="C8" s="25" t="s">
        <v>506</v>
      </c>
      <c r="D8" s="25" t="n">
        <v>20250401</v>
      </c>
      <c r="E8" s="25" t="n">
        <v>-1</v>
      </c>
      <c r="F8" s="25" t="s">
        <v>2295</v>
      </c>
      <c r="G8" s="25" t="s">
        <v>243</v>
      </c>
      <c r="H8" s="25" t="n">
        <v>111449.1</v>
      </c>
      <c r="I8" s="27" t="b">
        <f aca="false">FALSE()</f>
        <v>0</v>
      </c>
    </row>
    <row r="9" customFormat="false" ht="15" hidden="false" customHeight="false" outlineLevel="0" collapsed="false">
      <c r="A9" s="25" t="n">
        <v>8</v>
      </c>
      <c r="B9" s="25" t="s">
        <v>2297</v>
      </c>
      <c r="C9" s="25" t="s">
        <v>336</v>
      </c>
      <c r="D9" s="25" t="n">
        <v>20240728</v>
      </c>
      <c r="E9" s="25" t="n">
        <v>3</v>
      </c>
      <c r="F9" s="25" t="s">
        <v>2295</v>
      </c>
      <c r="G9" s="25" t="s">
        <v>266</v>
      </c>
      <c r="H9" s="25" t="n">
        <v>109161.52</v>
      </c>
      <c r="I9" s="27" t="b">
        <f aca="false">FALSE()</f>
        <v>0</v>
      </c>
    </row>
    <row r="10" customFormat="false" ht="15" hidden="false" customHeight="false" outlineLevel="0" collapsed="false">
      <c r="A10" s="25" t="n">
        <v>9</v>
      </c>
      <c r="B10" s="25" t="s">
        <v>2298</v>
      </c>
      <c r="C10" s="25" t="s">
        <v>385</v>
      </c>
      <c r="D10" s="25" t="n">
        <v>20240804</v>
      </c>
      <c r="E10" s="25" t="n">
        <v>29</v>
      </c>
      <c r="F10" s="25" t="s">
        <v>2289</v>
      </c>
      <c r="G10" s="25" t="s">
        <v>250</v>
      </c>
      <c r="H10" s="25" t="n">
        <v>25721.45</v>
      </c>
      <c r="I10" s="27" t="b">
        <f aca="false">FALSE()</f>
        <v>0</v>
      </c>
    </row>
    <row r="11" customFormat="false" ht="15" hidden="false" customHeight="false" outlineLevel="0" collapsed="false">
      <c r="A11" s="25" t="n">
        <v>10</v>
      </c>
      <c r="B11" s="25" t="s">
        <v>2299</v>
      </c>
      <c r="C11" s="25" t="s">
        <v>489</v>
      </c>
      <c r="D11" s="25" t="n">
        <v>-1</v>
      </c>
      <c r="E11" s="25" t="n">
        <v>70</v>
      </c>
      <c r="F11" s="25" t="s">
        <v>2289</v>
      </c>
      <c r="G11" s="25" t="s">
        <v>266</v>
      </c>
      <c r="H11" s="25" t="n">
        <v>232807.42</v>
      </c>
      <c r="I11" s="27" t="b">
        <f aca="false">FALSE()</f>
        <v>0</v>
      </c>
    </row>
    <row r="12" customFormat="false" ht="15" hidden="false" customHeight="false" outlineLevel="0" collapsed="false">
      <c r="A12" s="25" t="n">
        <v>11</v>
      </c>
      <c r="B12" s="25" t="s">
        <v>2300</v>
      </c>
      <c r="C12" s="25" t="s">
        <v>531</v>
      </c>
      <c r="D12" s="25" t="n">
        <v>20240129</v>
      </c>
      <c r="E12" s="25" t="n">
        <v>121</v>
      </c>
      <c r="F12" s="25" t="s">
        <v>2289</v>
      </c>
      <c r="G12" s="25" t="s">
        <v>243</v>
      </c>
      <c r="H12" s="25" t="n">
        <v>85404.43</v>
      </c>
      <c r="I12" s="27" t="b">
        <f aca="false">FALSE()</f>
        <v>0</v>
      </c>
    </row>
    <row r="13" customFormat="false" ht="15" hidden="false" customHeight="false" outlineLevel="0" collapsed="false">
      <c r="A13" s="25" t="n">
        <v>12</v>
      </c>
      <c r="B13" s="25" t="s">
        <v>2301</v>
      </c>
      <c r="C13" s="25" t="s">
        <v>513</v>
      </c>
      <c r="D13" s="25" t="n">
        <v>20250920</v>
      </c>
      <c r="E13" s="25" t="n">
        <v>88</v>
      </c>
      <c r="F13" s="25" t="s">
        <v>2295</v>
      </c>
      <c r="G13" s="25" t="s">
        <v>243</v>
      </c>
      <c r="H13" s="25" t="n">
        <v>116934.61</v>
      </c>
      <c r="I13" s="27" t="b">
        <f aca="false">FALSE()</f>
        <v>0</v>
      </c>
    </row>
    <row r="14" customFormat="false" ht="15" hidden="false" customHeight="false" outlineLevel="0" collapsed="false">
      <c r="A14" s="25" t="n">
        <v>13</v>
      </c>
      <c r="B14" s="25" t="s">
        <v>2302</v>
      </c>
      <c r="C14" s="25" t="s">
        <v>369</v>
      </c>
      <c r="D14" s="25" t="n">
        <v>20241215</v>
      </c>
      <c r="E14" s="25" t="n">
        <v>95</v>
      </c>
      <c r="F14" s="25" t="s">
        <v>2291</v>
      </c>
      <c r="G14" s="25" t="s">
        <v>243</v>
      </c>
      <c r="H14" s="25" t="n">
        <v>183020.25</v>
      </c>
      <c r="I14" s="27" t="b">
        <f aca="false">FALSE()</f>
        <v>0</v>
      </c>
    </row>
    <row r="15" customFormat="false" ht="15" hidden="false" customHeight="false" outlineLevel="0" collapsed="false">
      <c r="A15" s="25" t="n">
        <v>14</v>
      </c>
      <c r="B15" s="25" t="s">
        <v>2303</v>
      </c>
      <c r="C15" s="25" t="s">
        <v>433</v>
      </c>
      <c r="D15" s="25" t="n">
        <v>20240618</v>
      </c>
      <c r="E15" s="25" t="n">
        <v>98</v>
      </c>
      <c r="F15" s="25" t="s">
        <v>2287</v>
      </c>
      <c r="G15" s="25" t="s">
        <v>250</v>
      </c>
      <c r="H15" s="25" t="n">
        <v>85908.79</v>
      </c>
      <c r="I15" s="27" t="b">
        <f aca="false">FALSE()</f>
        <v>0</v>
      </c>
    </row>
    <row r="16" customFormat="false" ht="15" hidden="false" customHeight="false" outlineLevel="0" collapsed="false">
      <c r="A16" s="25" t="n">
        <v>15</v>
      </c>
      <c r="B16" s="25" t="s">
        <v>2304</v>
      </c>
      <c r="C16" s="25" t="s">
        <v>416</v>
      </c>
      <c r="D16" s="25" t="n">
        <v>20250303</v>
      </c>
      <c r="E16" s="25" t="n">
        <v>31</v>
      </c>
      <c r="F16" s="25" t="s">
        <v>2305</v>
      </c>
      <c r="G16" s="25" t="s">
        <v>243</v>
      </c>
      <c r="H16" s="25" t="n">
        <v>109892.3</v>
      </c>
      <c r="I16" s="27" t="b">
        <f aca="false">FALSE()</f>
        <v>0</v>
      </c>
    </row>
    <row r="17" customFormat="false" ht="15" hidden="false" customHeight="false" outlineLevel="0" collapsed="false">
      <c r="A17" s="25" t="n">
        <v>16</v>
      </c>
      <c r="B17" s="25" t="s">
        <v>2306</v>
      </c>
      <c r="C17" s="25" t="s">
        <v>362</v>
      </c>
      <c r="D17" s="25" t="n">
        <v>20240513</v>
      </c>
      <c r="E17" s="25" t="n">
        <v>20</v>
      </c>
      <c r="F17" s="25" t="s">
        <v>2295</v>
      </c>
      <c r="G17" s="25" t="s">
        <v>266</v>
      </c>
      <c r="H17" s="25" t="n">
        <v>79229.47</v>
      </c>
      <c r="I17" s="27" t="b">
        <f aca="false">FALSE()</f>
        <v>0</v>
      </c>
    </row>
    <row r="18" customFormat="false" ht="15" hidden="false" customHeight="false" outlineLevel="0" collapsed="false">
      <c r="A18" s="25" t="n">
        <v>17</v>
      </c>
      <c r="B18" s="25" t="s">
        <v>2307</v>
      </c>
      <c r="C18" s="25" t="s">
        <v>450</v>
      </c>
      <c r="D18" s="25" t="n">
        <v>20250817</v>
      </c>
      <c r="E18" s="25" t="n">
        <v>123</v>
      </c>
      <c r="F18" s="25" t="s">
        <v>2305</v>
      </c>
      <c r="G18" s="25" t="s">
        <v>266</v>
      </c>
      <c r="H18" s="25" t="n">
        <v>44167.34</v>
      </c>
      <c r="I18" s="27" t="b">
        <f aca="false">FALSE()</f>
        <v>0</v>
      </c>
    </row>
    <row r="19" customFormat="false" ht="15" hidden="false" customHeight="false" outlineLevel="0" collapsed="false">
      <c r="A19" s="25" t="n">
        <v>18</v>
      </c>
      <c r="B19" s="25" t="s">
        <v>2308</v>
      </c>
      <c r="C19" s="25" t="s">
        <v>277</v>
      </c>
      <c r="D19" s="25" t="n">
        <v>20250108</v>
      </c>
      <c r="E19" s="25" t="n">
        <v>5</v>
      </c>
      <c r="F19" s="25" t="s">
        <v>2291</v>
      </c>
      <c r="G19" s="25" t="s">
        <v>243</v>
      </c>
      <c r="H19" s="25" t="n">
        <v>5927.39</v>
      </c>
      <c r="I19" s="27" t="b">
        <f aca="false">FALSE()</f>
        <v>0</v>
      </c>
    </row>
    <row r="20" customFormat="false" ht="15" hidden="false" customHeight="false" outlineLevel="0" collapsed="false">
      <c r="A20" s="25" t="n">
        <v>19</v>
      </c>
      <c r="B20" s="25" t="s">
        <v>2309</v>
      </c>
      <c r="C20" s="25" t="s">
        <v>529</v>
      </c>
      <c r="D20" s="25" t="n">
        <v>20240525</v>
      </c>
      <c r="E20" s="25" t="n">
        <v>83</v>
      </c>
      <c r="F20" s="25" t="s">
        <v>2305</v>
      </c>
      <c r="G20" s="25" t="s">
        <v>243</v>
      </c>
      <c r="H20" s="25" t="n">
        <v>46336.48</v>
      </c>
      <c r="I20" s="27" t="b">
        <f aca="false">FALSE()</f>
        <v>0</v>
      </c>
    </row>
    <row r="21" customFormat="false" ht="15" hidden="false" customHeight="false" outlineLevel="0" collapsed="false">
      <c r="A21" s="25" t="n">
        <v>20</v>
      </c>
      <c r="B21" s="25" t="s">
        <v>2310</v>
      </c>
      <c r="C21" s="25" t="s">
        <v>377</v>
      </c>
      <c r="D21" s="25" t="n">
        <v>20240316</v>
      </c>
      <c r="E21" s="25" t="n">
        <v>77</v>
      </c>
      <c r="F21" s="25" t="s">
        <v>2291</v>
      </c>
      <c r="G21" s="25" t="s">
        <v>243</v>
      </c>
      <c r="H21" s="25" t="n">
        <v>133613.87</v>
      </c>
      <c r="I21" s="27" t="b">
        <f aca="false">FALSE()</f>
        <v>0</v>
      </c>
    </row>
    <row r="22" customFormat="false" ht="15" hidden="false" customHeight="false" outlineLevel="0" collapsed="false">
      <c r="A22" s="25" t="n">
        <v>21</v>
      </c>
      <c r="B22" s="25" t="s">
        <v>2311</v>
      </c>
      <c r="C22" s="25" t="s">
        <v>550</v>
      </c>
      <c r="D22" s="25" t="n">
        <v>20250228</v>
      </c>
      <c r="E22" s="25" t="n">
        <v>4</v>
      </c>
      <c r="F22" s="25" t="s">
        <v>2291</v>
      </c>
      <c r="G22" s="25" t="s">
        <v>243</v>
      </c>
      <c r="H22" s="25" t="n">
        <v>69561.49</v>
      </c>
      <c r="I22" s="27" t="b">
        <f aca="false">FALSE()</f>
        <v>0</v>
      </c>
    </row>
    <row r="23" customFormat="false" ht="15" hidden="false" customHeight="false" outlineLevel="0" collapsed="false">
      <c r="A23" s="25" t="n">
        <v>22</v>
      </c>
      <c r="B23" s="25" t="s">
        <v>2312</v>
      </c>
      <c r="C23" s="25" t="s">
        <v>572</v>
      </c>
      <c r="D23" s="25" t="n">
        <v>20240508</v>
      </c>
      <c r="E23" s="25" t="n">
        <v>130</v>
      </c>
      <c r="F23" s="25" t="s">
        <v>2305</v>
      </c>
      <c r="G23" s="25" t="s">
        <v>243</v>
      </c>
      <c r="H23" s="25" t="n">
        <v>105657.97</v>
      </c>
      <c r="I23" s="27" t="b">
        <f aca="false">FALSE()</f>
        <v>0</v>
      </c>
    </row>
    <row r="24" customFormat="false" ht="15" hidden="false" customHeight="false" outlineLevel="0" collapsed="false">
      <c r="A24" s="25" t="n">
        <v>23</v>
      </c>
      <c r="B24" s="25" t="s">
        <v>2313</v>
      </c>
      <c r="C24" s="25" t="s">
        <v>549</v>
      </c>
      <c r="D24" s="25" t="n">
        <v>20240422</v>
      </c>
      <c r="E24" s="25" t="n">
        <v>135</v>
      </c>
      <c r="F24" s="25" t="s">
        <v>2289</v>
      </c>
      <c r="G24" s="25" t="s">
        <v>243</v>
      </c>
      <c r="H24" s="25" t="n">
        <v>12959.23</v>
      </c>
      <c r="I24" s="27" t="b">
        <f aca="false">FALSE()</f>
        <v>0</v>
      </c>
    </row>
    <row r="25" customFormat="false" ht="15" hidden="false" customHeight="false" outlineLevel="0" collapsed="false">
      <c r="A25" s="25" t="n">
        <v>24</v>
      </c>
      <c r="B25" s="25" t="s">
        <v>2314</v>
      </c>
      <c r="C25" s="25" t="s">
        <v>517</v>
      </c>
      <c r="D25" s="25" t="n">
        <v>20240703</v>
      </c>
      <c r="E25" s="25" t="n">
        <v>129</v>
      </c>
      <c r="F25" s="25" t="s">
        <v>2287</v>
      </c>
      <c r="G25" s="25" t="s">
        <v>243</v>
      </c>
      <c r="H25" s="25" t="n">
        <v>57768.49</v>
      </c>
      <c r="I25" s="27" t="b">
        <f aca="false">FALSE()</f>
        <v>0</v>
      </c>
    </row>
    <row r="26" customFormat="false" ht="15" hidden="false" customHeight="false" outlineLevel="0" collapsed="false">
      <c r="A26" s="25" t="n">
        <v>25</v>
      </c>
      <c r="B26" s="25" t="s">
        <v>2315</v>
      </c>
      <c r="C26" s="25" t="s">
        <v>470</v>
      </c>
      <c r="D26" s="25" t="n">
        <v>20240321</v>
      </c>
      <c r="E26" s="25" t="n">
        <v>112</v>
      </c>
      <c r="F26" s="25" t="s">
        <v>2289</v>
      </c>
      <c r="G26" s="25" t="s">
        <v>243</v>
      </c>
      <c r="H26" s="25" t="n">
        <v>33891.3</v>
      </c>
      <c r="I26" s="27" t="b">
        <f aca="false">FALSE()</f>
        <v>0</v>
      </c>
    </row>
    <row r="27" customFormat="false" ht="15" hidden="false" customHeight="false" outlineLevel="0" collapsed="false">
      <c r="A27" s="25" t="n">
        <v>26</v>
      </c>
      <c r="B27" s="25" t="s">
        <v>2316</v>
      </c>
      <c r="C27" s="25" t="s">
        <v>585</v>
      </c>
      <c r="D27" s="25" t="n">
        <v>20250612</v>
      </c>
      <c r="E27" s="25" t="n">
        <v>-1</v>
      </c>
      <c r="F27" s="25" t="s">
        <v>2295</v>
      </c>
      <c r="G27" s="25" t="s">
        <v>247</v>
      </c>
      <c r="H27" s="25" t="n">
        <v>45226.39</v>
      </c>
      <c r="I27" s="27" t="b">
        <f aca="false">TRUE()</f>
        <v>1</v>
      </c>
    </row>
    <row r="28" customFormat="false" ht="15" hidden="false" customHeight="false" outlineLevel="0" collapsed="false">
      <c r="A28" s="25" t="n">
        <v>27</v>
      </c>
      <c r="B28" s="25" t="s">
        <v>2317</v>
      </c>
      <c r="C28" s="25" t="s">
        <v>439</v>
      </c>
      <c r="D28" s="25" t="n">
        <v>20240601</v>
      </c>
      <c r="E28" s="25" t="n">
        <v>42</v>
      </c>
      <c r="F28" s="25" t="s">
        <v>2291</v>
      </c>
      <c r="G28" s="25" t="s">
        <v>247</v>
      </c>
      <c r="H28" s="25" t="n">
        <v>85251.43</v>
      </c>
      <c r="I28" s="27" t="b">
        <f aca="false">FALSE()</f>
        <v>0</v>
      </c>
    </row>
    <row r="29" customFormat="false" ht="15" hidden="false" customHeight="false" outlineLevel="0" collapsed="false">
      <c r="A29" s="25" t="n">
        <v>28</v>
      </c>
      <c r="B29" s="25" t="s">
        <v>2318</v>
      </c>
      <c r="C29" s="25" t="s">
        <v>402</v>
      </c>
      <c r="D29" s="25" t="n">
        <v>20240129</v>
      </c>
      <c r="E29" s="25" t="n">
        <v>129</v>
      </c>
      <c r="F29" s="25" t="s">
        <v>2287</v>
      </c>
      <c r="G29" s="25" t="s">
        <v>243</v>
      </c>
      <c r="H29" s="25" t="n">
        <v>82730.34</v>
      </c>
      <c r="I29" s="27" t="b">
        <f aca="false">FALSE()</f>
        <v>0</v>
      </c>
    </row>
    <row r="30" customFormat="false" ht="15" hidden="false" customHeight="false" outlineLevel="0" collapsed="false">
      <c r="A30" s="25" t="n">
        <v>29</v>
      </c>
      <c r="B30" s="25" t="s">
        <v>2319</v>
      </c>
      <c r="C30" s="25" t="s">
        <v>412</v>
      </c>
      <c r="D30" s="25" t="n">
        <v>20250608</v>
      </c>
      <c r="E30" s="25" t="n">
        <v>65</v>
      </c>
      <c r="F30" s="25" t="s">
        <v>2287</v>
      </c>
      <c r="G30" s="25" t="s">
        <v>247</v>
      </c>
      <c r="H30" s="25" t="n">
        <v>21122.18</v>
      </c>
      <c r="I30" s="27" t="b">
        <f aca="false">FALSE()</f>
        <v>0</v>
      </c>
    </row>
    <row r="31" customFormat="false" ht="15" hidden="false" customHeight="false" outlineLevel="0" collapsed="false">
      <c r="A31" s="25" t="n">
        <v>30</v>
      </c>
      <c r="B31" s="25" t="s">
        <v>2320</v>
      </c>
      <c r="C31" s="25" t="s">
        <v>358</v>
      </c>
      <c r="D31" s="25" t="n">
        <v>20241114</v>
      </c>
      <c r="E31" s="25" t="n">
        <v>65</v>
      </c>
      <c r="F31" s="25" t="s">
        <v>2289</v>
      </c>
      <c r="G31" s="25" t="s">
        <v>266</v>
      </c>
      <c r="H31" s="25" t="n">
        <v>47190.36</v>
      </c>
      <c r="I31" s="27" t="b">
        <f aca="false">FALSE()</f>
        <v>0</v>
      </c>
    </row>
    <row r="32" customFormat="false" ht="15" hidden="false" customHeight="false" outlineLevel="0" collapsed="false">
      <c r="A32" s="25" t="n">
        <v>31</v>
      </c>
      <c r="B32" s="25" t="s">
        <v>2321</v>
      </c>
      <c r="C32" s="25" t="s">
        <v>348</v>
      </c>
      <c r="D32" s="25" t="n">
        <v>20250203</v>
      </c>
      <c r="E32" s="25" t="n">
        <v>67</v>
      </c>
      <c r="F32" s="25" t="s">
        <v>2287</v>
      </c>
      <c r="G32" s="25" t="s">
        <v>243</v>
      </c>
      <c r="H32" s="25" t="n">
        <v>20278.89</v>
      </c>
      <c r="I32" s="27" t="b">
        <f aca="false">FALSE()</f>
        <v>0</v>
      </c>
    </row>
    <row r="33" customFormat="false" ht="15" hidden="false" customHeight="false" outlineLevel="0" collapsed="false">
      <c r="A33" s="25" t="n">
        <v>32</v>
      </c>
      <c r="B33" s="25" t="s">
        <v>2322</v>
      </c>
      <c r="C33" s="25" t="s">
        <v>361</v>
      </c>
      <c r="D33" s="25" t="n">
        <v>20240509</v>
      </c>
      <c r="E33" s="25" t="n">
        <v>-1</v>
      </c>
      <c r="F33" s="25" t="s">
        <v>2295</v>
      </c>
      <c r="G33" s="25" t="s">
        <v>243</v>
      </c>
      <c r="H33" s="25" t="n">
        <v>179805.82</v>
      </c>
      <c r="I33" s="27" t="b">
        <f aca="false">FALSE()</f>
        <v>0</v>
      </c>
    </row>
    <row r="34" customFormat="false" ht="15" hidden="false" customHeight="false" outlineLevel="0" collapsed="false">
      <c r="A34" s="25" t="n">
        <v>33</v>
      </c>
      <c r="B34" s="25" t="s">
        <v>2323</v>
      </c>
      <c r="C34" s="25" t="s">
        <v>386</v>
      </c>
      <c r="D34" s="25" t="n">
        <v>20240229</v>
      </c>
      <c r="E34" s="25" t="n">
        <v>-1</v>
      </c>
      <c r="F34" s="25" t="s">
        <v>2291</v>
      </c>
      <c r="G34" s="25" t="s">
        <v>243</v>
      </c>
      <c r="H34" s="25" t="n">
        <v>78658.69</v>
      </c>
      <c r="I34" s="27" t="b">
        <f aca="false">FALSE()</f>
        <v>0</v>
      </c>
    </row>
    <row r="35" customFormat="false" ht="15" hidden="false" customHeight="false" outlineLevel="0" collapsed="false">
      <c r="A35" s="25" t="n">
        <v>34</v>
      </c>
      <c r="B35" s="25" t="s">
        <v>2324</v>
      </c>
      <c r="C35" s="25" t="s">
        <v>334</v>
      </c>
      <c r="D35" s="25" t="n">
        <v>20240415</v>
      </c>
      <c r="E35" s="25" t="n">
        <v>29</v>
      </c>
      <c r="F35" s="25" t="s">
        <v>2287</v>
      </c>
      <c r="G35" s="25" t="s">
        <v>247</v>
      </c>
      <c r="H35" s="25" t="n">
        <v>105538.37</v>
      </c>
      <c r="I35" s="27" t="b">
        <f aca="false">FALSE()</f>
        <v>0</v>
      </c>
    </row>
    <row r="36" customFormat="false" ht="15" hidden="false" customHeight="false" outlineLevel="0" collapsed="false">
      <c r="A36" s="25" t="n">
        <v>35</v>
      </c>
      <c r="B36" s="25" t="s">
        <v>2325</v>
      </c>
      <c r="C36" s="25" t="s">
        <v>363</v>
      </c>
      <c r="D36" s="25" t="n">
        <v>20240302</v>
      </c>
      <c r="E36" s="25" t="n">
        <v>117</v>
      </c>
      <c r="F36" s="25" t="s">
        <v>2291</v>
      </c>
      <c r="G36" s="25" t="s">
        <v>243</v>
      </c>
      <c r="H36" s="25" t="n">
        <v>131635.23</v>
      </c>
      <c r="I36" s="27" t="b">
        <f aca="false">FALSE()</f>
        <v>0</v>
      </c>
    </row>
    <row r="37" customFormat="false" ht="15" hidden="false" customHeight="false" outlineLevel="0" collapsed="false">
      <c r="A37" s="25" t="n">
        <v>36</v>
      </c>
      <c r="B37" s="25" t="s">
        <v>2326</v>
      </c>
      <c r="C37" s="25" t="s">
        <v>538</v>
      </c>
      <c r="D37" s="25" t="n">
        <v>20250218</v>
      </c>
      <c r="E37" s="25" t="n">
        <v>54</v>
      </c>
      <c r="F37" s="25" t="s">
        <v>2291</v>
      </c>
      <c r="G37" s="25" t="s">
        <v>243</v>
      </c>
      <c r="H37" s="25" t="n">
        <v>118038.32</v>
      </c>
      <c r="I37" s="27" t="b">
        <f aca="false">FALSE()</f>
        <v>0</v>
      </c>
    </row>
    <row r="38" customFormat="false" ht="15" hidden="false" customHeight="false" outlineLevel="0" collapsed="false">
      <c r="A38" s="25" t="n">
        <v>37</v>
      </c>
      <c r="B38" s="25" t="s">
        <v>2327</v>
      </c>
      <c r="C38" s="25" t="s">
        <v>376</v>
      </c>
      <c r="D38" s="25" t="n">
        <v>20250915</v>
      </c>
      <c r="E38" s="25" t="n">
        <v>45</v>
      </c>
      <c r="F38" s="25" t="s">
        <v>2305</v>
      </c>
      <c r="G38" s="25" t="s">
        <v>250</v>
      </c>
      <c r="H38" s="25" t="n">
        <v>136297.54</v>
      </c>
      <c r="I38" s="27" t="b">
        <f aca="false">FALSE()</f>
        <v>0</v>
      </c>
    </row>
    <row r="39" customFormat="false" ht="15" hidden="false" customHeight="false" outlineLevel="0" collapsed="false">
      <c r="A39" s="25" t="n">
        <v>38</v>
      </c>
      <c r="B39" s="25" t="s">
        <v>2328</v>
      </c>
      <c r="C39" s="25" t="s">
        <v>299</v>
      </c>
      <c r="D39" s="25" t="n">
        <v>20251029</v>
      </c>
      <c r="E39" s="25" t="n">
        <v>78</v>
      </c>
      <c r="F39" s="25" t="s">
        <v>2305</v>
      </c>
      <c r="G39" s="25" t="s">
        <v>243</v>
      </c>
      <c r="H39" s="25" t="n">
        <v>27686.04</v>
      </c>
      <c r="I39" s="27" t="b">
        <f aca="false">FALSE()</f>
        <v>0</v>
      </c>
    </row>
    <row r="40" customFormat="false" ht="15" hidden="false" customHeight="false" outlineLevel="0" collapsed="false">
      <c r="A40" s="25" t="n">
        <v>39</v>
      </c>
      <c r="B40" s="25" t="s">
        <v>2329</v>
      </c>
      <c r="C40" s="25" t="s">
        <v>308</v>
      </c>
      <c r="D40" s="25" t="n">
        <v>20250222</v>
      </c>
      <c r="E40" s="25" t="n">
        <v>97</v>
      </c>
      <c r="F40" s="25" t="s">
        <v>2291</v>
      </c>
      <c r="G40" s="25" t="s">
        <v>247</v>
      </c>
      <c r="H40" s="25" t="n">
        <v>101394.45</v>
      </c>
      <c r="I40" s="27" t="b">
        <f aca="false">FALSE()</f>
        <v>0</v>
      </c>
    </row>
    <row r="41" customFormat="false" ht="15" hidden="false" customHeight="false" outlineLevel="0" collapsed="false">
      <c r="A41" s="25" t="n">
        <v>40</v>
      </c>
      <c r="B41" s="25" t="s">
        <v>2330</v>
      </c>
      <c r="C41" s="25" t="s">
        <v>458</v>
      </c>
      <c r="D41" s="25" t="n">
        <v>20240210</v>
      </c>
      <c r="E41" s="25" t="n">
        <v>66</v>
      </c>
      <c r="F41" s="25" t="s">
        <v>2289</v>
      </c>
      <c r="G41" s="25" t="s">
        <v>243</v>
      </c>
      <c r="H41" s="25" t="n">
        <v>19553.09</v>
      </c>
      <c r="I41" s="27" t="b">
        <f aca="false">FALSE()</f>
        <v>0</v>
      </c>
    </row>
    <row r="42" customFormat="false" ht="15" hidden="false" customHeight="false" outlineLevel="0" collapsed="false">
      <c r="A42" s="25" t="n">
        <v>41</v>
      </c>
      <c r="B42" s="25" t="s">
        <v>2331</v>
      </c>
      <c r="C42" s="25" t="s">
        <v>276</v>
      </c>
      <c r="D42" s="25" t="n">
        <v>20250703</v>
      </c>
      <c r="E42" s="25" t="n">
        <v>79</v>
      </c>
      <c r="F42" s="25" t="s">
        <v>2289</v>
      </c>
      <c r="G42" s="25" t="s">
        <v>247</v>
      </c>
      <c r="H42" s="25" t="n">
        <v>29190.88</v>
      </c>
      <c r="I42" s="27" t="b">
        <f aca="false">FALSE()</f>
        <v>0</v>
      </c>
    </row>
    <row r="43" customFormat="false" ht="15" hidden="false" customHeight="false" outlineLevel="0" collapsed="false">
      <c r="A43" s="25" t="n">
        <v>42</v>
      </c>
      <c r="B43" s="25" t="s">
        <v>2332</v>
      </c>
      <c r="C43" s="25" t="s">
        <v>267</v>
      </c>
      <c r="D43" s="25" t="n">
        <v>20250414</v>
      </c>
      <c r="E43" s="25" t="n">
        <v>85</v>
      </c>
      <c r="F43" s="25" t="s">
        <v>2295</v>
      </c>
      <c r="G43" s="25" t="s">
        <v>266</v>
      </c>
      <c r="H43" s="25" t="n">
        <v>25431.4</v>
      </c>
      <c r="I43" s="27" t="b">
        <f aca="false">FALSE()</f>
        <v>0</v>
      </c>
    </row>
    <row r="44" customFormat="false" ht="15" hidden="false" customHeight="false" outlineLevel="0" collapsed="false">
      <c r="A44" s="25" t="n">
        <v>43</v>
      </c>
      <c r="B44" s="25" t="s">
        <v>2333</v>
      </c>
      <c r="C44" s="25" t="s">
        <v>528</v>
      </c>
      <c r="D44" s="25" t="n">
        <v>20250614</v>
      </c>
      <c r="E44" s="25" t="n">
        <v>-1</v>
      </c>
      <c r="F44" s="25" t="s">
        <v>2289</v>
      </c>
      <c r="G44" s="25" t="s">
        <v>243</v>
      </c>
      <c r="H44" s="25" t="n">
        <v>197775.58</v>
      </c>
      <c r="I44" s="27" t="b">
        <f aca="false">FALSE()</f>
        <v>0</v>
      </c>
    </row>
    <row r="45" customFormat="false" ht="15" hidden="false" customHeight="false" outlineLevel="0" collapsed="false">
      <c r="A45" s="25" t="n">
        <v>44</v>
      </c>
      <c r="B45" s="25" t="s">
        <v>2334</v>
      </c>
      <c r="C45" s="25" t="s">
        <v>441</v>
      </c>
      <c r="D45" s="25" t="n">
        <v>20240325</v>
      </c>
      <c r="E45" s="25" t="n">
        <v>119</v>
      </c>
      <c r="F45" s="25" t="s">
        <v>2295</v>
      </c>
      <c r="G45" s="25" t="s">
        <v>243</v>
      </c>
      <c r="H45" s="25" t="n">
        <v>38858.28</v>
      </c>
      <c r="I45" s="27" t="b">
        <f aca="false">FALSE()</f>
        <v>0</v>
      </c>
    </row>
    <row r="46" customFormat="false" ht="15" hidden="false" customHeight="false" outlineLevel="0" collapsed="false">
      <c r="A46" s="25" t="n">
        <v>45</v>
      </c>
      <c r="B46" s="25" t="s">
        <v>2335</v>
      </c>
      <c r="C46" s="25" t="s">
        <v>455</v>
      </c>
      <c r="D46" s="25" t="n">
        <v>20240604</v>
      </c>
      <c r="E46" s="25" t="n">
        <v>149</v>
      </c>
      <c r="F46" s="25" t="s">
        <v>2295</v>
      </c>
      <c r="G46" s="25" t="s">
        <v>243</v>
      </c>
      <c r="H46" s="25" t="n">
        <v>82240.62</v>
      </c>
      <c r="I46" s="27" t="b">
        <f aca="false">FALSE()</f>
        <v>0</v>
      </c>
    </row>
    <row r="47" customFormat="false" ht="15" hidden="false" customHeight="false" outlineLevel="0" collapsed="false">
      <c r="A47" s="25" t="n">
        <v>46</v>
      </c>
      <c r="B47" s="25" t="s">
        <v>2336</v>
      </c>
      <c r="C47" s="25" t="s">
        <v>342</v>
      </c>
      <c r="D47" s="25" t="n">
        <v>20251019</v>
      </c>
      <c r="E47" s="25" t="n">
        <v>77</v>
      </c>
      <c r="F47" s="25" t="s">
        <v>2287</v>
      </c>
      <c r="G47" s="25" t="s">
        <v>243</v>
      </c>
      <c r="H47" s="25" t="n">
        <v>53303.95</v>
      </c>
      <c r="I47" s="27" t="b">
        <f aca="false">FALSE()</f>
        <v>0</v>
      </c>
    </row>
    <row r="48" customFormat="false" ht="15" hidden="false" customHeight="false" outlineLevel="0" collapsed="false">
      <c r="A48" s="25" t="n">
        <v>47</v>
      </c>
      <c r="B48" s="25" t="s">
        <v>2337</v>
      </c>
      <c r="C48" s="25" t="s">
        <v>553</v>
      </c>
      <c r="D48" s="25" t="n">
        <v>20250612</v>
      </c>
      <c r="E48" s="25" t="n">
        <v>5</v>
      </c>
      <c r="F48" s="25" t="s">
        <v>2289</v>
      </c>
      <c r="G48" s="25" t="s">
        <v>243</v>
      </c>
      <c r="H48" s="25" t="n">
        <v>215198.38</v>
      </c>
      <c r="I48" s="27" t="b">
        <f aca="false">FALSE()</f>
        <v>0</v>
      </c>
    </row>
    <row r="49" customFormat="false" ht="15" hidden="false" customHeight="false" outlineLevel="0" collapsed="false">
      <c r="A49" s="25" t="n">
        <v>48</v>
      </c>
      <c r="B49" s="25" t="s">
        <v>2338</v>
      </c>
      <c r="C49" s="25" t="s">
        <v>298</v>
      </c>
      <c r="D49" s="25" t="n">
        <v>20250521</v>
      </c>
      <c r="E49" s="25" t="n">
        <v>32</v>
      </c>
      <c r="F49" s="25" t="s">
        <v>2295</v>
      </c>
      <c r="G49" s="25" t="s">
        <v>266</v>
      </c>
      <c r="H49" s="25" t="n">
        <v>86036.41</v>
      </c>
      <c r="I49" s="27" t="b">
        <f aca="false">FALSE()</f>
        <v>0</v>
      </c>
    </row>
    <row r="50" customFormat="false" ht="15" hidden="false" customHeight="false" outlineLevel="0" collapsed="false">
      <c r="A50" s="25" t="n">
        <v>49</v>
      </c>
      <c r="B50" s="25" t="s">
        <v>2339</v>
      </c>
      <c r="C50" s="25" t="s">
        <v>350</v>
      </c>
      <c r="D50" s="25" t="n">
        <v>20250623</v>
      </c>
      <c r="E50" s="25" t="n">
        <v>2</v>
      </c>
      <c r="F50" s="25" t="s">
        <v>2289</v>
      </c>
      <c r="G50" s="25" t="s">
        <v>243</v>
      </c>
      <c r="H50" s="25" t="n">
        <v>128276.3</v>
      </c>
      <c r="I50" s="27" t="b">
        <f aca="false">FALSE()</f>
        <v>0</v>
      </c>
    </row>
    <row r="51" customFormat="false" ht="15" hidden="false" customHeight="false" outlineLevel="0" collapsed="false">
      <c r="A51" s="25" t="n">
        <v>50</v>
      </c>
      <c r="B51" s="25" t="s">
        <v>2340</v>
      </c>
      <c r="C51" s="25" t="s">
        <v>555</v>
      </c>
      <c r="D51" s="25" t="n">
        <v>20241020</v>
      </c>
      <c r="E51" s="25" t="n">
        <v>111</v>
      </c>
      <c r="F51" s="25" t="s">
        <v>2291</v>
      </c>
      <c r="G51" s="25" t="s">
        <v>243</v>
      </c>
      <c r="H51" s="25" t="n">
        <v>111846.56</v>
      </c>
      <c r="I51" s="27" t="b">
        <f aca="false">FALSE()</f>
        <v>0</v>
      </c>
    </row>
    <row r="52" customFormat="false" ht="15" hidden="false" customHeight="false" outlineLevel="0" collapsed="false">
      <c r="A52" s="25" t="n">
        <v>51</v>
      </c>
      <c r="B52" s="25" t="s">
        <v>2341</v>
      </c>
      <c r="C52" s="25" t="s">
        <v>544</v>
      </c>
      <c r="D52" s="25" t="n">
        <v>20240509</v>
      </c>
      <c r="E52" s="25" t="n">
        <v>35</v>
      </c>
      <c r="F52" s="25" t="s">
        <v>2291</v>
      </c>
      <c r="G52" s="25" t="s">
        <v>243</v>
      </c>
      <c r="H52" s="25" t="n">
        <v>33152.01</v>
      </c>
      <c r="I52" s="27" t="b">
        <f aca="false">FALSE()</f>
        <v>0</v>
      </c>
    </row>
    <row r="53" customFormat="false" ht="15" hidden="false" customHeight="false" outlineLevel="0" collapsed="false">
      <c r="A53" s="25" t="n">
        <v>52</v>
      </c>
      <c r="B53" s="25" t="s">
        <v>2342</v>
      </c>
      <c r="C53" s="25" t="s">
        <v>417</v>
      </c>
      <c r="D53" s="25" t="n">
        <v>20250604</v>
      </c>
      <c r="E53" s="25" t="n">
        <v>124</v>
      </c>
      <c r="F53" s="25" t="s">
        <v>2305</v>
      </c>
      <c r="G53" s="25" t="s">
        <v>250</v>
      </c>
      <c r="H53" s="25" t="n">
        <v>9890.31</v>
      </c>
      <c r="I53" s="27" t="b">
        <f aca="false">FALSE()</f>
        <v>0</v>
      </c>
    </row>
    <row r="54" customFormat="false" ht="15" hidden="false" customHeight="false" outlineLevel="0" collapsed="false">
      <c r="A54" s="25" t="n">
        <v>53</v>
      </c>
      <c r="B54" s="25" t="s">
        <v>2343</v>
      </c>
      <c r="C54" s="25" t="s">
        <v>554</v>
      </c>
      <c r="D54" s="25" t="n">
        <v>20240827</v>
      </c>
      <c r="E54" s="25" t="n">
        <v>71</v>
      </c>
      <c r="F54" s="25" t="s">
        <v>2287</v>
      </c>
      <c r="G54" s="25" t="s">
        <v>243</v>
      </c>
      <c r="H54" s="25" t="n">
        <v>104519.98</v>
      </c>
      <c r="I54" s="27" t="b">
        <f aca="false">FALSE()</f>
        <v>0</v>
      </c>
    </row>
    <row r="55" customFormat="false" ht="15" hidden="false" customHeight="false" outlineLevel="0" collapsed="false">
      <c r="A55" s="25" t="n">
        <v>54</v>
      </c>
      <c r="B55" s="25" t="s">
        <v>2344</v>
      </c>
      <c r="C55" s="25" t="s">
        <v>285</v>
      </c>
      <c r="D55" s="25" t="n">
        <v>20240331</v>
      </c>
      <c r="E55" s="25" t="n">
        <v>59</v>
      </c>
      <c r="F55" s="25" t="s">
        <v>2295</v>
      </c>
      <c r="G55" s="25" t="s">
        <v>243</v>
      </c>
      <c r="H55" s="25" t="n">
        <v>113233.2</v>
      </c>
      <c r="I55" s="27" t="b">
        <f aca="false">FALSE()</f>
        <v>0</v>
      </c>
    </row>
    <row r="56" customFormat="false" ht="15" hidden="false" customHeight="false" outlineLevel="0" collapsed="false">
      <c r="A56" s="25" t="n">
        <v>55</v>
      </c>
      <c r="B56" s="25" t="s">
        <v>2345</v>
      </c>
      <c r="C56" s="25" t="s">
        <v>569</v>
      </c>
      <c r="D56" s="25" t="n">
        <v>20250825</v>
      </c>
      <c r="E56" s="25" t="n">
        <v>77</v>
      </c>
      <c r="F56" s="25" t="s">
        <v>2305</v>
      </c>
      <c r="G56" s="25" t="s">
        <v>243</v>
      </c>
      <c r="H56" s="25" t="n">
        <v>172589.04</v>
      </c>
      <c r="I56" s="27" t="b">
        <f aca="false">FALSE()</f>
        <v>0</v>
      </c>
    </row>
    <row r="57" customFormat="false" ht="15" hidden="false" customHeight="false" outlineLevel="0" collapsed="false">
      <c r="A57" s="25" t="n">
        <v>56</v>
      </c>
      <c r="B57" s="25" t="s">
        <v>2346</v>
      </c>
      <c r="C57" s="25" t="s">
        <v>471</v>
      </c>
      <c r="D57" s="25" t="n">
        <v>20241121</v>
      </c>
      <c r="E57" s="25" t="n">
        <v>157</v>
      </c>
      <c r="F57" s="25" t="s">
        <v>2287</v>
      </c>
      <c r="G57" s="25" t="s">
        <v>243</v>
      </c>
      <c r="H57" s="25" t="n">
        <v>147563.76</v>
      </c>
      <c r="I57" s="27" t="b">
        <f aca="false">FALSE()</f>
        <v>0</v>
      </c>
    </row>
    <row r="58" customFormat="false" ht="15" hidden="false" customHeight="false" outlineLevel="0" collapsed="false">
      <c r="A58" s="25" t="n">
        <v>57</v>
      </c>
      <c r="B58" s="25" t="s">
        <v>2347</v>
      </c>
      <c r="C58" s="25" t="s">
        <v>374</v>
      </c>
      <c r="D58" s="25" t="n">
        <v>20241020</v>
      </c>
      <c r="E58" s="25" t="n">
        <v>109</v>
      </c>
      <c r="F58" s="25" t="s">
        <v>2289</v>
      </c>
      <c r="G58" s="25" t="s">
        <v>243</v>
      </c>
      <c r="H58" s="25" t="n">
        <v>16084.14</v>
      </c>
      <c r="I58" s="27" t="b">
        <f aca="false">FALSE()</f>
        <v>0</v>
      </c>
    </row>
    <row r="59" customFormat="false" ht="15" hidden="false" customHeight="false" outlineLevel="0" collapsed="false">
      <c r="A59" s="25" t="n">
        <v>58</v>
      </c>
      <c r="B59" s="25" t="s">
        <v>2348</v>
      </c>
      <c r="C59" s="25" t="s">
        <v>558</v>
      </c>
      <c r="D59" s="25" t="n">
        <v>20240716</v>
      </c>
      <c r="E59" s="25" t="n">
        <v>107</v>
      </c>
      <c r="F59" s="25" t="s">
        <v>2291</v>
      </c>
      <c r="G59" s="25" t="s">
        <v>266</v>
      </c>
      <c r="H59" s="25" t="n">
        <v>246362.98</v>
      </c>
      <c r="I59" s="27" t="b">
        <f aca="false">FALSE()</f>
        <v>0</v>
      </c>
    </row>
    <row r="60" customFormat="false" ht="15" hidden="false" customHeight="false" outlineLevel="0" collapsed="false">
      <c r="A60" s="25" t="n">
        <v>59</v>
      </c>
      <c r="B60" s="25" t="s">
        <v>2349</v>
      </c>
      <c r="C60" s="25" t="s">
        <v>494</v>
      </c>
      <c r="D60" s="25" t="n">
        <v>20250412</v>
      </c>
      <c r="E60" s="25" t="n">
        <v>7</v>
      </c>
      <c r="F60" s="25" t="s">
        <v>2287</v>
      </c>
      <c r="G60" s="25" t="s">
        <v>266</v>
      </c>
      <c r="H60" s="25" t="n">
        <v>137682.77</v>
      </c>
      <c r="I60" s="27" t="b">
        <f aca="false">FALSE()</f>
        <v>0</v>
      </c>
    </row>
    <row r="61" customFormat="false" ht="15" hidden="false" customHeight="false" outlineLevel="0" collapsed="false">
      <c r="A61" s="25" t="n">
        <v>60</v>
      </c>
      <c r="B61" s="25" t="s">
        <v>2350</v>
      </c>
      <c r="C61" s="25" t="s">
        <v>356</v>
      </c>
      <c r="D61" s="25" t="n">
        <v>20240705</v>
      </c>
      <c r="E61" s="25" t="n">
        <v>111</v>
      </c>
      <c r="F61" s="25" t="s">
        <v>2287</v>
      </c>
      <c r="G61" s="25" t="s">
        <v>243</v>
      </c>
      <c r="H61" s="25" t="n">
        <v>102114.63</v>
      </c>
      <c r="I61" s="27" t="b">
        <f aca="false">FALSE()</f>
        <v>0</v>
      </c>
    </row>
    <row r="62" customFormat="false" ht="15" hidden="false" customHeight="false" outlineLevel="0" collapsed="false">
      <c r="A62" s="25" t="n">
        <v>61</v>
      </c>
      <c r="B62" s="25" t="s">
        <v>2351</v>
      </c>
      <c r="C62" s="25" t="s">
        <v>500</v>
      </c>
      <c r="D62" s="25" t="n">
        <v>20240505</v>
      </c>
      <c r="E62" s="25" t="n">
        <v>91</v>
      </c>
      <c r="F62" s="25" t="s">
        <v>2291</v>
      </c>
      <c r="G62" s="25" t="s">
        <v>243</v>
      </c>
      <c r="H62" s="25" t="n">
        <v>30581.95</v>
      </c>
      <c r="I62" s="27" t="b">
        <f aca="false">FALSE()</f>
        <v>0</v>
      </c>
    </row>
    <row r="63" customFormat="false" ht="15" hidden="false" customHeight="false" outlineLevel="0" collapsed="false">
      <c r="A63" s="25" t="n">
        <v>62</v>
      </c>
      <c r="B63" s="25" t="s">
        <v>2352</v>
      </c>
      <c r="C63" s="25" t="s">
        <v>333</v>
      </c>
      <c r="D63" s="25" t="n">
        <v>20240820</v>
      </c>
      <c r="E63" s="25" t="n">
        <v>117</v>
      </c>
      <c r="F63" s="25" t="s">
        <v>2291</v>
      </c>
      <c r="G63" s="25" t="s">
        <v>243</v>
      </c>
      <c r="H63" s="25" t="n">
        <v>18459.92</v>
      </c>
      <c r="I63" s="27" t="b">
        <f aca="false">FALSE()</f>
        <v>0</v>
      </c>
    </row>
    <row r="64" customFormat="false" ht="15" hidden="false" customHeight="false" outlineLevel="0" collapsed="false">
      <c r="A64" s="25" t="n">
        <v>63</v>
      </c>
      <c r="B64" s="25" t="s">
        <v>2353</v>
      </c>
      <c r="C64" s="25" t="s">
        <v>378</v>
      </c>
      <c r="D64" s="25" t="n">
        <v>20250505</v>
      </c>
      <c r="E64" s="25" t="n">
        <v>19</v>
      </c>
      <c r="F64" s="25" t="s">
        <v>2305</v>
      </c>
      <c r="G64" s="25" t="s">
        <v>243</v>
      </c>
      <c r="H64" s="25" t="n">
        <v>54451.15</v>
      </c>
      <c r="I64" s="27" t="b">
        <f aca="false">FALSE()</f>
        <v>0</v>
      </c>
    </row>
    <row r="65" customFormat="false" ht="15" hidden="false" customHeight="false" outlineLevel="0" collapsed="false">
      <c r="A65" s="25" t="n">
        <v>64</v>
      </c>
      <c r="B65" s="25" t="s">
        <v>2354</v>
      </c>
      <c r="C65" s="25" t="s">
        <v>477</v>
      </c>
      <c r="D65" s="25" t="n">
        <v>20240307</v>
      </c>
      <c r="E65" s="25" t="n">
        <v>136</v>
      </c>
      <c r="F65" s="25" t="s">
        <v>2305</v>
      </c>
      <c r="G65" s="25" t="s">
        <v>243</v>
      </c>
      <c r="H65" s="25" t="n">
        <v>59964.6</v>
      </c>
      <c r="I65" s="27" t="b">
        <f aca="false">FALSE()</f>
        <v>0</v>
      </c>
    </row>
    <row r="66" customFormat="false" ht="15" hidden="false" customHeight="false" outlineLevel="0" collapsed="false">
      <c r="A66" s="25" t="n">
        <v>65</v>
      </c>
      <c r="B66" s="25" t="s">
        <v>2355</v>
      </c>
      <c r="C66" s="25" t="s">
        <v>462</v>
      </c>
      <c r="D66" s="25" t="n">
        <v>20251107</v>
      </c>
      <c r="E66" s="25" t="n">
        <v>-1</v>
      </c>
      <c r="F66" s="25" t="s">
        <v>2287</v>
      </c>
      <c r="G66" s="25" t="s">
        <v>243</v>
      </c>
      <c r="H66" s="25" t="n">
        <v>106990.92</v>
      </c>
      <c r="I66" s="27" t="b">
        <f aca="false">FALSE()</f>
        <v>0</v>
      </c>
    </row>
    <row r="67" customFormat="false" ht="15" hidden="false" customHeight="false" outlineLevel="0" collapsed="false">
      <c r="A67" s="25" t="n">
        <v>66</v>
      </c>
      <c r="B67" s="25" t="s">
        <v>2356</v>
      </c>
      <c r="C67" s="25" t="s">
        <v>469</v>
      </c>
      <c r="D67" s="25" t="n">
        <v>20250409</v>
      </c>
      <c r="E67" s="25" t="n">
        <v>29</v>
      </c>
      <c r="F67" s="25" t="s">
        <v>2291</v>
      </c>
      <c r="G67" s="25" t="s">
        <v>243</v>
      </c>
      <c r="H67" s="25" t="n">
        <v>75706.13</v>
      </c>
      <c r="I67" s="27" t="b">
        <f aca="false">FALSE()</f>
        <v>0</v>
      </c>
    </row>
    <row r="68" customFormat="false" ht="15" hidden="false" customHeight="false" outlineLevel="0" collapsed="false">
      <c r="A68" s="25" t="n">
        <v>67</v>
      </c>
      <c r="B68" s="25" t="s">
        <v>2357</v>
      </c>
      <c r="C68" s="25" t="s">
        <v>254</v>
      </c>
      <c r="D68" s="25" t="n">
        <v>20250106</v>
      </c>
      <c r="E68" s="25" t="n">
        <v>142</v>
      </c>
      <c r="F68" s="25" t="s">
        <v>2287</v>
      </c>
      <c r="G68" s="25" t="s">
        <v>243</v>
      </c>
      <c r="H68" s="25" t="n">
        <v>73078.38</v>
      </c>
      <c r="I68" s="27" t="b">
        <f aca="false">FALSE()</f>
        <v>0</v>
      </c>
    </row>
    <row r="69" customFormat="false" ht="15" hidden="false" customHeight="false" outlineLevel="0" collapsed="false">
      <c r="A69" s="25" t="n">
        <v>68</v>
      </c>
      <c r="B69" s="25" t="s">
        <v>2358</v>
      </c>
      <c r="C69" s="25" t="s">
        <v>579</v>
      </c>
      <c r="D69" s="25" t="n">
        <v>20240216</v>
      </c>
      <c r="E69" s="25" t="n">
        <v>99</v>
      </c>
      <c r="F69" s="25" t="s">
        <v>2291</v>
      </c>
      <c r="G69" s="25" t="s">
        <v>243</v>
      </c>
      <c r="H69" s="25" t="n">
        <v>61617.2</v>
      </c>
      <c r="I69" s="27" t="b">
        <f aca="false">FALSE()</f>
        <v>0</v>
      </c>
    </row>
    <row r="70" customFormat="false" ht="15" hidden="false" customHeight="false" outlineLevel="0" collapsed="false">
      <c r="A70" s="25" t="n">
        <v>69</v>
      </c>
      <c r="B70" s="25" t="s">
        <v>2359</v>
      </c>
      <c r="C70" s="25" t="s">
        <v>434</v>
      </c>
      <c r="D70" s="25" t="n">
        <v>20240413</v>
      </c>
      <c r="E70" s="25" t="n">
        <v>121</v>
      </c>
      <c r="F70" s="25" t="s">
        <v>2295</v>
      </c>
      <c r="G70" s="25" t="s">
        <v>243</v>
      </c>
      <c r="H70" s="25" t="n">
        <v>36501.39</v>
      </c>
      <c r="I70" s="27" t="b">
        <f aca="false">FALSE()</f>
        <v>0</v>
      </c>
    </row>
    <row r="71" customFormat="false" ht="15" hidden="false" customHeight="false" outlineLevel="0" collapsed="false">
      <c r="A71" s="25" t="n">
        <v>70</v>
      </c>
      <c r="B71" s="25" t="s">
        <v>2360</v>
      </c>
      <c r="C71" s="25" t="s">
        <v>310</v>
      </c>
      <c r="D71" s="25" t="n">
        <v>20240717</v>
      </c>
      <c r="E71" s="25" t="n">
        <v>138</v>
      </c>
      <c r="F71" s="25" t="s">
        <v>2289</v>
      </c>
      <c r="G71" s="25" t="s">
        <v>243</v>
      </c>
      <c r="H71" s="25" t="n">
        <v>49795.09</v>
      </c>
      <c r="I71" s="27" t="b">
        <f aca="false">FALSE()</f>
        <v>0</v>
      </c>
    </row>
    <row r="72" customFormat="false" ht="15" hidden="false" customHeight="false" outlineLevel="0" collapsed="false">
      <c r="A72" s="25" t="n">
        <v>71</v>
      </c>
      <c r="B72" s="25" t="s">
        <v>2361</v>
      </c>
      <c r="C72" s="25" t="s">
        <v>329</v>
      </c>
      <c r="D72" s="25" t="n">
        <v>20240625</v>
      </c>
      <c r="E72" s="25" t="n">
        <v>-1</v>
      </c>
      <c r="F72" s="25" t="s">
        <v>2291</v>
      </c>
      <c r="G72" s="25" t="s">
        <v>243</v>
      </c>
      <c r="H72" s="25" t="n">
        <v>60974.37</v>
      </c>
      <c r="I72" s="27" t="b">
        <f aca="false">FALSE()</f>
        <v>0</v>
      </c>
    </row>
    <row r="73" customFormat="false" ht="15" hidden="false" customHeight="false" outlineLevel="0" collapsed="false">
      <c r="A73" s="25" t="n">
        <v>72</v>
      </c>
      <c r="B73" s="25" t="s">
        <v>2362</v>
      </c>
      <c r="C73" s="25" t="s">
        <v>315</v>
      </c>
      <c r="D73" s="25" t="n">
        <v>20240209</v>
      </c>
      <c r="E73" s="25" t="n">
        <v>155</v>
      </c>
      <c r="F73" s="25" t="s">
        <v>2295</v>
      </c>
      <c r="G73" s="25" t="s">
        <v>243</v>
      </c>
      <c r="H73" s="25" t="n">
        <v>18640.84</v>
      </c>
      <c r="I73" s="27" t="b">
        <f aca="false">FALSE()</f>
        <v>0</v>
      </c>
    </row>
    <row r="74" customFormat="false" ht="15" hidden="false" customHeight="false" outlineLevel="0" collapsed="false">
      <c r="A74" s="25" t="n">
        <v>73</v>
      </c>
      <c r="B74" s="25" t="s">
        <v>2363</v>
      </c>
      <c r="C74" s="25" t="s">
        <v>306</v>
      </c>
      <c r="D74" s="25" t="n">
        <v>20240101</v>
      </c>
      <c r="E74" s="25" t="n">
        <v>143</v>
      </c>
      <c r="F74" s="25" t="s">
        <v>2291</v>
      </c>
      <c r="G74" s="25" t="s">
        <v>243</v>
      </c>
      <c r="H74" s="25" t="n">
        <v>49866.55</v>
      </c>
      <c r="I74" s="27" t="b">
        <f aca="false">FALSE()</f>
        <v>0</v>
      </c>
    </row>
    <row r="75" customFormat="false" ht="15" hidden="false" customHeight="false" outlineLevel="0" collapsed="false">
      <c r="A75" s="25" t="n">
        <v>74</v>
      </c>
      <c r="B75" s="25" t="s">
        <v>2364</v>
      </c>
      <c r="C75" s="25" t="s">
        <v>391</v>
      </c>
      <c r="D75" s="25" t="n">
        <v>20250303</v>
      </c>
      <c r="E75" s="25" t="n">
        <v>145</v>
      </c>
      <c r="F75" s="25" t="s">
        <v>2305</v>
      </c>
      <c r="G75" s="25" t="s">
        <v>243</v>
      </c>
      <c r="H75" s="25" t="n">
        <v>64365.24</v>
      </c>
      <c r="I75" s="27" t="b">
        <f aca="false">FALSE()</f>
        <v>0</v>
      </c>
    </row>
    <row r="76" customFormat="false" ht="15" hidden="false" customHeight="false" outlineLevel="0" collapsed="false">
      <c r="A76" s="25" t="n">
        <v>75</v>
      </c>
      <c r="B76" s="25" t="s">
        <v>2365</v>
      </c>
      <c r="C76" s="25" t="s">
        <v>457</v>
      </c>
      <c r="D76" s="25" t="n">
        <v>20240910</v>
      </c>
      <c r="E76" s="25" t="n">
        <v>40</v>
      </c>
      <c r="F76" s="25" t="s">
        <v>2291</v>
      </c>
      <c r="G76" s="25" t="s">
        <v>243</v>
      </c>
      <c r="H76" s="25" t="n">
        <v>46091.32</v>
      </c>
      <c r="I76" s="27" t="b">
        <f aca="false">FALSE()</f>
        <v>0</v>
      </c>
    </row>
    <row r="77" customFormat="false" ht="15" hidden="false" customHeight="false" outlineLevel="0" collapsed="false">
      <c r="A77" s="25" t="n">
        <v>76</v>
      </c>
      <c r="B77" s="25" t="s">
        <v>2366</v>
      </c>
      <c r="C77" s="25" t="s">
        <v>287</v>
      </c>
      <c r="D77" s="25" t="n">
        <v>20240405</v>
      </c>
      <c r="E77" s="25" t="n">
        <v>121</v>
      </c>
      <c r="F77" s="25" t="s">
        <v>2295</v>
      </c>
      <c r="G77" s="25" t="s">
        <v>243</v>
      </c>
      <c r="H77" s="25" t="n">
        <v>143687.55</v>
      </c>
      <c r="I77" s="27" t="b">
        <f aca="false">FALSE()</f>
        <v>0</v>
      </c>
    </row>
    <row r="78" customFormat="false" ht="15" hidden="false" customHeight="false" outlineLevel="0" collapsed="false">
      <c r="A78" s="25" t="n">
        <v>77</v>
      </c>
      <c r="B78" s="25" t="s">
        <v>2367</v>
      </c>
      <c r="C78" s="25" t="s">
        <v>279</v>
      </c>
      <c r="D78" s="25" t="n">
        <v>20240113</v>
      </c>
      <c r="E78" s="25" t="n">
        <v>73</v>
      </c>
      <c r="F78" s="25" t="s">
        <v>2305</v>
      </c>
      <c r="G78" s="25" t="s">
        <v>266</v>
      </c>
      <c r="H78" s="25" t="n">
        <v>22602.06</v>
      </c>
      <c r="I78" s="27" t="b">
        <f aca="false">FALSE()</f>
        <v>0</v>
      </c>
    </row>
    <row r="79" customFormat="false" ht="15" hidden="false" customHeight="false" outlineLevel="0" collapsed="false">
      <c r="A79" s="25" t="n">
        <v>78</v>
      </c>
      <c r="B79" s="25" t="s">
        <v>2368</v>
      </c>
      <c r="C79" s="25" t="s">
        <v>399</v>
      </c>
      <c r="D79" s="25" t="n">
        <v>20250728</v>
      </c>
      <c r="E79" s="25" t="n">
        <v>112</v>
      </c>
      <c r="F79" s="25" t="s">
        <v>2289</v>
      </c>
      <c r="G79" s="25" t="s">
        <v>243</v>
      </c>
      <c r="H79" s="25" t="n">
        <v>192153.59</v>
      </c>
      <c r="I79" s="27" t="b">
        <f aca="false">FALSE()</f>
        <v>0</v>
      </c>
    </row>
    <row r="80" customFormat="false" ht="15" hidden="false" customHeight="false" outlineLevel="0" collapsed="false">
      <c r="A80" s="25" t="n">
        <v>79</v>
      </c>
      <c r="B80" s="25" t="s">
        <v>2369</v>
      </c>
      <c r="C80" s="25" t="s">
        <v>319</v>
      </c>
      <c r="D80" s="25" t="n">
        <v>20250603</v>
      </c>
      <c r="E80" s="25" t="n">
        <v>118</v>
      </c>
      <c r="F80" s="25" t="s">
        <v>2305</v>
      </c>
      <c r="G80" s="25" t="s">
        <v>243</v>
      </c>
      <c r="H80" s="25" t="n">
        <v>172606.66</v>
      </c>
      <c r="I80" s="27" t="b">
        <f aca="false">FALSE()</f>
        <v>0</v>
      </c>
    </row>
    <row r="81" customFormat="false" ht="15" hidden="false" customHeight="false" outlineLevel="0" collapsed="false">
      <c r="A81" s="25" t="n">
        <v>80</v>
      </c>
      <c r="B81" s="25" t="s">
        <v>2370</v>
      </c>
      <c r="C81" s="25" t="s">
        <v>387</v>
      </c>
      <c r="D81" s="25" t="n">
        <v>20240806</v>
      </c>
      <c r="E81" s="25" t="n">
        <v>67</v>
      </c>
      <c r="F81" s="25" t="s">
        <v>2291</v>
      </c>
      <c r="G81" s="25" t="s">
        <v>266</v>
      </c>
      <c r="H81" s="25" t="n">
        <v>52914.11</v>
      </c>
      <c r="I81" s="27" t="b">
        <f aca="false">FALSE()</f>
        <v>0</v>
      </c>
    </row>
    <row r="82" customFormat="false" ht="15" hidden="false" customHeight="false" outlineLevel="0" collapsed="false">
      <c r="A82" s="25" t="n">
        <v>81</v>
      </c>
      <c r="B82" s="25" t="s">
        <v>2371</v>
      </c>
      <c r="C82" s="25" t="s">
        <v>327</v>
      </c>
      <c r="D82" s="25" t="n">
        <v>20250428</v>
      </c>
      <c r="E82" s="25" t="n">
        <v>25</v>
      </c>
      <c r="F82" s="25" t="s">
        <v>2287</v>
      </c>
      <c r="G82" s="25" t="s">
        <v>243</v>
      </c>
      <c r="H82" s="25" t="n">
        <v>166130.39</v>
      </c>
      <c r="I82" s="27" t="b">
        <f aca="false">FALSE()</f>
        <v>0</v>
      </c>
    </row>
    <row r="83" customFormat="false" ht="15" hidden="false" customHeight="false" outlineLevel="0" collapsed="false">
      <c r="A83" s="25" t="n">
        <v>82</v>
      </c>
      <c r="B83" s="25" t="s">
        <v>2372</v>
      </c>
      <c r="C83" s="25" t="s">
        <v>453</v>
      </c>
      <c r="D83" s="25" t="n">
        <v>20250317</v>
      </c>
      <c r="E83" s="25" t="n">
        <v>10</v>
      </c>
      <c r="F83" s="25" t="s">
        <v>2289</v>
      </c>
      <c r="G83" s="25" t="s">
        <v>247</v>
      </c>
      <c r="H83" s="25" t="n">
        <v>233365.67</v>
      </c>
      <c r="I83" s="27" t="b">
        <f aca="false">FALSE()</f>
        <v>0</v>
      </c>
    </row>
    <row r="84" customFormat="false" ht="15" hidden="false" customHeight="false" outlineLevel="0" collapsed="false">
      <c r="A84" s="25" t="n">
        <v>83</v>
      </c>
      <c r="B84" s="25" t="s">
        <v>2373</v>
      </c>
      <c r="C84" s="25" t="s">
        <v>561</v>
      </c>
      <c r="D84" s="25" t="n">
        <v>20241227</v>
      </c>
      <c r="E84" s="25" t="n">
        <v>92</v>
      </c>
      <c r="F84" s="25" t="s">
        <v>2289</v>
      </c>
      <c r="G84" s="25" t="s">
        <v>266</v>
      </c>
      <c r="H84" s="25" t="n">
        <v>99294.67</v>
      </c>
      <c r="I84" s="27" t="b">
        <f aca="false">FALSE()</f>
        <v>0</v>
      </c>
    </row>
    <row r="85" customFormat="false" ht="15" hidden="false" customHeight="false" outlineLevel="0" collapsed="false">
      <c r="A85" s="25" t="n">
        <v>84</v>
      </c>
      <c r="B85" s="25" t="s">
        <v>2374</v>
      </c>
      <c r="C85" s="25" t="s">
        <v>519</v>
      </c>
      <c r="D85" s="25" t="n">
        <v>20240916</v>
      </c>
      <c r="E85" s="25" t="n">
        <v>23</v>
      </c>
      <c r="F85" s="25" t="s">
        <v>2287</v>
      </c>
      <c r="G85" s="25" t="s">
        <v>243</v>
      </c>
      <c r="H85" s="25" t="n">
        <v>119609.42</v>
      </c>
      <c r="I85" s="27" t="b">
        <f aca="false">FALSE()</f>
        <v>0</v>
      </c>
    </row>
    <row r="86" customFormat="false" ht="15" hidden="false" customHeight="false" outlineLevel="0" collapsed="false">
      <c r="A86" s="25" t="n">
        <v>85</v>
      </c>
      <c r="B86" s="25" t="s">
        <v>2375</v>
      </c>
      <c r="C86" s="25" t="s">
        <v>516</v>
      </c>
      <c r="D86" s="25" t="n">
        <v>20241217</v>
      </c>
      <c r="E86" s="25" t="n">
        <v>125</v>
      </c>
      <c r="F86" s="25" t="s">
        <v>2291</v>
      </c>
      <c r="G86" s="25" t="s">
        <v>247</v>
      </c>
      <c r="H86" s="25" t="n">
        <v>42612.85</v>
      </c>
      <c r="I86" s="27" t="b">
        <f aca="false">FALSE()</f>
        <v>0</v>
      </c>
    </row>
    <row r="87" customFormat="false" ht="15" hidden="false" customHeight="false" outlineLevel="0" collapsed="false">
      <c r="A87" s="25" t="n">
        <v>86</v>
      </c>
      <c r="B87" s="25" t="s">
        <v>2376</v>
      </c>
      <c r="C87" s="25" t="s">
        <v>534</v>
      </c>
      <c r="D87" s="25" t="n">
        <v>20241129</v>
      </c>
      <c r="E87" s="25" t="n">
        <v>90</v>
      </c>
      <c r="F87" s="25" t="s">
        <v>2305</v>
      </c>
      <c r="G87" s="25" t="s">
        <v>266</v>
      </c>
      <c r="H87" s="25" t="n">
        <v>109465.78</v>
      </c>
      <c r="I87" s="27" t="b">
        <f aca="false">FALSE()</f>
        <v>0</v>
      </c>
    </row>
    <row r="88" customFormat="false" ht="15" hidden="false" customHeight="false" outlineLevel="0" collapsed="false">
      <c r="A88" s="25" t="n">
        <v>87</v>
      </c>
      <c r="B88" s="25" t="s">
        <v>2377</v>
      </c>
      <c r="C88" s="25" t="s">
        <v>393</v>
      </c>
      <c r="D88" s="25" t="n">
        <v>20250401</v>
      </c>
      <c r="E88" s="25" t="n">
        <v>18</v>
      </c>
      <c r="F88" s="25" t="s">
        <v>2305</v>
      </c>
      <c r="G88" s="25" t="s">
        <v>243</v>
      </c>
      <c r="H88" s="25" t="n">
        <v>51271.01</v>
      </c>
      <c r="I88" s="27" t="b">
        <f aca="false">FALSE()</f>
        <v>0</v>
      </c>
    </row>
    <row r="89" customFormat="false" ht="15" hidden="false" customHeight="false" outlineLevel="0" collapsed="false">
      <c r="A89" s="25" t="n">
        <v>88</v>
      </c>
      <c r="B89" s="25" t="s">
        <v>2378</v>
      </c>
      <c r="C89" s="25" t="s">
        <v>289</v>
      </c>
      <c r="D89" s="25" t="n">
        <v>20250214</v>
      </c>
      <c r="E89" s="25" t="n">
        <v>61</v>
      </c>
      <c r="F89" s="25" t="s">
        <v>2295</v>
      </c>
      <c r="G89" s="25" t="s">
        <v>250</v>
      </c>
      <c r="H89" s="25" t="n">
        <v>175396.11</v>
      </c>
      <c r="I89" s="27" t="b">
        <f aca="false">FALSE()</f>
        <v>0</v>
      </c>
    </row>
    <row r="90" customFormat="false" ht="15" hidden="false" customHeight="false" outlineLevel="0" collapsed="false">
      <c r="A90" s="25" t="n">
        <v>89</v>
      </c>
      <c r="B90" s="25" t="s">
        <v>2379</v>
      </c>
      <c r="C90" s="25" t="s">
        <v>514</v>
      </c>
      <c r="D90" s="25" t="n">
        <v>20240804</v>
      </c>
      <c r="E90" s="25" t="n">
        <v>64</v>
      </c>
      <c r="F90" s="25" t="s">
        <v>2295</v>
      </c>
      <c r="G90" s="25" t="s">
        <v>250</v>
      </c>
      <c r="H90" s="25" t="n">
        <v>113563.04</v>
      </c>
      <c r="I90" s="27" t="b">
        <f aca="false">FALSE()</f>
        <v>0</v>
      </c>
    </row>
    <row r="91" customFormat="false" ht="15" hidden="false" customHeight="false" outlineLevel="0" collapsed="false">
      <c r="A91" s="25" t="n">
        <v>90</v>
      </c>
      <c r="B91" s="25" t="s">
        <v>2380</v>
      </c>
      <c r="C91" s="25" t="s">
        <v>525</v>
      </c>
      <c r="D91" s="25" t="n">
        <v>20250305</v>
      </c>
      <c r="E91" s="25" t="n">
        <v>156</v>
      </c>
      <c r="F91" s="25" t="s">
        <v>2305</v>
      </c>
      <c r="G91" s="25" t="s">
        <v>243</v>
      </c>
      <c r="H91" s="25" t="n">
        <v>7313.65</v>
      </c>
      <c r="I91" s="27" t="b">
        <f aca="false">FALSE()</f>
        <v>0</v>
      </c>
    </row>
    <row r="92" customFormat="false" ht="15" hidden="false" customHeight="false" outlineLevel="0" collapsed="false">
      <c r="A92" s="25" t="n">
        <v>91</v>
      </c>
      <c r="B92" s="25" t="s">
        <v>2381</v>
      </c>
      <c r="C92" s="25" t="s">
        <v>383</v>
      </c>
      <c r="D92" s="25" t="n">
        <v>20240315</v>
      </c>
      <c r="E92" s="25" t="n">
        <v>44</v>
      </c>
      <c r="F92" s="25" t="s">
        <v>2287</v>
      </c>
      <c r="G92" s="25" t="s">
        <v>243</v>
      </c>
      <c r="H92" s="25" t="n">
        <v>191043.02</v>
      </c>
      <c r="I92" s="27" t="b">
        <f aca="false">FALSE()</f>
        <v>0</v>
      </c>
    </row>
    <row r="93" customFormat="false" ht="15" hidden="false" customHeight="false" outlineLevel="0" collapsed="false">
      <c r="A93" s="25" t="n">
        <v>92</v>
      </c>
      <c r="B93" s="25" t="s">
        <v>2382</v>
      </c>
      <c r="C93" s="25" t="s">
        <v>409</v>
      </c>
      <c r="D93" s="25" t="n">
        <v>20241216</v>
      </c>
      <c r="E93" s="25" t="n">
        <v>102</v>
      </c>
      <c r="F93" s="25" t="s">
        <v>2291</v>
      </c>
      <c r="G93" s="25" t="s">
        <v>243</v>
      </c>
      <c r="H93" s="25" t="n">
        <v>47020.48</v>
      </c>
      <c r="I93" s="27" t="b">
        <f aca="false">FALSE()</f>
        <v>0</v>
      </c>
    </row>
    <row r="94" customFormat="false" ht="15" hidden="false" customHeight="false" outlineLevel="0" collapsed="false">
      <c r="A94" s="25" t="n">
        <v>93</v>
      </c>
      <c r="B94" s="25" t="s">
        <v>2383</v>
      </c>
      <c r="C94" s="25" t="s">
        <v>375</v>
      </c>
      <c r="D94" s="25" t="n">
        <v>-1</v>
      </c>
      <c r="E94" s="25" t="n">
        <v>62</v>
      </c>
      <c r="F94" s="25" t="s">
        <v>2289</v>
      </c>
      <c r="G94" s="25" t="s">
        <v>243</v>
      </c>
      <c r="H94" s="25" t="n">
        <v>16084.14</v>
      </c>
      <c r="I94" s="27" t="b">
        <f aca="false">FALSE()</f>
        <v>0</v>
      </c>
    </row>
    <row r="95" customFormat="false" ht="15" hidden="false" customHeight="false" outlineLevel="0" collapsed="false">
      <c r="A95" s="25" t="n">
        <v>94</v>
      </c>
      <c r="B95" s="25" t="s">
        <v>2384</v>
      </c>
      <c r="C95" s="25" t="s">
        <v>339</v>
      </c>
      <c r="D95" s="25" t="n">
        <v>20250713</v>
      </c>
      <c r="E95" s="25" t="n">
        <v>23</v>
      </c>
      <c r="F95" s="25" t="s">
        <v>2289</v>
      </c>
      <c r="G95" s="25" t="s">
        <v>247</v>
      </c>
      <c r="H95" s="25" t="n">
        <v>9127.27</v>
      </c>
      <c r="I95" s="27" t="b">
        <f aca="false">FALSE()</f>
        <v>0</v>
      </c>
    </row>
    <row r="96" customFormat="false" ht="15" hidden="false" customHeight="false" outlineLevel="0" collapsed="false">
      <c r="A96" s="25" t="n">
        <v>95</v>
      </c>
      <c r="B96" s="25" t="s">
        <v>2385</v>
      </c>
      <c r="C96" s="25" t="s">
        <v>509</v>
      </c>
      <c r="D96" s="25" t="n">
        <v>20240327</v>
      </c>
      <c r="E96" s="25" t="n">
        <v>-1</v>
      </c>
      <c r="F96" s="25" t="s">
        <v>2291</v>
      </c>
      <c r="G96" s="25" t="s">
        <v>243</v>
      </c>
      <c r="H96" s="25" t="n">
        <v>24729.22</v>
      </c>
      <c r="I96" s="27" t="b">
        <f aca="false">FALSE()</f>
        <v>0</v>
      </c>
    </row>
    <row r="97" customFormat="false" ht="15" hidden="false" customHeight="false" outlineLevel="0" collapsed="false">
      <c r="A97" s="25" t="n">
        <v>96</v>
      </c>
      <c r="B97" s="25" t="s">
        <v>2386</v>
      </c>
      <c r="C97" s="25" t="s">
        <v>467</v>
      </c>
      <c r="D97" s="25" t="n">
        <v>20250808</v>
      </c>
      <c r="E97" s="25" t="n">
        <v>144</v>
      </c>
      <c r="F97" s="25" t="s">
        <v>2287</v>
      </c>
      <c r="G97" s="25" t="s">
        <v>250</v>
      </c>
      <c r="H97" s="25" t="n">
        <v>65935.38</v>
      </c>
      <c r="I97" s="27" t="b">
        <f aca="false">FALSE()</f>
        <v>0</v>
      </c>
    </row>
    <row r="98" customFormat="false" ht="15" hidden="false" customHeight="false" outlineLevel="0" collapsed="false">
      <c r="A98" s="25" t="n">
        <v>97</v>
      </c>
      <c r="B98" s="25" t="s">
        <v>2387</v>
      </c>
      <c r="C98" s="25" t="s">
        <v>414</v>
      </c>
      <c r="D98" s="25" t="n">
        <v>20240515</v>
      </c>
      <c r="E98" s="25" t="n">
        <v>122</v>
      </c>
      <c r="F98" s="25" t="s">
        <v>2305</v>
      </c>
      <c r="G98" s="25" t="s">
        <v>247</v>
      </c>
      <c r="H98" s="25" t="n">
        <v>3184.81</v>
      </c>
      <c r="I98" s="27" t="b">
        <f aca="false">FALSE()</f>
        <v>0</v>
      </c>
    </row>
    <row r="99" customFormat="false" ht="15" hidden="false" customHeight="false" outlineLevel="0" collapsed="false">
      <c r="A99" s="25" t="n">
        <v>98</v>
      </c>
      <c r="B99" s="25" t="s">
        <v>2388</v>
      </c>
      <c r="C99" s="25" t="s">
        <v>532</v>
      </c>
      <c r="D99" s="25" t="n">
        <v>20241121</v>
      </c>
      <c r="E99" s="25" t="n">
        <v>151</v>
      </c>
      <c r="F99" s="25" t="s">
        <v>2295</v>
      </c>
      <c r="G99" s="25" t="s">
        <v>250</v>
      </c>
      <c r="H99" s="25" t="n">
        <v>82484.12</v>
      </c>
      <c r="I99" s="27" t="b">
        <f aca="false">FALSE()</f>
        <v>0</v>
      </c>
    </row>
    <row r="100" customFormat="false" ht="15" hidden="false" customHeight="false" outlineLevel="0" collapsed="false">
      <c r="A100" s="25" t="n">
        <v>99</v>
      </c>
      <c r="B100" s="25" t="s">
        <v>2389</v>
      </c>
      <c r="C100" s="25" t="s">
        <v>371</v>
      </c>
      <c r="D100" s="25" t="n">
        <v>20240703</v>
      </c>
      <c r="E100" s="25" t="n">
        <v>114</v>
      </c>
      <c r="F100" s="25" t="s">
        <v>2291</v>
      </c>
      <c r="G100" s="25" t="s">
        <v>243</v>
      </c>
      <c r="H100" s="25" t="n">
        <v>65130.47</v>
      </c>
      <c r="I100" s="27" t="b">
        <f aca="false">FALSE()</f>
        <v>0</v>
      </c>
    </row>
    <row r="101" customFormat="false" ht="15" hidden="false" customHeight="false" outlineLevel="0" collapsed="false">
      <c r="A101" s="25" t="n">
        <v>100</v>
      </c>
      <c r="B101" s="25" t="s">
        <v>2390</v>
      </c>
      <c r="C101" s="25" t="s">
        <v>452</v>
      </c>
      <c r="D101" s="25" t="n">
        <v>20250117</v>
      </c>
      <c r="E101" s="25" t="n">
        <v>27</v>
      </c>
      <c r="F101" s="25" t="s">
        <v>2287</v>
      </c>
      <c r="G101" s="25" t="s">
        <v>243</v>
      </c>
      <c r="H101" s="25" t="n">
        <v>45158.28</v>
      </c>
      <c r="I101" s="27" t="b">
        <f aca="false">FALSE()</f>
        <v>0</v>
      </c>
    </row>
    <row r="102" customFormat="false" ht="15" hidden="false" customHeight="false" outlineLevel="0" collapsed="false">
      <c r="A102" s="25" t="n">
        <v>101</v>
      </c>
      <c r="B102" s="25" t="s">
        <v>2391</v>
      </c>
      <c r="C102" s="25" t="s">
        <v>447</v>
      </c>
      <c r="D102" s="25" t="n">
        <v>20250714</v>
      </c>
      <c r="E102" s="25" t="n">
        <v>82</v>
      </c>
      <c r="F102" s="25" t="s">
        <v>2291</v>
      </c>
      <c r="G102" s="25" t="s">
        <v>250</v>
      </c>
      <c r="H102" s="25" t="n">
        <v>39169.14</v>
      </c>
      <c r="I102" s="27" t="b">
        <f aca="false">FALSE()</f>
        <v>0</v>
      </c>
    </row>
    <row r="103" customFormat="false" ht="15" hidden="false" customHeight="false" outlineLevel="0" collapsed="false">
      <c r="A103" s="25" t="n">
        <v>102</v>
      </c>
      <c r="B103" s="25" t="s">
        <v>2392</v>
      </c>
      <c r="C103" s="25" t="s">
        <v>474</v>
      </c>
      <c r="D103" s="25" t="n">
        <v>20250316</v>
      </c>
      <c r="E103" s="25" t="n">
        <v>62</v>
      </c>
      <c r="F103" s="25" t="s">
        <v>2291</v>
      </c>
      <c r="G103" s="25" t="s">
        <v>243</v>
      </c>
      <c r="H103" s="25" t="n">
        <v>52516.55</v>
      </c>
      <c r="I103" s="27" t="b">
        <f aca="false">FALSE()</f>
        <v>0</v>
      </c>
    </row>
    <row r="104" customFormat="false" ht="15" hidden="false" customHeight="false" outlineLevel="0" collapsed="false">
      <c r="A104" s="25" t="n">
        <v>103</v>
      </c>
      <c r="B104" s="25" t="s">
        <v>2393</v>
      </c>
      <c r="C104" s="25" t="s">
        <v>311</v>
      </c>
      <c r="D104" s="25" t="n">
        <v>20241218</v>
      </c>
      <c r="E104" s="25" t="n">
        <v>72</v>
      </c>
      <c r="F104" s="25" t="s">
        <v>2305</v>
      </c>
      <c r="G104" s="25" t="s">
        <v>247</v>
      </c>
      <c r="H104" s="25" t="n">
        <v>64121.27</v>
      </c>
      <c r="I104" s="27" t="b">
        <f aca="false">FALSE()</f>
        <v>0</v>
      </c>
    </row>
    <row r="105" customFormat="false" ht="15" hidden="false" customHeight="false" outlineLevel="0" collapsed="false">
      <c r="A105" s="25" t="n">
        <v>104</v>
      </c>
      <c r="B105" s="25" t="s">
        <v>2394</v>
      </c>
      <c r="C105" s="25" t="s">
        <v>379</v>
      </c>
      <c r="D105" s="25" t="n">
        <v>20250414</v>
      </c>
      <c r="E105" s="25" t="n">
        <v>25</v>
      </c>
      <c r="F105" s="25" t="s">
        <v>2295</v>
      </c>
      <c r="G105" s="25" t="s">
        <v>266</v>
      </c>
      <c r="H105" s="25" t="n">
        <v>112634.31</v>
      </c>
      <c r="I105" s="27" t="b">
        <f aca="false">FALSE()</f>
        <v>0</v>
      </c>
    </row>
    <row r="106" customFormat="false" ht="15" hidden="false" customHeight="false" outlineLevel="0" collapsed="false">
      <c r="A106" s="25" t="n">
        <v>105</v>
      </c>
      <c r="B106" s="25" t="s">
        <v>2395</v>
      </c>
      <c r="C106" s="25" t="s">
        <v>431</v>
      </c>
      <c r="D106" s="25" t="n">
        <v>20240620</v>
      </c>
      <c r="E106" s="25" t="n">
        <v>6</v>
      </c>
      <c r="F106" s="25" t="s">
        <v>2291</v>
      </c>
      <c r="G106" s="25" t="s">
        <v>243</v>
      </c>
      <c r="H106" s="25" t="n">
        <v>11630.62</v>
      </c>
      <c r="I106" s="27" t="b">
        <f aca="false">FALSE()</f>
        <v>0</v>
      </c>
    </row>
    <row r="107" customFormat="false" ht="15" hidden="false" customHeight="false" outlineLevel="0" collapsed="false">
      <c r="A107" s="25" t="n">
        <v>106</v>
      </c>
      <c r="B107" s="25" t="s">
        <v>2396</v>
      </c>
      <c r="C107" s="25" t="s">
        <v>245</v>
      </c>
      <c r="D107" s="25" t="n">
        <v>20240902</v>
      </c>
      <c r="E107" s="25" t="n">
        <v>47</v>
      </c>
      <c r="F107" s="25" t="s">
        <v>2291</v>
      </c>
      <c r="G107" s="25" t="s">
        <v>247</v>
      </c>
      <c r="H107" s="25" t="n">
        <v>10862.32</v>
      </c>
      <c r="I107" s="27" t="b">
        <f aca="false">FALSE()</f>
        <v>0</v>
      </c>
    </row>
    <row r="108" customFormat="false" ht="15" hidden="false" customHeight="false" outlineLevel="0" collapsed="false">
      <c r="A108" s="25" t="n">
        <v>107</v>
      </c>
      <c r="B108" s="25" t="s">
        <v>2397</v>
      </c>
      <c r="C108" s="25" t="s">
        <v>324</v>
      </c>
      <c r="D108" s="25" t="n">
        <v>-1</v>
      </c>
      <c r="E108" s="25" t="n">
        <v>46</v>
      </c>
      <c r="F108" s="25" t="s">
        <v>2289</v>
      </c>
      <c r="G108" s="25" t="s">
        <v>247</v>
      </c>
      <c r="H108" s="25" t="n">
        <v>59018.39</v>
      </c>
      <c r="I108" s="27" t="b">
        <f aca="false">FALSE()</f>
        <v>0</v>
      </c>
    </row>
    <row r="109" customFormat="false" ht="15" hidden="false" customHeight="false" outlineLevel="0" collapsed="false">
      <c r="A109" s="25" t="n">
        <v>108</v>
      </c>
      <c r="B109" s="25" t="s">
        <v>2398</v>
      </c>
      <c r="C109" s="25" t="s">
        <v>445</v>
      </c>
      <c r="D109" s="25" t="n">
        <v>20240217</v>
      </c>
      <c r="E109" s="25" t="n">
        <v>148</v>
      </c>
      <c r="F109" s="25" t="s">
        <v>2291</v>
      </c>
      <c r="G109" s="25" t="s">
        <v>243</v>
      </c>
      <c r="H109" s="25" t="n">
        <v>48193.82</v>
      </c>
      <c r="I109" s="27" t="b">
        <f aca="false">FALSE()</f>
        <v>0</v>
      </c>
    </row>
    <row r="110" customFormat="false" ht="15" hidden="false" customHeight="false" outlineLevel="0" collapsed="false">
      <c r="A110" s="25" t="n">
        <v>109</v>
      </c>
      <c r="B110" s="25" t="s">
        <v>2399</v>
      </c>
      <c r="C110" s="25" t="s">
        <v>510</v>
      </c>
      <c r="D110" s="25" t="n">
        <v>20250915</v>
      </c>
      <c r="E110" s="25" t="n">
        <v>44</v>
      </c>
      <c r="F110" s="25" t="s">
        <v>2295</v>
      </c>
      <c r="G110" s="25" t="s">
        <v>243</v>
      </c>
      <c r="H110" s="25" t="n">
        <v>56983.04</v>
      </c>
      <c r="I110" s="27" t="b">
        <f aca="false">FALSE()</f>
        <v>0</v>
      </c>
    </row>
    <row r="111" customFormat="false" ht="15" hidden="false" customHeight="false" outlineLevel="0" collapsed="false">
      <c r="A111" s="25" t="n">
        <v>110</v>
      </c>
      <c r="B111" s="25" t="s">
        <v>2400</v>
      </c>
      <c r="C111" s="25" t="s">
        <v>408</v>
      </c>
      <c r="D111" s="25" t="n">
        <v>20240519</v>
      </c>
      <c r="E111" s="25" t="n">
        <v>158</v>
      </c>
      <c r="F111" s="25" t="s">
        <v>2305</v>
      </c>
      <c r="G111" s="25" t="s">
        <v>243</v>
      </c>
      <c r="H111" s="25" t="n">
        <v>242286.7</v>
      </c>
      <c r="I111" s="27" t="b">
        <f aca="false">FALSE()</f>
        <v>0</v>
      </c>
    </row>
    <row r="112" customFormat="false" ht="15" hidden="false" customHeight="false" outlineLevel="0" collapsed="false">
      <c r="A112" s="25" t="n">
        <v>111</v>
      </c>
      <c r="B112" s="25" t="s">
        <v>2401</v>
      </c>
      <c r="C112" s="25" t="s">
        <v>403</v>
      </c>
      <c r="D112" s="25" t="n">
        <v>20241125</v>
      </c>
      <c r="E112" s="25" t="n">
        <v>72</v>
      </c>
      <c r="F112" s="25" t="s">
        <v>2295</v>
      </c>
      <c r="G112" s="25" t="s">
        <v>266</v>
      </c>
      <c r="H112" s="25" t="n">
        <v>92233.59</v>
      </c>
      <c r="I112" s="27" t="b">
        <f aca="false">FALSE()</f>
        <v>0</v>
      </c>
    </row>
    <row r="113" customFormat="false" ht="15" hidden="false" customHeight="false" outlineLevel="0" collapsed="false">
      <c r="A113" s="25" t="n">
        <v>112</v>
      </c>
      <c r="B113" s="25" t="s">
        <v>2402</v>
      </c>
      <c r="C113" s="25" t="s">
        <v>552</v>
      </c>
      <c r="D113" s="25" t="n">
        <v>20250819</v>
      </c>
      <c r="E113" s="25" t="n">
        <v>-1</v>
      </c>
      <c r="F113" s="25" t="s">
        <v>2305</v>
      </c>
      <c r="G113" s="25" t="s">
        <v>243</v>
      </c>
      <c r="H113" s="25" t="n">
        <v>125889.8</v>
      </c>
      <c r="I113" s="27" t="b">
        <f aca="false">FALSE()</f>
        <v>0</v>
      </c>
    </row>
    <row r="114" customFormat="false" ht="15" hidden="false" customHeight="false" outlineLevel="0" collapsed="false">
      <c r="A114" s="25" t="n">
        <v>113</v>
      </c>
      <c r="B114" s="25" t="s">
        <v>2403</v>
      </c>
      <c r="C114" s="25" t="s">
        <v>499</v>
      </c>
      <c r="D114" s="25" t="n">
        <v>20240223</v>
      </c>
      <c r="E114" s="25" t="n">
        <v>61</v>
      </c>
      <c r="F114" s="25" t="s">
        <v>2291</v>
      </c>
      <c r="G114" s="25" t="s">
        <v>243</v>
      </c>
      <c r="H114" s="25" t="n">
        <v>207124.25</v>
      </c>
      <c r="I114" s="27" t="b">
        <f aca="false">FALSE()</f>
        <v>0</v>
      </c>
    </row>
    <row r="115" customFormat="false" ht="15" hidden="false" customHeight="false" outlineLevel="0" collapsed="false">
      <c r="A115" s="25" t="n">
        <v>114</v>
      </c>
      <c r="B115" s="25" t="s">
        <v>2404</v>
      </c>
      <c r="C115" s="25" t="s">
        <v>300</v>
      </c>
      <c r="D115" s="25" t="n">
        <v>20250620</v>
      </c>
      <c r="E115" s="25" t="n">
        <v>90</v>
      </c>
      <c r="F115" s="25" t="s">
        <v>2305</v>
      </c>
      <c r="G115" s="25" t="s">
        <v>243</v>
      </c>
      <c r="H115" s="25" t="n">
        <v>320939.45</v>
      </c>
      <c r="I115" s="27" t="b">
        <f aca="false">FALSE()</f>
        <v>0</v>
      </c>
    </row>
    <row r="116" customFormat="false" ht="15" hidden="false" customHeight="false" outlineLevel="0" collapsed="false">
      <c r="A116" s="25" t="n">
        <v>115</v>
      </c>
      <c r="B116" s="25" t="s">
        <v>2405</v>
      </c>
      <c r="C116" s="25" t="s">
        <v>381</v>
      </c>
      <c r="D116" s="25" t="n">
        <v>20240210</v>
      </c>
      <c r="E116" s="25" t="n">
        <v>1</v>
      </c>
      <c r="F116" s="25" t="s">
        <v>2305</v>
      </c>
      <c r="G116" s="25" t="s">
        <v>243</v>
      </c>
      <c r="H116" s="25" t="n">
        <v>143472.24</v>
      </c>
      <c r="I116" s="27" t="b">
        <f aca="false">FALSE()</f>
        <v>0</v>
      </c>
    </row>
    <row r="117" customFormat="false" ht="15" hidden="false" customHeight="false" outlineLevel="0" collapsed="false">
      <c r="A117" s="25" t="n">
        <v>116</v>
      </c>
      <c r="B117" s="25" t="s">
        <v>2406</v>
      </c>
      <c r="C117" s="25" t="s">
        <v>511</v>
      </c>
      <c r="D117" s="25" t="n">
        <v>20250801</v>
      </c>
      <c r="E117" s="25" t="n">
        <v>136</v>
      </c>
      <c r="F117" s="25" t="s">
        <v>2295</v>
      </c>
      <c r="G117" s="25" t="s">
        <v>243</v>
      </c>
      <c r="H117" s="25" t="n">
        <v>81509.36</v>
      </c>
      <c r="I117" s="27" t="b">
        <f aca="false">FALSE()</f>
        <v>0</v>
      </c>
    </row>
    <row r="118" customFormat="false" ht="15" hidden="false" customHeight="false" outlineLevel="0" collapsed="false">
      <c r="A118" s="25" t="n">
        <v>117</v>
      </c>
      <c r="B118" s="25" t="s">
        <v>2407</v>
      </c>
      <c r="C118" s="25" t="s">
        <v>415</v>
      </c>
      <c r="D118" s="25" t="n">
        <v>20250920</v>
      </c>
      <c r="E118" s="25" t="n">
        <v>109</v>
      </c>
      <c r="F118" s="25" t="s">
        <v>2291</v>
      </c>
      <c r="G118" s="25" t="s">
        <v>266</v>
      </c>
      <c r="H118" s="25" t="n">
        <v>59341.84</v>
      </c>
      <c r="I118" s="27" t="b">
        <f aca="false">FALSE()</f>
        <v>0</v>
      </c>
    </row>
    <row r="119" customFormat="false" ht="15" hidden="false" customHeight="false" outlineLevel="0" collapsed="false">
      <c r="A119" s="25" t="n">
        <v>118</v>
      </c>
      <c r="B119" s="25" t="s">
        <v>2408</v>
      </c>
      <c r="C119" s="25" t="s">
        <v>343</v>
      </c>
      <c r="D119" s="25" t="n">
        <v>20240510</v>
      </c>
      <c r="E119" s="25" t="n">
        <v>78</v>
      </c>
      <c r="F119" s="25" t="s">
        <v>2287</v>
      </c>
      <c r="G119" s="25" t="s">
        <v>243</v>
      </c>
      <c r="H119" s="25" t="n">
        <v>124119.38</v>
      </c>
      <c r="I119" s="27" t="b">
        <f aca="false">FALSE()</f>
        <v>0</v>
      </c>
    </row>
    <row r="120" customFormat="false" ht="15" hidden="false" customHeight="false" outlineLevel="0" collapsed="false">
      <c r="A120" s="25" t="n">
        <v>119</v>
      </c>
      <c r="B120" s="25" t="s">
        <v>2409</v>
      </c>
      <c r="C120" s="25" t="s">
        <v>335</v>
      </c>
      <c r="D120" s="25" t="n">
        <v>20240409</v>
      </c>
      <c r="E120" s="25" t="n">
        <v>136</v>
      </c>
      <c r="F120" s="25" t="s">
        <v>2287</v>
      </c>
      <c r="G120" s="25" t="s">
        <v>243</v>
      </c>
      <c r="H120" s="25" t="n">
        <v>66954.85</v>
      </c>
      <c r="I120" s="27" t="b">
        <f aca="false">FALSE()</f>
        <v>0</v>
      </c>
    </row>
    <row r="121" customFormat="false" ht="15" hidden="false" customHeight="false" outlineLevel="0" collapsed="false">
      <c r="A121" s="25" t="n">
        <v>120</v>
      </c>
      <c r="B121" s="25" t="s">
        <v>2410</v>
      </c>
      <c r="C121" s="25" t="s">
        <v>357</v>
      </c>
      <c r="D121" s="25" t="n">
        <v>20250419</v>
      </c>
      <c r="E121" s="25" t="n">
        <v>106</v>
      </c>
      <c r="F121" s="25" t="s">
        <v>2295</v>
      </c>
      <c r="G121" s="25" t="s">
        <v>243</v>
      </c>
      <c r="H121" s="25" t="n">
        <v>31979.53</v>
      </c>
      <c r="I121" s="27" t="b">
        <f aca="false">FALSE()</f>
        <v>0</v>
      </c>
    </row>
    <row r="122" customFormat="false" ht="15" hidden="false" customHeight="false" outlineLevel="0" collapsed="false">
      <c r="A122" s="25" t="n">
        <v>121</v>
      </c>
      <c r="B122" s="25" t="s">
        <v>2411</v>
      </c>
      <c r="C122" s="25" t="s">
        <v>505</v>
      </c>
      <c r="D122" s="25" t="n">
        <v>20250705</v>
      </c>
      <c r="E122" s="25" t="n">
        <v>1</v>
      </c>
      <c r="F122" s="25" t="s">
        <v>2291</v>
      </c>
      <c r="G122" s="25" t="s">
        <v>266</v>
      </c>
      <c r="H122" s="25" t="n">
        <v>80653.33</v>
      </c>
      <c r="I122" s="27" t="b">
        <f aca="false">FALSE()</f>
        <v>0</v>
      </c>
    </row>
    <row r="123" customFormat="false" ht="15" hidden="false" customHeight="false" outlineLevel="0" collapsed="false">
      <c r="A123" s="25" t="n">
        <v>122</v>
      </c>
      <c r="B123" s="25" t="s">
        <v>2412</v>
      </c>
      <c r="C123" s="25" t="s">
        <v>347</v>
      </c>
      <c r="D123" s="25" t="n">
        <v>20240627</v>
      </c>
      <c r="E123" s="25" t="n">
        <v>143</v>
      </c>
      <c r="F123" s="25" t="s">
        <v>2291</v>
      </c>
      <c r="G123" s="25" t="s">
        <v>250</v>
      </c>
      <c r="H123" s="25" t="n">
        <v>190335.48</v>
      </c>
      <c r="I123" s="27" t="b">
        <f aca="false">FALSE()</f>
        <v>0</v>
      </c>
    </row>
    <row r="124" customFormat="false" ht="15" hidden="false" customHeight="false" outlineLevel="0" collapsed="false">
      <c r="A124" s="25" t="n">
        <v>123</v>
      </c>
      <c r="B124" s="25" t="s">
        <v>2413</v>
      </c>
      <c r="C124" s="25" t="s">
        <v>288</v>
      </c>
      <c r="D124" s="25" t="n">
        <v>20240128</v>
      </c>
      <c r="E124" s="25" t="n">
        <v>40</v>
      </c>
      <c r="F124" s="25" t="s">
        <v>2295</v>
      </c>
      <c r="G124" s="25" t="s">
        <v>243</v>
      </c>
      <c r="H124" s="25" t="n">
        <v>102734.51</v>
      </c>
      <c r="I124" s="27" t="b">
        <f aca="false">FALSE()</f>
        <v>0</v>
      </c>
    </row>
    <row r="125" customFormat="false" ht="15" hidden="false" customHeight="false" outlineLevel="0" collapsed="false">
      <c r="A125" s="25" t="n">
        <v>124</v>
      </c>
      <c r="B125" s="25" t="s">
        <v>2414</v>
      </c>
      <c r="C125" s="25" t="s">
        <v>432</v>
      </c>
      <c r="D125" s="25" t="n">
        <v>20240217</v>
      </c>
      <c r="E125" s="25" t="n">
        <v>146</v>
      </c>
      <c r="F125" s="25" t="s">
        <v>2291</v>
      </c>
      <c r="G125" s="25" t="s">
        <v>243</v>
      </c>
      <c r="H125" s="25" t="n">
        <v>110211.66</v>
      </c>
      <c r="I125" s="27" t="b">
        <f aca="false">FALSE()</f>
        <v>0</v>
      </c>
    </row>
    <row r="126" customFormat="false" ht="15" hidden="false" customHeight="false" outlineLevel="0" collapsed="false">
      <c r="A126" s="25" t="n">
        <v>125</v>
      </c>
      <c r="B126" s="25" t="s">
        <v>2415</v>
      </c>
      <c r="C126" s="25" t="s">
        <v>582</v>
      </c>
      <c r="D126" s="25" t="n">
        <v>20240722</v>
      </c>
      <c r="E126" s="25" t="n">
        <v>-1</v>
      </c>
      <c r="F126" s="25" t="s">
        <v>2295</v>
      </c>
      <c r="G126" s="25" t="s">
        <v>243</v>
      </c>
      <c r="H126" s="25" t="n">
        <v>104461.04</v>
      </c>
      <c r="I126" s="27" t="b">
        <f aca="false">TRUE()</f>
        <v>1</v>
      </c>
    </row>
    <row r="127" customFormat="false" ht="15" hidden="false" customHeight="false" outlineLevel="0" collapsed="false">
      <c r="A127" s="25" t="n">
        <v>126</v>
      </c>
      <c r="B127" s="25" t="s">
        <v>2416</v>
      </c>
      <c r="C127" s="25" t="s">
        <v>463</v>
      </c>
      <c r="D127" s="25" t="n">
        <v>20250924</v>
      </c>
      <c r="E127" s="25" t="n">
        <v>13</v>
      </c>
      <c r="F127" s="25" t="s">
        <v>2305</v>
      </c>
      <c r="G127" s="25" t="s">
        <v>266</v>
      </c>
      <c r="H127" s="25" t="n">
        <v>61320.42</v>
      </c>
      <c r="I127" s="27" t="b">
        <f aca="false">FALSE()</f>
        <v>0</v>
      </c>
    </row>
    <row r="128" customFormat="false" ht="15" hidden="false" customHeight="false" outlineLevel="0" collapsed="false">
      <c r="A128" s="25" t="n">
        <v>127</v>
      </c>
      <c r="B128" s="25" t="s">
        <v>2417</v>
      </c>
      <c r="C128" s="25" t="s">
        <v>345</v>
      </c>
      <c r="D128" s="25" t="n">
        <v>20251005</v>
      </c>
      <c r="E128" s="25" t="n">
        <v>129</v>
      </c>
      <c r="F128" s="25" t="s">
        <v>2289</v>
      </c>
      <c r="G128" s="25" t="s">
        <v>243</v>
      </c>
      <c r="H128" s="25" t="n">
        <v>113750.26</v>
      </c>
      <c r="I128" s="27" t="b">
        <f aca="false">FALSE()</f>
        <v>0</v>
      </c>
    </row>
    <row r="129" customFormat="false" ht="15" hidden="false" customHeight="false" outlineLevel="0" collapsed="false">
      <c r="A129" s="25" t="n">
        <v>128</v>
      </c>
      <c r="B129" s="25" t="s">
        <v>2418</v>
      </c>
      <c r="C129" s="25" t="s">
        <v>460</v>
      </c>
      <c r="D129" s="25" t="n">
        <v>20240603</v>
      </c>
      <c r="E129" s="25" t="n">
        <v>20</v>
      </c>
      <c r="F129" s="25" t="s">
        <v>2291</v>
      </c>
      <c r="G129" s="25" t="s">
        <v>250</v>
      </c>
      <c r="H129" s="25" t="n">
        <v>86345.86</v>
      </c>
      <c r="I129" s="27" t="b">
        <f aca="false">FALSE()</f>
        <v>0</v>
      </c>
    </row>
    <row r="130" customFormat="false" ht="15" hidden="false" customHeight="false" outlineLevel="0" collapsed="false">
      <c r="A130" s="25" t="n">
        <v>129</v>
      </c>
      <c r="B130" s="25" t="s">
        <v>2419</v>
      </c>
      <c r="C130" s="25" t="s">
        <v>313</v>
      </c>
      <c r="D130" s="25" t="n">
        <v>20250430</v>
      </c>
      <c r="E130" s="25" t="n">
        <v>67</v>
      </c>
      <c r="F130" s="25" t="s">
        <v>2291</v>
      </c>
      <c r="G130" s="25" t="s">
        <v>243</v>
      </c>
      <c r="H130" s="25" t="n">
        <v>154521.63</v>
      </c>
      <c r="I130" s="27" t="b">
        <f aca="false">FALSE()</f>
        <v>0</v>
      </c>
    </row>
    <row r="131" customFormat="false" ht="15" hidden="false" customHeight="false" outlineLevel="0" collapsed="false">
      <c r="A131" s="25" t="n">
        <v>130</v>
      </c>
      <c r="B131" s="25" t="s">
        <v>2420</v>
      </c>
      <c r="C131" s="25" t="s">
        <v>454</v>
      </c>
      <c r="D131" s="25" t="n">
        <v>20241222</v>
      </c>
      <c r="E131" s="25" t="n">
        <v>107</v>
      </c>
      <c r="F131" s="25" t="s">
        <v>2287</v>
      </c>
      <c r="G131" s="25" t="s">
        <v>243</v>
      </c>
      <c r="H131" s="25" t="n">
        <v>217241.53</v>
      </c>
      <c r="I131" s="27" t="b">
        <f aca="false">FALSE()</f>
        <v>0</v>
      </c>
    </row>
    <row r="132" customFormat="false" ht="15" hidden="false" customHeight="false" outlineLevel="0" collapsed="false">
      <c r="A132" s="25" t="n">
        <v>131</v>
      </c>
      <c r="B132" s="25" t="s">
        <v>2421</v>
      </c>
      <c r="C132" s="25" t="s">
        <v>536</v>
      </c>
      <c r="D132" s="25" t="n">
        <v>20240506</v>
      </c>
      <c r="E132" s="25" t="n">
        <v>41</v>
      </c>
      <c r="F132" s="25" t="s">
        <v>2287</v>
      </c>
      <c r="G132" s="25" t="s">
        <v>250</v>
      </c>
      <c r="H132" s="25" t="n">
        <v>48722.03</v>
      </c>
      <c r="I132" s="27" t="b">
        <f aca="false">FALSE()</f>
        <v>0</v>
      </c>
    </row>
    <row r="133" customFormat="false" ht="15" hidden="false" customHeight="false" outlineLevel="0" collapsed="false">
      <c r="A133" s="25" t="n">
        <v>132</v>
      </c>
      <c r="B133" s="25" t="s">
        <v>2422</v>
      </c>
      <c r="C133" s="25" t="s">
        <v>283</v>
      </c>
      <c r="D133" s="25" t="n">
        <v>20241218</v>
      </c>
      <c r="E133" s="25" t="n">
        <v>6</v>
      </c>
      <c r="F133" s="25" t="s">
        <v>2295</v>
      </c>
      <c r="G133" s="25" t="s">
        <v>243</v>
      </c>
      <c r="H133" s="25" t="n">
        <v>58166.47</v>
      </c>
      <c r="I133" s="27" t="b">
        <f aca="false">FALSE()</f>
        <v>0</v>
      </c>
    </row>
    <row r="134" customFormat="false" ht="15" hidden="false" customHeight="false" outlineLevel="0" collapsed="false">
      <c r="A134" s="25" t="n">
        <v>133</v>
      </c>
      <c r="B134" s="25" t="s">
        <v>2423</v>
      </c>
      <c r="C134" s="25" t="s">
        <v>352</v>
      </c>
      <c r="D134" s="25" t="n">
        <v>20240615</v>
      </c>
      <c r="E134" s="25" t="n">
        <v>103</v>
      </c>
      <c r="F134" s="25" t="s">
        <v>2287</v>
      </c>
      <c r="G134" s="25" t="s">
        <v>243</v>
      </c>
      <c r="H134" s="25" t="n">
        <v>16201.73</v>
      </c>
      <c r="I134" s="27" t="b">
        <f aca="false">FALSE()</f>
        <v>0</v>
      </c>
    </row>
    <row r="135" customFormat="false" ht="15" hidden="false" customHeight="false" outlineLevel="0" collapsed="false">
      <c r="A135" s="25" t="n">
        <v>134</v>
      </c>
      <c r="B135" s="25" t="s">
        <v>2424</v>
      </c>
      <c r="C135" s="25" t="s">
        <v>349</v>
      </c>
      <c r="D135" s="25" t="n">
        <v>20250222</v>
      </c>
      <c r="E135" s="25" t="n">
        <v>82</v>
      </c>
      <c r="F135" s="25" t="s">
        <v>2295</v>
      </c>
      <c r="G135" s="25" t="s">
        <v>243</v>
      </c>
      <c r="H135" s="25" t="n">
        <v>139080.17</v>
      </c>
      <c r="I135" s="27" t="b">
        <f aca="false">FALSE()</f>
        <v>0</v>
      </c>
    </row>
    <row r="136" customFormat="false" ht="15" hidden="false" customHeight="false" outlineLevel="0" collapsed="false">
      <c r="A136" s="25" t="n">
        <v>135</v>
      </c>
      <c r="B136" s="25" t="s">
        <v>2425</v>
      </c>
      <c r="C136" s="25" t="s">
        <v>392</v>
      </c>
      <c r="D136" s="25" t="n">
        <v>20240429</v>
      </c>
      <c r="E136" s="25" t="n">
        <v>154</v>
      </c>
      <c r="F136" s="25" t="s">
        <v>2305</v>
      </c>
      <c r="G136" s="25" t="s">
        <v>243</v>
      </c>
      <c r="H136" s="25" t="n">
        <v>70612.09</v>
      </c>
      <c r="I136" s="27" t="b">
        <f aca="false">FALSE()</f>
        <v>0</v>
      </c>
    </row>
    <row r="137" customFormat="false" ht="15" hidden="false" customHeight="false" outlineLevel="0" collapsed="false">
      <c r="A137" s="25" t="n">
        <v>136</v>
      </c>
      <c r="B137" s="25" t="s">
        <v>2426</v>
      </c>
      <c r="C137" s="25" t="s">
        <v>249</v>
      </c>
      <c r="D137" s="25" t="n">
        <v>20250516</v>
      </c>
      <c r="E137" s="25" t="n">
        <v>132</v>
      </c>
      <c r="F137" s="25" t="s">
        <v>2295</v>
      </c>
      <c r="G137" s="25" t="s">
        <v>250</v>
      </c>
      <c r="H137" s="25" t="n">
        <v>33974.88</v>
      </c>
      <c r="I137" s="27" t="b">
        <f aca="false">FALSE()</f>
        <v>0</v>
      </c>
    </row>
    <row r="138" customFormat="false" ht="15" hidden="false" customHeight="false" outlineLevel="0" collapsed="false">
      <c r="A138" s="25" t="n">
        <v>137</v>
      </c>
      <c r="B138" s="25" t="s">
        <v>2427</v>
      </c>
      <c r="C138" s="25" t="s">
        <v>520</v>
      </c>
      <c r="D138" s="25" t="n">
        <v>20240510</v>
      </c>
      <c r="E138" s="25" t="n">
        <v>21</v>
      </c>
      <c r="F138" s="25" t="s">
        <v>2289</v>
      </c>
      <c r="G138" s="25" t="s">
        <v>243</v>
      </c>
      <c r="H138" s="25" t="n">
        <v>20632.4</v>
      </c>
      <c r="I138" s="27" t="b">
        <f aca="false">FALSE()</f>
        <v>0</v>
      </c>
    </row>
    <row r="139" customFormat="false" ht="15" hidden="false" customHeight="false" outlineLevel="0" collapsed="false">
      <c r="A139" s="25" t="n">
        <v>138</v>
      </c>
      <c r="B139" s="25" t="s">
        <v>2428</v>
      </c>
      <c r="C139" s="25" t="s">
        <v>496</v>
      </c>
      <c r="D139" s="25" t="n">
        <v>20240311</v>
      </c>
      <c r="E139" s="25" t="n">
        <v>113</v>
      </c>
      <c r="F139" s="25" t="s">
        <v>2289</v>
      </c>
      <c r="G139" s="25" t="s">
        <v>243</v>
      </c>
      <c r="H139" s="25" t="n">
        <v>64176.92</v>
      </c>
      <c r="I139" s="27" t="b">
        <f aca="false">FALSE()</f>
        <v>0</v>
      </c>
    </row>
    <row r="140" customFormat="false" ht="15" hidden="false" customHeight="false" outlineLevel="0" collapsed="false">
      <c r="A140" s="25" t="n">
        <v>139</v>
      </c>
      <c r="B140" s="25" t="s">
        <v>2429</v>
      </c>
      <c r="C140" s="25" t="s">
        <v>483</v>
      </c>
      <c r="D140" s="25" t="n">
        <v>20250303</v>
      </c>
      <c r="E140" s="25" t="n">
        <v>52</v>
      </c>
      <c r="F140" s="25" t="s">
        <v>2289</v>
      </c>
      <c r="G140" s="25" t="s">
        <v>243</v>
      </c>
      <c r="H140" s="25" t="n">
        <v>136898.84</v>
      </c>
      <c r="I140" s="27" t="b">
        <f aca="false">FALSE()</f>
        <v>0</v>
      </c>
    </row>
    <row r="141" customFormat="false" ht="15" hidden="false" customHeight="false" outlineLevel="0" collapsed="false">
      <c r="A141" s="25" t="n">
        <v>140</v>
      </c>
      <c r="B141" s="25" t="s">
        <v>2430</v>
      </c>
      <c r="C141" s="25" t="s">
        <v>547</v>
      </c>
      <c r="D141" s="25" t="n">
        <v>-1</v>
      </c>
      <c r="E141" s="25" t="n">
        <v>-1</v>
      </c>
      <c r="F141" s="25" t="s">
        <v>2287</v>
      </c>
      <c r="G141" s="25" t="s">
        <v>243</v>
      </c>
      <c r="H141" s="25" t="n">
        <v>120264.23</v>
      </c>
      <c r="I141" s="27" t="b">
        <f aca="false">FALSE()</f>
        <v>0</v>
      </c>
    </row>
    <row r="142" customFormat="false" ht="15" hidden="false" customHeight="false" outlineLevel="0" collapsed="false">
      <c r="A142" s="25" t="n">
        <v>141</v>
      </c>
      <c r="B142" s="25" t="s">
        <v>2431</v>
      </c>
      <c r="C142" s="25" t="s">
        <v>275</v>
      </c>
      <c r="D142" s="25" t="n">
        <v>20241103</v>
      </c>
      <c r="E142" s="25" t="n">
        <v>62</v>
      </c>
      <c r="F142" s="25" t="s">
        <v>2305</v>
      </c>
      <c r="G142" s="25" t="s">
        <v>243</v>
      </c>
      <c r="H142" s="25" t="n">
        <v>210054.96</v>
      </c>
      <c r="I142" s="27" t="b">
        <f aca="false">FALSE()</f>
        <v>0</v>
      </c>
    </row>
    <row r="143" customFormat="false" ht="15" hidden="false" customHeight="false" outlineLevel="0" collapsed="false">
      <c r="A143" s="25" t="n">
        <v>142</v>
      </c>
      <c r="B143" s="25" t="s">
        <v>2432</v>
      </c>
      <c r="C143" s="25" t="s">
        <v>262</v>
      </c>
      <c r="D143" s="25" t="n">
        <v>20250321</v>
      </c>
      <c r="E143" s="25" t="n">
        <v>85</v>
      </c>
      <c r="F143" s="25" t="s">
        <v>2291</v>
      </c>
      <c r="G143" s="25" t="s">
        <v>247</v>
      </c>
      <c r="H143" s="25" t="n">
        <v>40778.86</v>
      </c>
      <c r="I143" s="27" t="b">
        <f aca="false">FALSE()</f>
        <v>0</v>
      </c>
    </row>
    <row r="144" customFormat="false" ht="15" hidden="false" customHeight="false" outlineLevel="0" collapsed="false">
      <c r="A144" s="25" t="n">
        <v>143</v>
      </c>
      <c r="B144" s="25" t="s">
        <v>2433</v>
      </c>
      <c r="C144" s="25" t="s">
        <v>265</v>
      </c>
      <c r="D144" s="25" t="n">
        <v>20250814</v>
      </c>
      <c r="E144" s="25" t="n">
        <v>50</v>
      </c>
      <c r="F144" s="25" t="s">
        <v>2305</v>
      </c>
      <c r="G144" s="25" t="s">
        <v>266</v>
      </c>
      <c r="H144" s="25" t="n">
        <v>141177.62</v>
      </c>
      <c r="I144" s="27" t="b">
        <f aca="false">FALSE()</f>
        <v>0</v>
      </c>
    </row>
    <row r="145" customFormat="false" ht="15" hidden="false" customHeight="false" outlineLevel="0" collapsed="false">
      <c r="A145" s="25" t="n">
        <v>144</v>
      </c>
      <c r="B145" s="25" t="s">
        <v>2434</v>
      </c>
      <c r="C145" s="25" t="s">
        <v>292</v>
      </c>
      <c r="D145" s="25" t="n">
        <v>20240421</v>
      </c>
      <c r="E145" s="25" t="n">
        <v>73</v>
      </c>
      <c r="F145" s="25" t="s">
        <v>2295</v>
      </c>
      <c r="G145" s="25" t="s">
        <v>243</v>
      </c>
      <c r="H145" s="25" t="n">
        <v>21358.35</v>
      </c>
      <c r="I145" s="27" t="b">
        <f aca="false">FALSE()</f>
        <v>0</v>
      </c>
    </row>
    <row r="146" customFormat="false" ht="15" hidden="false" customHeight="false" outlineLevel="0" collapsed="false">
      <c r="A146" s="25" t="n">
        <v>145</v>
      </c>
      <c r="B146" s="25" t="s">
        <v>2435</v>
      </c>
      <c r="C146" s="25" t="s">
        <v>512</v>
      </c>
      <c r="D146" s="25" t="n">
        <v>20240430</v>
      </c>
      <c r="E146" s="25" t="n">
        <v>105</v>
      </c>
      <c r="F146" s="25" t="s">
        <v>2295</v>
      </c>
      <c r="G146" s="25" t="s">
        <v>243</v>
      </c>
      <c r="H146" s="25" t="n">
        <v>216532.73</v>
      </c>
      <c r="I146" s="27" t="b">
        <f aca="false">FALSE()</f>
        <v>0</v>
      </c>
    </row>
    <row r="147" customFormat="false" ht="15" hidden="false" customHeight="false" outlineLevel="0" collapsed="false">
      <c r="A147" s="25" t="n">
        <v>146</v>
      </c>
      <c r="B147" s="25" t="s">
        <v>2436</v>
      </c>
      <c r="C147" s="25" t="s">
        <v>448</v>
      </c>
      <c r="D147" s="25" t="n">
        <v>-1</v>
      </c>
      <c r="E147" s="25" t="n">
        <v>34</v>
      </c>
      <c r="F147" s="25" t="s">
        <v>2291</v>
      </c>
      <c r="G147" s="25" t="s">
        <v>243</v>
      </c>
      <c r="H147" s="25" t="n">
        <v>129501.58</v>
      </c>
      <c r="I147" s="27" t="b">
        <f aca="false">FALSE()</f>
        <v>0</v>
      </c>
    </row>
    <row r="148" customFormat="false" ht="15" hidden="false" customHeight="false" outlineLevel="0" collapsed="false">
      <c r="A148" s="25" t="n">
        <v>147</v>
      </c>
      <c r="B148" s="25" t="s">
        <v>2437</v>
      </c>
      <c r="C148" s="25" t="s">
        <v>423</v>
      </c>
      <c r="D148" s="25" t="n">
        <v>20240814</v>
      </c>
      <c r="E148" s="25" t="n">
        <v>9</v>
      </c>
      <c r="F148" s="25" t="s">
        <v>2291</v>
      </c>
      <c r="G148" s="25" t="s">
        <v>243</v>
      </c>
      <c r="H148" s="25" t="n">
        <v>184862.7</v>
      </c>
      <c r="I148" s="27" t="b">
        <f aca="false">FALSE()</f>
        <v>0</v>
      </c>
    </row>
    <row r="149" customFormat="false" ht="15" hidden="false" customHeight="false" outlineLevel="0" collapsed="false">
      <c r="A149" s="25" t="n">
        <v>148</v>
      </c>
      <c r="B149" s="25" t="s">
        <v>2438</v>
      </c>
      <c r="C149" s="25" t="s">
        <v>290</v>
      </c>
      <c r="D149" s="25" t="n">
        <v>20240415</v>
      </c>
      <c r="E149" s="25" t="n">
        <v>143</v>
      </c>
      <c r="F149" s="25" t="s">
        <v>2287</v>
      </c>
      <c r="G149" s="25" t="s">
        <v>247</v>
      </c>
      <c r="H149" s="25" t="n">
        <v>119584.01</v>
      </c>
      <c r="I149" s="27" t="b">
        <f aca="false">FALSE()</f>
        <v>0</v>
      </c>
    </row>
    <row r="150" customFormat="false" ht="15" hidden="false" customHeight="false" outlineLevel="0" collapsed="false">
      <c r="A150" s="25" t="n">
        <v>149</v>
      </c>
      <c r="B150" s="25" t="s">
        <v>2439</v>
      </c>
      <c r="C150" s="25" t="s">
        <v>475</v>
      </c>
      <c r="D150" s="25" t="n">
        <v>20251030</v>
      </c>
      <c r="E150" s="25" t="n">
        <v>109</v>
      </c>
      <c r="F150" s="25" t="s">
        <v>2291</v>
      </c>
      <c r="G150" s="25" t="s">
        <v>243</v>
      </c>
      <c r="H150" s="25" t="n">
        <v>100073.12</v>
      </c>
      <c r="I150" s="27" t="b">
        <f aca="false">FALSE()</f>
        <v>0</v>
      </c>
    </row>
    <row r="151" customFormat="false" ht="15" hidden="false" customHeight="false" outlineLevel="0" collapsed="false">
      <c r="A151" s="25" t="n">
        <v>150</v>
      </c>
      <c r="B151" s="25" t="s">
        <v>2440</v>
      </c>
      <c r="C151" s="25" t="s">
        <v>410</v>
      </c>
      <c r="D151" s="25" t="n">
        <v>20241023</v>
      </c>
      <c r="E151" s="25" t="n">
        <v>68</v>
      </c>
      <c r="F151" s="25" t="s">
        <v>2289</v>
      </c>
      <c r="G151" s="25" t="s">
        <v>243</v>
      </c>
      <c r="H151" s="25" t="n">
        <v>136681.68</v>
      </c>
      <c r="I151" s="27" t="b">
        <f aca="false">FALSE()</f>
        <v>0</v>
      </c>
    </row>
    <row r="152" customFormat="false" ht="15" hidden="false" customHeight="false" outlineLevel="0" collapsed="false">
      <c r="A152" s="25" t="n">
        <v>151</v>
      </c>
      <c r="B152" s="25" t="s">
        <v>2441</v>
      </c>
      <c r="C152" s="25" t="s">
        <v>537</v>
      </c>
      <c r="D152" s="25" t="n">
        <v>20240824</v>
      </c>
      <c r="E152" s="25" t="n">
        <v>49</v>
      </c>
      <c r="F152" s="25" t="s">
        <v>2287</v>
      </c>
      <c r="G152" s="25" t="s">
        <v>243</v>
      </c>
      <c r="H152" s="25" t="n">
        <v>21970.53</v>
      </c>
      <c r="I152" s="27" t="b">
        <f aca="false">FALSE()</f>
        <v>0</v>
      </c>
    </row>
    <row r="153" customFormat="false" ht="15" hidden="false" customHeight="false" outlineLevel="0" collapsed="false">
      <c r="A153" s="25" t="n">
        <v>152</v>
      </c>
      <c r="B153" s="25" t="s">
        <v>2442</v>
      </c>
      <c r="C153" s="25" t="s">
        <v>507</v>
      </c>
      <c r="D153" s="25" t="n">
        <v>20240730</v>
      </c>
      <c r="E153" s="25" t="n">
        <v>131</v>
      </c>
      <c r="F153" s="25" t="s">
        <v>2287</v>
      </c>
      <c r="G153" s="25" t="s">
        <v>243</v>
      </c>
      <c r="H153" s="25" t="n">
        <v>14841.55</v>
      </c>
      <c r="I153" s="27" t="b">
        <f aca="false">FALSE()</f>
        <v>0</v>
      </c>
    </row>
    <row r="154" customFormat="false" ht="15" hidden="false" customHeight="false" outlineLevel="0" collapsed="false">
      <c r="A154" s="25" t="n">
        <v>153</v>
      </c>
      <c r="B154" s="25" t="s">
        <v>2443</v>
      </c>
      <c r="C154" s="25" t="s">
        <v>320</v>
      </c>
      <c r="D154" s="25" t="n">
        <v>20251026</v>
      </c>
      <c r="E154" s="25" t="n">
        <v>66</v>
      </c>
      <c r="F154" s="25" t="s">
        <v>2291</v>
      </c>
      <c r="G154" s="25" t="s">
        <v>243</v>
      </c>
      <c r="H154" s="25" t="n">
        <v>24725.25</v>
      </c>
      <c r="I154" s="27" t="b">
        <f aca="false">FALSE()</f>
        <v>0</v>
      </c>
    </row>
    <row r="155" customFormat="false" ht="15" hidden="false" customHeight="false" outlineLevel="0" collapsed="false">
      <c r="A155" s="25" t="n">
        <v>154</v>
      </c>
      <c r="B155" s="25" t="s">
        <v>2444</v>
      </c>
      <c r="C155" s="25" t="s">
        <v>498</v>
      </c>
      <c r="D155" s="25" t="n">
        <v>20240805</v>
      </c>
      <c r="E155" s="25" t="n">
        <v>26</v>
      </c>
      <c r="F155" s="25" t="s">
        <v>2287</v>
      </c>
      <c r="G155" s="25" t="s">
        <v>243</v>
      </c>
      <c r="H155" s="25" t="n">
        <v>18422.85</v>
      </c>
      <c r="I155" s="27" t="b">
        <f aca="false">FALSE()</f>
        <v>0</v>
      </c>
    </row>
    <row r="156" customFormat="false" ht="15" hidden="false" customHeight="false" outlineLevel="0" collapsed="false">
      <c r="A156" s="25" t="n">
        <v>155</v>
      </c>
      <c r="B156" s="25" t="s">
        <v>2445</v>
      </c>
      <c r="C156" s="25" t="s">
        <v>388</v>
      </c>
      <c r="D156" s="25" t="n">
        <v>20240609</v>
      </c>
      <c r="E156" s="25" t="n">
        <v>151</v>
      </c>
      <c r="F156" s="25" t="s">
        <v>2287</v>
      </c>
      <c r="G156" s="25" t="s">
        <v>243</v>
      </c>
      <c r="H156" s="25" t="n">
        <v>114760.35</v>
      </c>
      <c r="I156" s="27" t="b">
        <f aca="false">FALSE()</f>
        <v>0</v>
      </c>
    </row>
    <row r="157" customFormat="false" ht="15" hidden="false" customHeight="false" outlineLevel="0" collapsed="false">
      <c r="A157" s="25" t="n">
        <v>156</v>
      </c>
      <c r="B157" s="25" t="s">
        <v>2446</v>
      </c>
      <c r="C157" s="25" t="s">
        <v>587</v>
      </c>
      <c r="D157" s="25" t="n">
        <v>20250527</v>
      </c>
      <c r="E157" s="25" t="n">
        <v>-1</v>
      </c>
      <c r="F157" s="25" t="s">
        <v>2305</v>
      </c>
      <c r="G157" s="25" t="s">
        <v>243</v>
      </c>
      <c r="H157" s="25" t="n">
        <v>107279.68</v>
      </c>
      <c r="I157" s="27" t="b">
        <f aca="false">TRUE()</f>
        <v>1</v>
      </c>
    </row>
    <row r="158" customFormat="false" ht="15" hidden="false" customHeight="false" outlineLevel="0" collapsed="false">
      <c r="A158" s="25" t="n">
        <v>157</v>
      </c>
      <c r="B158" s="25" t="s">
        <v>2447</v>
      </c>
      <c r="C158" s="25" t="s">
        <v>337</v>
      </c>
      <c r="D158" s="25" t="n">
        <v>20241015</v>
      </c>
      <c r="E158" s="25" t="n">
        <v>144</v>
      </c>
      <c r="F158" s="25" t="s">
        <v>2295</v>
      </c>
      <c r="G158" s="25" t="s">
        <v>243</v>
      </c>
      <c r="H158" s="25" t="n">
        <v>142183.2</v>
      </c>
      <c r="I158" s="27" t="b">
        <f aca="false">FALSE()</f>
        <v>0</v>
      </c>
    </row>
    <row r="159" customFormat="false" ht="15" hidden="false" customHeight="false" outlineLevel="0" collapsed="false">
      <c r="A159" s="25" t="n">
        <v>158</v>
      </c>
      <c r="B159" s="25" t="s">
        <v>2448</v>
      </c>
      <c r="C159" s="25" t="s">
        <v>271</v>
      </c>
      <c r="D159" s="25" t="n">
        <v>20250501</v>
      </c>
      <c r="E159" s="25" t="n">
        <v>36</v>
      </c>
      <c r="F159" s="25" t="s">
        <v>2295</v>
      </c>
      <c r="G159" s="25" t="s">
        <v>247</v>
      </c>
      <c r="H159" s="25" t="n">
        <v>80420.7</v>
      </c>
      <c r="I159" s="27" t="b">
        <f aca="false">FALSE()</f>
        <v>0</v>
      </c>
    </row>
    <row r="160" customFormat="false" ht="15" hidden="false" customHeight="false" outlineLevel="0" collapsed="false">
      <c r="A160" s="25" t="n">
        <v>159</v>
      </c>
      <c r="B160" s="25" t="s">
        <v>2449</v>
      </c>
      <c r="C160" s="25" t="s">
        <v>459</v>
      </c>
      <c r="D160" s="25" t="n">
        <v>20250211</v>
      </c>
      <c r="E160" s="25" t="n">
        <v>33</v>
      </c>
      <c r="F160" s="25" t="s">
        <v>2305</v>
      </c>
      <c r="G160" s="25" t="s">
        <v>243</v>
      </c>
      <c r="H160" s="25" t="n">
        <v>333060.9</v>
      </c>
      <c r="I160" s="27" t="b">
        <f aca="false">FALSE()</f>
        <v>0</v>
      </c>
    </row>
    <row r="161" customFormat="false" ht="15" hidden="false" customHeight="false" outlineLevel="0" collapsed="false">
      <c r="A161" s="25" t="n">
        <v>160</v>
      </c>
      <c r="B161" s="25" t="s">
        <v>2450</v>
      </c>
      <c r="C161" s="25" t="s">
        <v>559</v>
      </c>
      <c r="D161" s="25" t="n">
        <v>20251201</v>
      </c>
      <c r="E161" s="25" t="n">
        <v>31</v>
      </c>
      <c r="F161" s="25" t="s">
        <v>2287</v>
      </c>
      <c r="G161" s="25" t="s">
        <v>243</v>
      </c>
      <c r="H161" s="25" t="n">
        <v>134717.53</v>
      </c>
      <c r="I161" s="27" t="b">
        <f aca="false">FALSE()</f>
        <v>0</v>
      </c>
    </row>
    <row r="162" customFormat="false" ht="15" hidden="false" customHeight="false" outlineLevel="0" collapsed="false">
      <c r="A162" s="25" t="n">
        <v>161</v>
      </c>
      <c r="B162" s="25" t="s">
        <v>2451</v>
      </c>
      <c r="C162" s="25" t="s">
        <v>367</v>
      </c>
      <c r="D162" s="25" t="n">
        <v>20240523</v>
      </c>
      <c r="E162" s="25" t="n">
        <v>129</v>
      </c>
      <c r="F162" s="25" t="s">
        <v>2289</v>
      </c>
      <c r="G162" s="25" t="s">
        <v>243</v>
      </c>
      <c r="H162" s="25" t="n">
        <v>113386.32</v>
      </c>
      <c r="I162" s="27" t="b">
        <f aca="false">FALSE()</f>
        <v>0</v>
      </c>
    </row>
    <row r="163" customFormat="false" ht="15" hidden="false" customHeight="false" outlineLevel="0" collapsed="false">
      <c r="A163" s="25" t="n">
        <v>162</v>
      </c>
      <c r="B163" s="25" t="s">
        <v>2452</v>
      </c>
      <c r="C163" s="25" t="s">
        <v>449</v>
      </c>
      <c r="D163" s="25" t="n">
        <v>20250528</v>
      </c>
      <c r="E163" s="25" t="n">
        <v>25</v>
      </c>
      <c r="F163" s="25" t="s">
        <v>2287</v>
      </c>
      <c r="G163" s="25" t="s">
        <v>243</v>
      </c>
      <c r="H163" s="25" t="n">
        <v>88587.15</v>
      </c>
      <c r="I163" s="27" t="b">
        <f aca="false">FALSE()</f>
        <v>0</v>
      </c>
    </row>
    <row r="164" customFormat="false" ht="15" hidden="false" customHeight="false" outlineLevel="0" collapsed="false">
      <c r="A164" s="25" t="n">
        <v>163</v>
      </c>
      <c r="B164" s="25" t="s">
        <v>2453</v>
      </c>
      <c r="C164" s="25" t="s">
        <v>411</v>
      </c>
      <c r="D164" s="25" t="n">
        <v>20250912</v>
      </c>
      <c r="E164" s="25" t="n">
        <v>109</v>
      </c>
      <c r="F164" s="25" t="s">
        <v>2287</v>
      </c>
      <c r="G164" s="25" t="s">
        <v>243</v>
      </c>
      <c r="H164" s="25" t="n">
        <v>179268.9</v>
      </c>
      <c r="I164" s="27" t="b">
        <f aca="false">FALSE()</f>
        <v>0</v>
      </c>
    </row>
    <row r="165" customFormat="false" ht="15" hidden="false" customHeight="false" outlineLevel="0" collapsed="false">
      <c r="A165" s="25" t="n">
        <v>164</v>
      </c>
      <c r="B165" s="25" t="s">
        <v>2454</v>
      </c>
      <c r="C165" s="25" t="s">
        <v>400</v>
      </c>
      <c r="D165" s="25" t="n">
        <v>20240619</v>
      </c>
      <c r="E165" s="25" t="n">
        <v>95</v>
      </c>
      <c r="F165" s="25" t="s">
        <v>2287</v>
      </c>
      <c r="G165" s="25" t="s">
        <v>243</v>
      </c>
      <c r="H165" s="25" t="n">
        <v>24000.92</v>
      </c>
      <c r="I165" s="27" t="b">
        <f aca="false">FALSE()</f>
        <v>0</v>
      </c>
    </row>
    <row r="166" customFormat="false" ht="15" hidden="false" customHeight="false" outlineLevel="0" collapsed="false">
      <c r="A166" s="25" t="n">
        <v>165</v>
      </c>
      <c r="B166" s="25" t="s">
        <v>2455</v>
      </c>
      <c r="C166" s="25" t="s">
        <v>557</v>
      </c>
      <c r="D166" s="25" t="n">
        <v>20250610</v>
      </c>
      <c r="E166" s="25" t="n">
        <v>60</v>
      </c>
      <c r="F166" s="25" t="s">
        <v>2295</v>
      </c>
      <c r="G166" s="25" t="s">
        <v>243</v>
      </c>
      <c r="H166" s="25" t="n">
        <v>203529.85</v>
      </c>
      <c r="I166" s="27" t="b">
        <f aca="false">FALSE()</f>
        <v>0</v>
      </c>
    </row>
    <row r="167" customFormat="false" ht="15" hidden="false" customHeight="false" outlineLevel="0" collapsed="false">
      <c r="A167" s="25" t="n">
        <v>166</v>
      </c>
      <c r="B167" s="25" t="s">
        <v>2456</v>
      </c>
      <c r="C167" s="25" t="s">
        <v>268</v>
      </c>
      <c r="D167" s="25" t="n">
        <v>20241026</v>
      </c>
      <c r="E167" s="25" t="n">
        <v>78</v>
      </c>
      <c r="F167" s="25" t="s">
        <v>2289</v>
      </c>
      <c r="G167" s="25" t="s">
        <v>243</v>
      </c>
      <c r="H167" s="25" t="n">
        <v>156502.06</v>
      </c>
      <c r="I167" s="27" t="b">
        <f aca="false">FALSE()</f>
        <v>0</v>
      </c>
    </row>
    <row r="168" customFormat="false" ht="15" hidden="false" customHeight="false" outlineLevel="0" collapsed="false">
      <c r="A168" s="25" t="n">
        <v>167</v>
      </c>
      <c r="B168" s="25" t="s">
        <v>2457</v>
      </c>
      <c r="C168" s="25" t="s">
        <v>284</v>
      </c>
      <c r="D168" s="25" t="n">
        <v>20240923</v>
      </c>
      <c r="E168" s="25" t="n">
        <v>77</v>
      </c>
      <c r="F168" s="25" t="s">
        <v>2287</v>
      </c>
      <c r="G168" s="25" t="s">
        <v>243</v>
      </c>
      <c r="H168" s="25" t="n">
        <v>67330.43</v>
      </c>
      <c r="I168" s="27" t="b">
        <f aca="false">FALSE()</f>
        <v>0</v>
      </c>
    </row>
    <row r="169" customFormat="false" ht="15" hidden="false" customHeight="false" outlineLevel="0" collapsed="false">
      <c r="A169" s="25" t="n">
        <v>168</v>
      </c>
      <c r="B169" s="25" t="s">
        <v>2458</v>
      </c>
      <c r="C169" s="25" t="s">
        <v>407</v>
      </c>
      <c r="D169" s="25" t="n">
        <v>20250105</v>
      </c>
      <c r="E169" s="25" t="n">
        <v>157</v>
      </c>
      <c r="F169" s="25" t="s">
        <v>2287</v>
      </c>
      <c r="G169" s="25" t="s">
        <v>243</v>
      </c>
      <c r="H169" s="25" t="n">
        <v>40210.35</v>
      </c>
      <c r="I169" s="27" t="b">
        <f aca="false">FALSE()</f>
        <v>0</v>
      </c>
    </row>
    <row r="170" customFormat="false" ht="15" hidden="false" customHeight="false" outlineLevel="0" collapsed="false">
      <c r="A170" s="25" t="n">
        <v>169</v>
      </c>
      <c r="B170" s="25" t="s">
        <v>2459</v>
      </c>
      <c r="C170" s="25" t="s">
        <v>466</v>
      </c>
      <c r="D170" s="25" t="n">
        <v>20251020</v>
      </c>
      <c r="E170" s="25" t="n">
        <v>128</v>
      </c>
      <c r="F170" s="25" t="s">
        <v>2289</v>
      </c>
      <c r="G170" s="25" t="s">
        <v>243</v>
      </c>
      <c r="H170" s="25" t="n">
        <v>85365.34</v>
      </c>
      <c r="I170" s="27" t="b">
        <f aca="false">FALSE()</f>
        <v>0</v>
      </c>
    </row>
    <row r="171" customFormat="false" ht="15" hidden="false" customHeight="false" outlineLevel="0" collapsed="false">
      <c r="A171" s="25" t="n">
        <v>170</v>
      </c>
      <c r="B171" s="25" t="s">
        <v>2460</v>
      </c>
      <c r="C171" s="25" t="s">
        <v>380</v>
      </c>
      <c r="D171" s="25" t="n">
        <v>20250203</v>
      </c>
      <c r="E171" s="25" t="n">
        <v>20</v>
      </c>
      <c r="F171" s="25" t="s">
        <v>2291</v>
      </c>
      <c r="G171" s="25" t="s">
        <v>243</v>
      </c>
      <c r="H171" s="25" t="n">
        <v>121442.33</v>
      </c>
      <c r="I171" s="27" t="b">
        <f aca="false">FALSE()</f>
        <v>0</v>
      </c>
    </row>
    <row r="172" customFormat="false" ht="15" hidden="false" customHeight="false" outlineLevel="0" collapsed="false">
      <c r="A172" s="25" t="n">
        <v>171</v>
      </c>
      <c r="B172" s="25" t="s">
        <v>2461</v>
      </c>
      <c r="C172" s="25" t="s">
        <v>574</v>
      </c>
      <c r="D172" s="25" t="n">
        <v>20241212</v>
      </c>
      <c r="E172" s="25" t="n">
        <v>154</v>
      </c>
      <c r="F172" s="25" t="s">
        <v>2295</v>
      </c>
      <c r="G172" s="25" t="s">
        <v>243</v>
      </c>
      <c r="H172" s="25" t="n">
        <v>63385</v>
      </c>
      <c r="I172" s="27" t="b">
        <f aca="false">FALSE()</f>
        <v>0</v>
      </c>
    </row>
    <row r="173" customFormat="false" ht="15" hidden="false" customHeight="false" outlineLevel="0" collapsed="false">
      <c r="A173" s="25" t="n">
        <v>172</v>
      </c>
      <c r="B173" s="25" t="s">
        <v>2462</v>
      </c>
      <c r="C173" s="25" t="s">
        <v>394</v>
      </c>
      <c r="D173" s="25" t="n">
        <v>20251027</v>
      </c>
      <c r="E173" s="25" t="n">
        <v>117</v>
      </c>
      <c r="F173" s="25" t="s">
        <v>2295</v>
      </c>
      <c r="G173" s="25" t="s">
        <v>243</v>
      </c>
      <c r="H173" s="25" t="n">
        <v>120210.4</v>
      </c>
      <c r="I173" s="27" t="b">
        <f aca="false">FALSE()</f>
        <v>0</v>
      </c>
    </row>
    <row r="174" customFormat="false" ht="15" hidden="false" customHeight="false" outlineLevel="0" collapsed="false">
      <c r="A174" s="25" t="n">
        <v>173</v>
      </c>
      <c r="B174" s="25" t="s">
        <v>2463</v>
      </c>
      <c r="C174" s="25" t="s">
        <v>497</v>
      </c>
      <c r="D174" s="25" t="n">
        <v>20240721</v>
      </c>
      <c r="E174" s="25" t="n">
        <v>20</v>
      </c>
      <c r="F174" s="25" t="s">
        <v>2287</v>
      </c>
      <c r="G174" s="25" t="s">
        <v>243</v>
      </c>
      <c r="H174" s="25" t="n">
        <v>102751.95</v>
      </c>
      <c r="I174" s="27" t="b">
        <f aca="false">FALSE()</f>
        <v>0</v>
      </c>
    </row>
    <row r="175" customFormat="false" ht="15" hidden="false" customHeight="false" outlineLevel="0" collapsed="false">
      <c r="A175" s="25" t="n">
        <v>174</v>
      </c>
      <c r="B175" s="25" t="s">
        <v>2464</v>
      </c>
      <c r="C175" s="25" t="s">
        <v>573</v>
      </c>
      <c r="D175" s="25" t="n">
        <v>20240720</v>
      </c>
      <c r="E175" s="25" t="n">
        <v>65</v>
      </c>
      <c r="F175" s="25" t="s">
        <v>2287</v>
      </c>
      <c r="G175" s="25" t="s">
        <v>266</v>
      </c>
      <c r="H175" s="25" t="n">
        <v>5433.12</v>
      </c>
      <c r="I175" s="27" t="b">
        <f aca="false">FALSE()</f>
        <v>0</v>
      </c>
    </row>
    <row r="176" customFormat="false" ht="15" hidden="false" customHeight="false" outlineLevel="0" collapsed="false">
      <c r="A176" s="25" t="n">
        <v>175</v>
      </c>
      <c r="B176" s="25" t="s">
        <v>2465</v>
      </c>
      <c r="C176" s="25" t="s">
        <v>476</v>
      </c>
      <c r="D176" s="25" t="n">
        <v>20240528</v>
      </c>
      <c r="E176" s="25" t="n">
        <v>1</v>
      </c>
      <c r="F176" s="25" t="s">
        <v>2287</v>
      </c>
      <c r="G176" s="25" t="s">
        <v>247</v>
      </c>
      <c r="H176" s="25" t="n">
        <v>64502.16</v>
      </c>
      <c r="I176" s="27" t="b">
        <f aca="false">FALSE()</f>
        <v>0</v>
      </c>
    </row>
    <row r="177" customFormat="false" ht="15" hidden="false" customHeight="false" outlineLevel="0" collapsed="false">
      <c r="A177" s="25" t="n">
        <v>176</v>
      </c>
      <c r="B177" s="25" t="s">
        <v>2466</v>
      </c>
      <c r="C177" s="25" t="s">
        <v>577</v>
      </c>
      <c r="D177" s="25" t="n">
        <v>20250727</v>
      </c>
      <c r="E177" s="25" t="n">
        <v>14</v>
      </c>
      <c r="F177" s="25" t="s">
        <v>2291</v>
      </c>
      <c r="G177" s="25" t="s">
        <v>243</v>
      </c>
      <c r="H177" s="25" t="n">
        <v>81260.1</v>
      </c>
      <c r="I177" s="27" t="b">
        <f aca="false">FALSE()</f>
        <v>0</v>
      </c>
    </row>
    <row r="178" customFormat="false" ht="15" hidden="false" customHeight="false" outlineLevel="0" collapsed="false">
      <c r="A178" s="25" t="n">
        <v>177</v>
      </c>
      <c r="B178" s="25" t="s">
        <v>2467</v>
      </c>
      <c r="C178" s="25" t="s">
        <v>440</v>
      </c>
      <c r="D178" s="25" t="n">
        <v>20240115</v>
      </c>
      <c r="E178" s="25" t="n">
        <v>21</v>
      </c>
      <c r="F178" s="25" t="s">
        <v>2295</v>
      </c>
      <c r="G178" s="25" t="s">
        <v>243</v>
      </c>
      <c r="H178" s="25" t="n">
        <v>22580.5</v>
      </c>
      <c r="I178" s="27" t="b">
        <f aca="false">FALSE()</f>
        <v>0</v>
      </c>
    </row>
    <row r="179" customFormat="false" ht="15" hidden="false" customHeight="false" outlineLevel="0" collapsed="false">
      <c r="A179" s="25" t="n">
        <v>178</v>
      </c>
      <c r="B179" s="25" t="s">
        <v>2468</v>
      </c>
      <c r="C179" s="25" t="s">
        <v>546</v>
      </c>
      <c r="D179" s="25" t="n">
        <v>20250704</v>
      </c>
      <c r="E179" s="25" t="n">
        <v>-1</v>
      </c>
      <c r="F179" s="25" t="s">
        <v>2295</v>
      </c>
      <c r="G179" s="25" t="s">
        <v>250</v>
      </c>
      <c r="H179" s="25" t="n">
        <v>11089.19</v>
      </c>
      <c r="I179" s="27" t="b">
        <f aca="false">FALSE()</f>
        <v>0</v>
      </c>
    </row>
    <row r="180" customFormat="false" ht="15" hidden="false" customHeight="false" outlineLevel="0" collapsed="false">
      <c r="A180" s="25" t="n">
        <v>179</v>
      </c>
      <c r="B180" s="25" t="s">
        <v>2469</v>
      </c>
      <c r="C180" s="25" t="s">
        <v>330</v>
      </c>
      <c r="D180" s="25" t="n">
        <v>20250407</v>
      </c>
      <c r="E180" s="25" t="n">
        <v>49</v>
      </c>
      <c r="F180" s="25" t="s">
        <v>2287</v>
      </c>
      <c r="G180" s="25" t="s">
        <v>243</v>
      </c>
      <c r="H180" s="25" t="n">
        <v>96127.77</v>
      </c>
      <c r="I180" s="27" t="b">
        <f aca="false">FALSE()</f>
        <v>0</v>
      </c>
    </row>
    <row r="181" customFormat="false" ht="15" hidden="false" customHeight="false" outlineLevel="0" collapsed="false">
      <c r="A181" s="25" t="n">
        <v>180</v>
      </c>
      <c r="B181" s="25" t="s">
        <v>2470</v>
      </c>
      <c r="C181" s="25" t="s">
        <v>293</v>
      </c>
      <c r="D181" s="25" t="n">
        <v>20240703</v>
      </c>
      <c r="E181" s="25" t="n">
        <v>26</v>
      </c>
      <c r="F181" s="25" t="s">
        <v>2289</v>
      </c>
      <c r="G181" s="25" t="s">
        <v>250</v>
      </c>
      <c r="H181" s="25" t="n">
        <v>131014.48</v>
      </c>
      <c r="I181" s="27" t="b">
        <f aca="false">FALSE()</f>
        <v>0</v>
      </c>
    </row>
    <row r="182" customFormat="false" ht="15" hidden="false" customHeight="false" outlineLevel="0" collapsed="false">
      <c r="A182" s="25" t="n">
        <v>181</v>
      </c>
      <c r="B182" s="25" t="s">
        <v>2471</v>
      </c>
      <c r="C182" s="25" t="s">
        <v>258</v>
      </c>
      <c r="D182" s="25" t="n">
        <v>20250501</v>
      </c>
      <c r="E182" s="25" t="n">
        <v>4</v>
      </c>
      <c r="F182" s="25" t="s">
        <v>2291</v>
      </c>
      <c r="G182" s="25" t="s">
        <v>243</v>
      </c>
      <c r="H182" s="25" t="n">
        <v>57672.52</v>
      </c>
      <c r="I182" s="27" t="b">
        <f aca="false">FALSE()</f>
        <v>0</v>
      </c>
    </row>
    <row r="183" customFormat="false" ht="15" hidden="false" customHeight="false" outlineLevel="0" collapsed="false">
      <c r="A183" s="25" t="n">
        <v>182</v>
      </c>
      <c r="B183" s="25" t="s">
        <v>2472</v>
      </c>
      <c r="C183" s="25" t="s">
        <v>317</v>
      </c>
      <c r="D183" s="25" t="n">
        <v>20250107</v>
      </c>
      <c r="E183" s="25" t="n">
        <v>6</v>
      </c>
      <c r="F183" s="25" t="s">
        <v>2295</v>
      </c>
      <c r="G183" s="25" t="s">
        <v>243</v>
      </c>
      <c r="H183" s="25" t="n">
        <v>103794.82</v>
      </c>
      <c r="I183" s="27" t="b">
        <f aca="false">FALSE()</f>
        <v>0</v>
      </c>
    </row>
    <row r="184" customFormat="false" ht="15" hidden="false" customHeight="false" outlineLevel="0" collapsed="false">
      <c r="A184" s="25" t="n">
        <v>183</v>
      </c>
      <c r="B184" s="25" t="s">
        <v>2473</v>
      </c>
      <c r="C184" s="25" t="s">
        <v>522</v>
      </c>
      <c r="D184" s="25" t="n">
        <v>20250912</v>
      </c>
      <c r="E184" s="25" t="n">
        <v>154</v>
      </c>
      <c r="F184" s="25" t="s">
        <v>2295</v>
      </c>
      <c r="G184" s="25" t="s">
        <v>243</v>
      </c>
      <c r="H184" s="25" t="n">
        <v>218643.46</v>
      </c>
      <c r="I184" s="27" t="b">
        <f aca="false">FALSE()</f>
        <v>0</v>
      </c>
    </row>
    <row r="185" customFormat="false" ht="15" hidden="false" customHeight="false" outlineLevel="0" collapsed="false">
      <c r="A185" s="25" t="n">
        <v>184</v>
      </c>
      <c r="B185" s="25" t="s">
        <v>2474</v>
      </c>
      <c r="C185" s="25" t="s">
        <v>487</v>
      </c>
      <c r="D185" s="25" t="n">
        <v>20240413</v>
      </c>
      <c r="E185" s="25" t="n">
        <v>115</v>
      </c>
      <c r="F185" s="25" t="s">
        <v>2289</v>
      </c>
      <c r="G185" s="25" t="s">
        <v>243</v>
      </c>
      <c r="H185" s="25" t="n">
        <v>33864.05</v>
      </c>
      <c r="I185" s="27" t="b">
        <f aca="false">FALSE()</f>
        <v>0</v>
      </c>
    </row>
    <row r="186" customFormat="false" ht="15" hidden="false" customHeight="false" outlineLevel="0" collapsed="false">
      <c r="A186" s="25" t="n">
        <v>185</v>
      </c>
      <c r="B186" s="25" t="s">
        <v>2475</v>
      </c>
      <c r="C186" s="25" t="s">
        <v>540</v>
      </c>
      <c r="D186" s="25" t="n">
        <v>20240126</v>
      </c>
      <c r="E186" s="25" t="n">
        <v>142</v>
      </c>
      <c r="F186" s="25" t="s">
        <v>2289</v>
      </c>
      <c r="G186" s="25" t="s">
        <v>243</v>
      </c>
      <c r="H186" s="25" t="n">
        <v>64259.81</v>
      </c>
      <c r="I186" s="27" t="b">
        <f aca="false">FALSE()</f>
        <v>0</v>
      </c>
    </row>
    <row r="187" customFormat="false" ht="15" hidden="false" customHeight="false" outlineLevel="0" collapsed="false">
      <c r="A187" s="25" t="n">
        <v>186</v>
      </c>
      <c r="B187" s="25" t="s">
        <v>2476</v>
      </c>
      <c r="C187" s="25" t="s">
        <v>568</v>
      </c>
      <c r="D187" s="25" t="n">
        <v>20240826</v>
      </c>
      <c r="E187" s="25" t="n">
        <v>106</v>
      </c>
      <c r="F187" s="25" t="s">
        <v>2291</v>
      </c>
      <c r="G187" s="25" t="s">
        <v>250</v>
      </c>
      <c r="H187" s="25" t="n">
        <v>138913.38</v>
      </c>
      <c r="I187" s="27" t="b">
        <f aca="false">FALSE()</f>
        <v>0</v>
      </c>
    </row>
    <row r="188" customFormat="false" ht="15" hidden="false" customHeight="false" outlineLevel="0" collapsed="false">
      <c r="A188" s="25" t="n">
        <v>187</v>
      </c>
      <c r="B188" s="25" t="s">
        <v>2477</v>
      </c>
      <c r="C188" s="25" t="s">
        <v>430</v>
      </c>
      <c r="D188" s="25" t="n">
        <v>20240402</v>
      </c>
      <c r="E188" s="25" t="n">
        <v>83</v>
      </c>
      <c r="F188" s="25" t="s">
        <v>2291</v>
      </c>
      <c r="G188" s="25" t="s">
        <v>266</v>
      </c>
      <c r="H188" s="25" t="n">
        <v>93071.87</v>
      </c>
      <c r="I188" s="27" t="b">
        <f aca="false">FALSE()</f>
        <v>0</v>
      </c>
    </row>
    <row r="189" customFormat="false" ht="15" hidden="false" customHeight="false" outlineLevel="0" collapsed="false">
      <c r="A189" s="25" t="n">
        <v>188</v>
      </c>
      <c r="B189" s="25" t="s">
        <v>2478</v>
      </c>
      <c r="C189" s="25" t="s">
        <v>472</v>
      </c>
      <c r="D189" s="25" t="n">
        <v>20240209</v>
      </c>
      <c r="E189" s="25" t="n">
        <v>52</v>
      </c>
      <c r="F189" s="25" t="s">
        <v>2295</v>
      </c>
      <c r="G189" s="25" t="s">
        <v>243</v>
      </c>
      <c r="H189" s="25" t="n">
        <v>51444.36</v>
      </c>
      <c r="I189" s="27" t="b">
        <f aca="false">FALSE()</f>
        <v>0</v>
      </c>
    </row>
    <row r="190" customFormat="false" ht="15" hidden="false" customHeight="false" outlineLevel="0" collapsed="false">
      <c r="A190" s="25" t="n">
        <v>189</v>
      </c>
      <c r="B190" s="25" t="s">
        <v>2479</v>
      </c>
      <c r="C190" s="25" t="s">
        <v>563</v>
      </c>
      <c r="D190" s="25" t="n">
        <v>20250125</v>
      </c>
      <c r="E190" s="25" t="n">
        <v>129</v>
      </c>
      <c r="F190" s="25" t="s">
        <v>2305</v>
      </c>
      <c r="G190" s="25" t="s">
        <v>243</v>
      </c>
      <c r="H190" s="25" t="n">
        <v>93476.6</v>
      </c>
      <c r="I190" s="27" t="b">
        <f aca="false">FALSE()</f>
        <v>0</v>
      </c>
    </row>
    <row r="191" customFormat="false" ht="15" hidden="false" customHeight="false" outlineLevel="0" collapsed="false">
      <c r="A191" s="25" t="n">
        <v>190</v>
      </c>
      <c r="B191" s="25" t="s">
        <v>2480</v>
      </c>
      <c r="C191" s="25" t="s">
        <v>446</v>
      </c>
      <c r="D191" s="25" t="n">
        <v>20240506</v>
      </c>
      <c r="E191" s="25" t="n">
        <v>28</v>
      </c>
      <c r="F191" s="25" t="s">
        <v>2287</v>
      </c>
      <c r="G191" s="25" t="s">
        <v>243</v>
      </c>
      <c r="H191" s="25" t="n">
        <v>152473.28</v>
      </c>
      <c r="I191" s="27" t="b">
        <f aca="false">FALSE()</f>
        <v>0</v>
      </c>
    </row>
    <row r="192" customFormat="false" ht="15" hidden="false" customHeight="false" outlineLevel="0" collapsed="false">
      <c r="A192" s="25" t="n">
        <v>191</v>
      </c>
      <c r="B192" s="25" t="s">
        <v>2481</v>
      </c>
      <c r="C192" s="25" t="s">
        <v>296</v>
      </c>
      <c r="D192" s="25" t="n">
        <v>20250627</v>
      </c>
      <c r="E192" s="25" t="n">
        <v>88</v>
      </c>
      <c r="F192" s="25" t="s">
        <v>2287</v>
      </c>
      <c r="G192" s="25" t="s">
        <v>243</v>
      </c>
      <c r="H192" s="25" t="n">
        <v>54738.31</v>
      </c>
      <c r="I192" s="27" t="b">
        <f aca="false">FALSE()</f>
        <v>0</v>
      </c>
    </row>
    <row r="193" customFormat="false" ht="15" hidden="false" customHeight="false" outlineLevel="0" collapsed="false">
      <c r="A193" s="25" t="n">
        <v>192</v>
      </c>
      <c r="B193" s="25" t="s">
        <v>2482</v>
      </c>
      <c r="C193" s="25" t="s">
        <v>588</v>
      </c>
      <c r="D193" s="25" t="n">
        <v>20240302</v>
      </c>
      <c r="E193" s="25" t="n">
        <v>-1</v>
      </c>
      <c r="F193" s="25" t="s">
        <v>2305</v>
      </c>
      <c r="G193" s="25" t="s">
        <v>247</v>
      </c>
      <c r="H193" s="25" t="n">
        <v>124164.45</v>
      </c>
      <c r="I193" s="27" t="b">
        <f aca="false">TRUE()</f>
        <v>1</v>
      </c>
    </row>
    <row r="194" customFormat="false" ht="15" hidden="false" customHeight="false" outlineLevel="0" collapsed="false">
      <c r="A194" s="25" t="n">
        <v>193</v>
      </c>
      <c r="B194" s="25" t="s">
        <v>2483</v>
      </c>
      <c r="C194" s="25" t="s">
        <v>354</v>
      </c>
      <c r="D194" s="25" t="n">
        <v>20240924</v>
      </c>
      <c r="E194" s="25" t="n">
        <v>21</v>
      </c>
      <c r="F194" s="25" t="s">
        <v>2291</v>
      </c>
      <c r="G194" s="25" t="s">
        <v>250</v>
      </c>
      <c r="H194" s="25" t="n">
        <v>133028.66</v>
      </c>
      <c r="I194" s="27" t="b">
        <f aca="false">FALSE()</f>
        <v>0</v>
      </c>
    </row>
    <row r="195" customFormat="false" ht="15" hidden="false" customHeight="false" outlineLevel="0" collapsed="false">
      <c r="A195" s="25" t="n">
        <v>194</v>
      </c>
      <c r="B195" s="25" t="s">
        <v>2484</v>
      </c>
      <c r="C195" s="25" t="s">
        <v>382</v>
      </c>
      <c r="D195" s="25" t="n">
        <v>20250906</v>
      </c>
      <c r="E195" s="25" t="n">
        <v>149</v>
      </c>
      <c r="F195" s="25" t="s">
        <v>2291</v>
      </c>
      <c r="G195" s="25" t="s">
        <v>243</v>
      </c>
      <c r="H195" s="25" t="n">
        <v>9301.18</v>
      </c>
      <c r="I195" s="27" t="b">
        <f aca="false">FALSE()</f>
        <v>0</v>
      </c>
    </row>
    <row r="196" customFormat="false" ht="15" hidden="false" customHeight="false" outlineLevel="0" collapsed="false">
      <c r="A196" s="25" t="n">
        <v>195</v>
      </c>
      <c r="B196" s="25" t="s">
        <v>2485</v>
      </c>
      <c r="C196" s="25" t="s">
        <v>562</v>
      </c>
      <c r="D196" s="25" t="n">
        <v>20250605</v>
      </c>
      <c r="E196" s="25" t="n">
        <v>148</v>
      </c>
      <c r="F196" s="25" t="s">
        <v>2287</v>
      </c>
      <c r="G196" s="25" t="s">
        <v>243</v>
      </c>
      <c r="H196" s="25" t="n">
        <v>152621.39</v>
      </c>
      <c r="I196" s="27" t="b">
        <f aca="false">FALSE()</f>
        <v>0</v>
      </c>
    </row>
    <row r="197" customFormat="false" ht="15" hidden="false" customHeight="false" outlineLevel="0" collapsed="false">
      <c r="A197" s="25" t="n">
        <v>196</v>
      </c>
      <c r="B197" s="25" t="s">
        <v>2486</v>
      </c>
      <c r="C197" s="25" t="s">
        <v>502</v>
      </c>
      <c r="D197" s="25" t="n">
        <v>20250429</v>
      </c>
      <c r="E197" s="25" t="n">
        <v>37</v>
      </c>
      <c r="F197" s="25" t="s">
        <v>2295</v>
      </c>
      <c r="G197" s="25" t="s">
        <v>250</v>
      </c>
      <c r="H197" s="25" t="n">
        <v>218900.57</v>
      </c>
      <c r="I197" s="27" t="b">
        <f aca="false">FALSE()</f>
        <v>0</v>
      </c>
    </row>
    <row r="198" customFormat="false" ht="15" hidden="false" customHeight="false" outlineLevel="0" collapsed="false">
      <c r="A198" s="25" t="n">
        <v>197</v>
      </c>
      <c r="B198" s="25" t="s">
        <v>2487</v>
      </c>
      <c r="C198" s="25" t="s">
        <v>291</v>
      </c>
      <c r="D198" s="25" t="n">
        <v>20250615</v>
      </c>
      <c r="E198" s="25" t="n">
        <v>136</v>
      </c>
      <c r="F198" s="25" t="s">
        <v>2295</v>
      </c>
      <c r="G198" s="25" t="s">
        <v>243</v>
      </c>
      <c r="H198" s="25" t="n">
        <v>183981.11</v>
      </c>
      <c r="I198" s="27" t="b">
        <f aca="false">FALSE()</f>
        <v>0</v>
      </c>
    </row>
    <row r="199" customFormat="false" ht="15" hidden="false" customHeight="false" outlineLevel="0" collapsed="false">
      <c r="A199" s="25" t="n">
        <v>198</v>
      </c>
      <c r="B199" s="25" t="s">
        <v>2488</v>
      </c>
      <c r="C199" s="25" t="s">
        <v>443</v>
      </c>
      <c r="D199" s="25" t="n">
        <v>20240425</v>
      </c>
      <c r="E199" s="25" t="n">
        <v>13</v>
      </c>
      <c r="F199" s="25" t="s">
        <v>2287</v>
      </c>
      <c r="G199" s="25" t="s">
        <v>243</v>
      </c>
      <c r="H199" s="25" t="n">
        <v>117460.38</v>
      </c>
      <c r="I199" s="27" t="b">
        <f aca="false">FALSE()</f>
        <v>0</v>
      </c>
    </row>
    <row r="200" customFormat="false" ht="15" hidden="false" customHeight="false" outlineLevel="0" collapsed="false">
      <c r="A200" s="25" t="n">
        <v>199</v>
      </c>
      <c r="B200" s="25" t="s">
        <v>2489</v>
      </c>
      <c r="C200" s="25" t="s">
        <v>542</v>
      </c>
      <c r="D200" s="25" t="n">
        <v>20250707</v>
      </c>
      <c r="E200" s="25" t="n">
        <v>96</v>
      </c>
      <c r="F200" s="25" t="s">
        <v>2295</v>
      </c>
      <c r="G200" s="25" t="s">
        <v>243</v>
      </c>
      <c r="H200" s="25" t="n">
        <v>33387.11</v>
      </c>
      <c r="I200" s="27" t="b">
        <f aca="false">FALSE()</f>
        <v>0</v>
      </c>
    </row>
    <row r="201" customFormat="false" ht="15" hidden="false" customHeight="false" outlineLevel="0" collapsed="false">
      <c r="A201" s="25" t="n">
        <v>200</v>
      </c>
      <c r="B201" s="25" t="s">
        <v>2490</v>
      </c>
      <c r="C201" s="25" t="s">
        <v>312</v>
      </c>
      <c r="D201" s="25" t="n">
        <v>20250704</v>
      </c>
      <c r="E201" s="25" t="n">
        <v>64</v>
      </c>
      <c r="F201" s="25" t="s">
        <v>2291</v>
      </c>
      <c r="G201" s="25" t="s">
        <v>250</v>
      </c>
      <c r="H201" s="25" t="n">
        <v>4010.91</v>
      </c>
      <c r="I201" s="27" t="b">
        <f aca="false">FALSE()</f>
        <v>0</v>
      </c>
    </row>
    <row r="202" customFormat="false" ht="15" hidden="false" customHeight="false" outlineLevel="0" collapsed="false">
      <c r="A202" s="25" t="n">
        <v>201</v>
      </c>
      <c r="B202" s="25" t="s">
        <v>2491</v>
      </c>
      <c r="C202" s="25" t="s">
        <v>484</v>
      </c>
      <c r="D202" s="25" t="n">
        <v>20250121</v>
      </c>
      <c r="E202" s="25" t="n">
        <v>66</v>
      </c>
      <c r="F202" s="25" t="s">
        <v>2295</v>
      </c>
      <c r="G202" s="25" t="s">
        <v>247</v>
      </c>
      <c r="H202" s="25" t="n">
        <v>12720.99</v>
      </c>
      <c r="I202" s="27" t="b">
        <f aca="false">FALSE()</f>
        <v>0</v>
      </c>
    </row>
    <row r="203" customFormat="false" ht="15" hidden="false" customHeight="false" outlineLevel="0" collapsed="false">
      <c r="A203" s="25" t="n">
        <v>202</v>
      </c>
      <c r="B203" s="25" t="s">
        <v>2492</v>
      </c>
      <c r="C203" s="25" t="s">
        <v>256</v>
      </c>
      <c r="D203" s="25" t="n">
        <v>20250831</v>
      </c>
      <c r="E203" s="25" t="n">
        <v>122</v>
      </c>
      <c r="F203" s="25" t="s">
        <v>2295</v>
      </c>
      <c r="G203" s="25" t="s">
        <v>243</v>
      </c>
      <c r="H203" s="25" t="n">
        <v>17880.99</v>
      </c>
      <c r="I203" s="27" t="b">
        <f aca="false">FALSE()</f>
        <v>0</v>
      </c>
    </row>
    <row r="204" customFormat="false" ht="15" hidden="false" customHeight="false" outlineLevel="0" collapsed="false">
      <c r="A204" s="25" t="n">
        <v>203</v>
      </c>
      <c r="B204" s="25" t="s">
        <v>2493</v>
      </c>
      <c r="C204" s="25" t="s">
        <v>344</v>
      </c>
      <c r="D204" s="25" t="n">
        <v>20250202</v>
      </c>
      <c r="E204" s="25" t="n">
        <v>45</v>
      </c>
      <c r="F204" s="25" t="s">
        <v>2291</v>
      </c>
      <c r="G204" s="25" t="s">
        <v>247</v>
      </c>
      <c r="H204" s="25" t="n">
        <v>217987.79</v>
      </c>
      <c r="I204" s="27" t="b">
        <f aca="false">FALSE()</f>
        <v>0</v>
      </c>
    </row>
    <row r="205" customFormat="false" ht="15" hidden="false" customHeight="false" outlineLevel="0" collapsed="false">
      <c r="A205" s="25" t="n">
        <v>204</v>
      </c>
      <c r="B205" s="25" t="s">
        <v>2494</v>
      </c>
      <c r="C205" s="25" t="s">
        <v>490</v>
      </c>
      <c r="D205" s="25" t="n">
        <v>20240720</v>
      </c>
      <c r="E205" s="25" t="n">
        <v>66</v>
      </c>
      <c r="F205" s="25" t="s">
        <v>2287</v>
      </c>
      <c r="G205" s="25" t="s">
        <v>243</v>
      </c>
      <c r="H205" s="25" t="n">
        <v>27808.29</v>
      </c>
      <c r="I205" s="27" t="b">
        <f aca="false">FALSE()</f>
        <v>0</v>
      </c>
    </row>
    <row r="206" customFormat="false" ht="15" hidden="false" customHeight="false" outlineLevel="0" collapsed="false">
      <c r="A206" s="25" t="n">
        <v>205</v>
      </c>
      <c r="B206" s="25" t="s">
        <v>2495</v>
      </c>
      <c r="C206" s="25" t="s">
        <v>503</v>
      </c>
      <c r="D206" s="25" t="n">
        <v>-1</v>
      </c>
      <c r="E206" s="25" t="n">
        <v>123</v>
      </c>
      <c r="F206" s="25" t="s">
        <v>2289</v>
      </c>
      <c r="G206" s="25" t="s">
        <v>243</v>
      </c>
      <c r="H206" s="25" t="n">
        <v>26656.17</v>
      </c>
      <c r="I206" s="27" t="b">
        <f aca="false">FALSE()</f>
        <v>0</v>
      </c>
    </row>
    <row r="207" customFormat="false" ht="15" hidden="false" customHeight="false" outlineLevel="0" collapsed="false">
      <c r="A207" s="25" t="n">
        <v>206</v>
      </c>
      <c r="B207" s="25" t="s">
        <v>2496</v>
      </c>
      <c r="C207" s="25" t="s">
        <v>264</v>
      </c>
      <c r="D207" s="25" t="n">
        <v>20250121</v>
      </c>
      <c r="E207" s="25" t="n">
        <v>96</v>
      </c>
      <c r="F207" s="25" t="s">
        <v>2295</v>
      </c>
      <c r="G207" s="25" t="s">
        <v>243</v>
      </c>
      <c r="H207" s="25" t="n">
        <v>43233.87</v>
      </c>
      <c r="I207" s="27" t="b">
        <f aca="false">FALSE()</f>
        <v>0</v>
      </c>
    </row>
    <row r="208" customFormat="false" ht="15" hidden="false" customHeight="false" outlineLevel="0" collapsed="false">
      <c r="A208" s="25" t="n">
        <v>207</v>
      </c>
      <c r="B208" s="25" t="s">
        <v>2497</v>
      </c>
      <c r="C208" s="25" t="s">
        <v>373</v>
      </c>
      <c r="D208" s="25" t="n">
        <v>20240222</v>
      </c>
      <c r="E208" s="25" t="n">
        <v>104</v>
      </c>
      <c r="F208" s="25" t="s">
        <v>2289</v>
      </c>
      <c r="G208" s="25" t="s">
        <v>243</v>
      </c>
      <c r="H208" s="25" t="n">
        <v>219470.86</v>
      </c>
      <c r="I208" s="27" t="b">
        <f aca="false">FALSE()</f>
        <v>0</v>
      </c>
    </row>
    <row r="209" customFormat="false" ht="15" hidden="false" customHeight="false" outlineLevel="0" collapsed="false">
      <c r="A209" s="25" t="n">
        <v>208</v>
      </c>
      <c r="B209" s="25" t="s">
        <v>2498</v>
      </c>
      <c r="C209" s="25" t="s">
        <v>422</v>
      </c>
      <c r="D209" s="25" t="n">
        <v>20240207</v>
      </c>
      <c r="E209" s="25" t="n">
        <v>18</v>
      </c>
      <c r="F209" s="25" t="s">
        <v>2291</v>
      </c>
      <c r="G209" s="25" t="s">
        <v>243</v>
      </c>
      <c r="H209" s="25" t="n">
        <v>51601.73</v>
      </c>
      <c r="I209" s="27" t="b">
        <f aca="false">FALSE()</f>
        <v>0</v>
      </c>
    </row>
    <row r="210" customFormat="false" ht="15" hidden="false" customHeight="false" outlineLevel="0" collapsed="false">
      <c r="A210" s="25" t="n">
        <v>209</v>
      </c>
      <c r="B210" s="25" t="s">
        <v>2499</v>
      </c>
      <c r="C210" s="25" t="s">
        <v>318</v>
      </c>
      <c r="D210" s="25" t="n">
        <v>-1</v>
      </c>
      <c r="E210" s="25" t="n">
        <v>98</v>
      </c>
      <c r="F210" s="25" t="s">
        <v>2295</v>
      </c>
      <c r="G210" s="25" t="s">
        <v>266</v>
      </c>
      <c r="H210" s="25" t="n">
        <v>181349.01</v>
      </c>
      <c r="I210" s="27" t="b">
        <f aca="false">FALSE()</f>
        <v>0</v>
      </c>
    </row>
    <row r="211" customFormat="false" ht="15" hidden="false" customHeight="false" outlineLevel="0" collapsed="false">
      <c r="A211" s="25" t="n">
        <v>210</v>
      </c>
      <c r="B211" s="25" t="s">
        <v>2500</v>
      </c>
      <c r="C211" s="25" t="s">
        <v>413</v>
      </c>
      <c r="D211" s="25" t="n">
        <v>20240821</v>
      </c>
      <c r="E211" s="25" t="n">
        <v>7</v>
      </c>
      <c r="F211" s="25" t="s">
        <v>2287</v>
      </c>
      <c r="G211" s="25" t="s">
        <v>243</v>
      </c>
      <c r="H211" s="25" t="n">
        <v>21069.46</v>
      </c>
      <c r="I211" s="27" t="b">
        <f aca="false">FALSE()</f>
        <v>0</v>
      </c>
    </row>
    <row r="212" customFormat="false" ht="15" hidden="false" customHeight="false" outlineLevel="0" collapsed="false">
      <c r="A212" s="25" t="n">
        <v>211</v>
      </c>
      <c r="B212" s="25" t="s">
        <v>2501</v>
      </c>
      <c r="C212" s="25" t="s">
        <v>370</v>
      </c>
      <c r="D212" s="25" t="n">
        <v>20250701</v>
      </c>
      <c r="E212" s="25" t="n">
        <v>113</v>
      </c>
      <c r="F212" s="25" t="s">
        <v>2291</v>
      </c>
      <c r="G212" s="25" t="s">
        <v>243</v>
      </c>
      <c r="H212" s="25" t="n">
        <v>42720.38</v>
      </c>
      <c r="I212" s="27" t="b">
        <f aca="false">FALSE()</f>
        <v>0</v>
      </c>
    </row>
    <row r="213" customFormat="false" ht="15" hidden="false" customHeight="false" outlineLevel="0" collapsed="false">
      <c r="A213" s="25" t="n">
        <v>212</v>
      </c>
      <c r="B213" s="25" t="s">
        <v>2502</v>
      </c>
      <c r="C213" s="25" t="s">
        <v>252</v>
      </c>
      <c r="D213" s="25" t="n">
        <v>20240610</v>
      </c>
      <c r="E213" s="25" t="n">
        <v>144</v>
      </c>
      <c r="F213" s="25" t="s">
        <v>2295</v>
      </c>
      <c r="G213" s="25" t="s">
        <v>243</v>
      </c>
      <c r="H213" s="25" t="n">
        <v>180629.84</v>
      </c>
      <c r="I213" s="27" t="b">
        <f aca="false">FALSE()</f>
        <v>0</v>
      </c>
    </row>
    <row r="214" customFormat="false" ht="15" hidden="false" customHeight="false" outlineLevel="0" collapsed="false">
      <c r="A214" s="25" t="n">
        <v>213</v>
      </c>
      <c r="B214" s="25" t="s">
        <v>2503</v>
      </c>
      <c r="C214" s="25" t="s">
        <v>566</v>
      </c>
      <c r="D214" s="25" t="n">
        <v>-1</v>
      </c>
      <c r="E214" s="25" t="n">
        <v>20</v>
      </c>
      <c r="F214" s="25" t="s">
        <v>2289</v>
      </c>
      <c r="G214" s="25" t="s">
        <v>243</v>
      </c>
      <c r="H214" s="25" t="n">
        <v>21662.26</v>
      </c>
      <c r="I214" s="27" t="b">
        <f aca="false">FALSE()</f>
        <v>0</v>
      </c>
    </row>
    <row r="215" customFormat="false" ht="15" hidden="false" customHeight="false" outlineLevel="0" collapsed="false">
      <c r="A215" s="25" t="n">
        <v>214</v>
      </c>
      <c r="B215" s="25" t="s">
        <v>2504</v>
      </c>
      <c r="C215" s="25" t="s">
        <v>479</v>
      </c>
      <c r="D215" s="25" t="n">
        <v>20250805</v>
      </c>
      <c r="E215" s="25" t="n">
        <v>31</v>
      </c>
      <c r="F215" s="25" t="s">
        <v>2291</v>
      </c>
      <c r="G215" s="25" t="s">
        <v>247</v>
      </c>
      <c r="H215" s="25" t="n">
        <v>217054.78</v>
      </c>
      <c r="I215" s="27" t="b">
        <f aca="false">FALSE()</f>
        <v>0</v>
      </c>
    </row>
    <row r="216" customFormat="false" ht="15" hidden="false" customHeight="false" outlineLevel="0" collapsed="false">
      <c r="A216" s="25" t="n">
        <v>215</v>
      </c>
      <c r="B216" s="25" t="s">
        <v>2505</v>
      </c>
      <c r="C216" s="25" t="s">
        <v>427</v>
      </c>
      <c r="D216" s="25" t="n">
        <v>20240531</v>
      </c>
      <c r="E216" s="25" t="n">
        <v>127</v>
      </c>
      <c r="F216" s="25" t="s">
        <v>2295</v>
      </c>
      <c r="G216" s="25" t="s">
        <v>243</v>
      </c>
      <c r="H216" s="25" t="n">
        <v>33822.72</v>
      </c>
      <c r="I216" s="27" t="b">
        <f aca="false">FALSE()</f>
        <v>0</v>
      </c>
    </row>
    <row r="217" customFormat="false" ht="15" hidden="false" customHeight="false" outlineLevel="0" collapsed="false">
      <c r="A217" s="25" t="n">
        <v>216</v>
      </c>
      <c r="B217" s="25" t="s">
        <v>2506</v>
      </c>
      <c r="C217" s="25" t="s">
        <v>488</v>
      </c>
      <c r="D217" s="25" t="n">
        <v>20250313</v>
      </c>
      <c r="E217" s="25" t="n">
        <v>114</v>
      </c>
      <c r="F217" s="25" t="s">
        <v>2295</v>
      </c>
      <c r="G217" s="25" t="s">
        <v>243</v>
      </c>
      <c r="H217" s="25" t="n">
        <v>202906.52</v>
      </c>
      <c r="I217" s="27" t="b">
        <f aca="false">FALSE()</f>
        <v>0</v>
      </c>
    </row>
    <row r="218" customFormat="false" ht="15" hidden="false" customHeight="false" outlineLevel="0" collapsed="false">
      <c r="A218" s="25" t="n">
        <v>217</v>
      </c>
      <c r="B218" s="25" t="s">
        <v>2507</v>
      </c>
      <c r="C218" s="25" t="s">
        <v>515</v>
      </c>
      <c r="D218" s="25" t="n">
        <v>20250207</v>
      </c>
      <c r="E218" s="25" t="n">
        <v>37</v>
      </c>
      <c r="F218" s="25" t="s">
        <v>2289</v>
      </c>
      <c r="G218" s="25" t="s">
        <v>243</v>
      </c>
      <c r="H218" s="25" t="n">
        <v>91008.44</v>
      </c>
      <c r="I218" s="27" t="b">
        <f aca="false">FALSE()</f>
        <v>0</v>
      </c>
    </row>
    <row r="219" customFormat="false" ht="15" hidden="false" customHeight="false" outlineLevel="0" collapsed="false">
      <c r="A219" s="25" t="n">
        <v>218</v>
      </c>
      <c r="B219" s="25" t="s">
        <v>2508</v>
      </c>
      <c r="C219" s="25" t="s">
        <v>404</v>
      </c>
      <c r="D219" s="25" t="n">
        <v>20240108</v>
      </c>
      <c r="E219" s="25" t="n">
        <v>91</v>
      </c>
      <c r="F219" s="25" t="s">
        <v>2305</v>
      </c>
      <c r="G219" s="25" t="s">
        <v>243</v>
      </c>
      <c r="H219" s="25" t="n">
        <v>41236.17</v>
      </c>
      <c r="I219" s="27" t="b">
        <f aca="false">FALSE()</f>
        <v>0</v>
      </c>
    </row>
    <row r="220" customFormat="false" ht="15" hidden="false" customHeight="false" outlineLevel="0" collapsed="false">
      <c r="A220" s="25" t="n">
        <v>219</v>
      </c>
      <c r="B220" s="25" t="s">
        <v>2509</v>
      </c>
      <c r="C220" s="25" t="s">
        <v>360</v>
      </c>
      <c r="D220" s="25" t="n">
        <v>20250406</v>
      </c>
      <c r="E220" s="25" t="n">
        <v>-1</v>
      </c>
      <c r="F220" s="25" t="s">
        <v>2305</v>
      </c>
      <c r="G220" s="25" t="s">
        <v>266</v>
      </c>
      <c r="H220" s="25" t="n">
        <v>113827.26</v>
      </c>
      <c r="I220" s="27" t="b">
        <f aca="false">FALSE()</f>
        <v>0</v>
      </c>
    </row>
    <row r="221" customFormat="false" ht="15" hidden="false" customHeight="false" outlineLevel="0" collapsed="false">
      <c r="A221" s="25" t="n">
        <v>220</v>
      </c>
      <c r="B221" s="25" t="s">
        <v>2510</v>
      </c>
      <c r="C221" s="25" t="s">
        <v>346</v>
      </c>
      <c r="D221" s="25" t="n">
        <v>20240913</v>
      </c>
      <c r="E221" s="25" t="n">
        <v>123</v>
      </c>
      <c r="F221" s="25" t="s">
        <v>2287</v>
      </c>
      <c r="G221" s="25" t="s">
        <v>243</v>
      </c>
      <c r="H221" s="25" t="n">
        <v>39265.07</v>
      </c>
      <c r="I221" s="27" t="b">
        <f aca="false">FALSE()</f>
        <v>0</v>
      </c>
    </row>
    <row r="222" customFormat="false" ht="15" hidden="false" customHeight="false" outlineLevel="0" collapsed="false">
      <c r="A222" s="25" t="n">
        <v>221</v>
      </c>
      <c r="B222" s="25" t="s">
        <v>2511</v>
      </c>
      <c r="C222" s="25" t="s">
        <v>426</v>
      </c>
      <c r="D222" s="25" t="n">
        <v>20240723</v>
      </c>
      <c r="E222" s="25" t="n">
        <v>87</v>
      </c>
      <c r="F222" s="25" t="s">
        <v>2287</v>
      </c>
      <c r="G222" s="25" t="s">
        <v>250</v>
      </c>
      <c r="H222" s="25" t="n">
        <v>39483.2</v>
      </c>
      <c r="I222" s="27" t="b">
        <f aca="false">FALSE()</f>
        <v>0</v>
      </c>
    </row>
    <row r="223" customFormat="false" ht="15" hidden="false" customHeight="false" outlineLevel="0" collapsed="false">
      <c r="A223" s="25" t="n">
        <v>222</v>
      </c>
      <c r="B223" s="25" t="s">
        <v>2512</v>
      </c>
      <c r="C223" s="25" t="s">
        <v>442</v>
      </c>
      <c r="D223" s="25" t="n">
        <v>20240128</v>
      </c>
      <c r="E223" s="25" t="n">
        <v>114</v>
      </c>
      <c r="F223" s="25" t="s">
        <v>2289</v>
      </c>
      <c r="G223" s="25" t="s">
        <v>243</v>
      </c>
      <c r="H223" s="25" t="n">
        <v>34081.99</v>
      </c>
      <c r="I223" s="27" t="b">
        <f aca="false">FALSE()</f>
        <v>0</v>
      </c>
    </row>
    <row r="224" customFormat="false" ht="15" hidden="false" customHeight="false" outlineLevel="0" collapsed="false">
      <c r="A224" s="25" t="n">
        <v>223</v>
      </c>
      <c r="B224" s="25" t="s">
        <v>2513</v>
      </c>
      <c r="C224" s="25" t="s">
        <v>526</v>
      </c>
      <c r="D224" s="25" t="n">
        <v>20241227</v>
      </c>
      <c r="E224" s="25" t="n">
        <v>17</v>
      </c>
      <c r="F224" s="25" t="s">
        <v>2287</v>
      </c>
      <c r="G224" s="25" t="s">
        <v>266</v>
      </c>
      <c r="H224" s="25" t="n">
        <v>4663.32</v>
      </c>
      <c r="I224" s="27" t="b">
        <f aca="false">FALSE()</f>
        <v>0</v>
      </c>
    </row>
    <row r="225" customFormat="false" ht="15" hidden="false" customHeight="false" outlineLevel="0" collapsed="false">
      <c r="A225" s="25" t="n">
        <v>224</v>
      </c>
      <c r="B225" s="25" t="s">
        <v>2514</v>
      </c>
      <c r="C225" s="25" t="s">
        <v>535</v>
      </c>
      <c r="D225" s="25" t="n">
        <v>20241004</v>
      </c>
      <c r="E225" s="25" t="n">
        <v>110</v>
      </c>
      <c r="F225" s="25" t="s">
        <v>2295</v>
      </c>
      <c r="G225" s="25" t="s">
        <v>247</v>
      </c>
      <c r="H225" s="25" t="n">
        <v>52514.37</v>
      </c>
      <c r="I225" s="27" t="b">
        <f aca="false">FALSE()</f>
        <v>0</v>
      </c>
    </row>
    <row r="226" customFormat="false" ht="15" hidden="false" customHeight="false" outlineLevel="0" collapsed="false">
      <c r="A226" s="25" t="n">
        <v>225</v>
      </c>
      <c r="B226" s="25" t="s">
        <v>2515</v>
      </c>
      <c r="C226" s="25" t="s">
        <v>405</v>
      </c>
      <c r="D226" s="25" t="n">
        <v>20241202</v>
      </c>
      <c r="E226" s="25" t="n">
        <v>157</v>
      </c>
      <c r="F226" s="25" t="s">
        <v>2305</v>
      </c>
      <c r="G226" s="25" t="s">
        <v>266</v>
      </c>
      <c r="H226" s="25" t="n">
        <v>311084.11</v>
      </c>
      <c r="I226" s="27" t="b">
        <f aca="false">FALSE()</f>
        <v>0</v>
      </c>
    </row>
    <row r="227" customFormat="false" ht="15" hidden="false" customHeight="false" outlineLevel="0" collapsed="false">
      <c r="A227" s="25" t="n">
        <v>226</v>
      </c>
      <c r="B227" s="25" t="s">
        <v>2516</v>
      </c>
      <c r="C227" s="25" t="s">
        <v>420</v>
      </c>
      <c r="D227" s="25" t="n">
        <v>20240527</v>
      </c>
      <c r="E227" s="25" t="n">
        <v>105</v>
      </c>
      <c r="F227" s="25" t="s">
        <v>2289</v>
      </c>
      <c r="G227" s="25" t="s">
        <v>243</v>
      </c>
      <c r="H227" s="25" t="n">
        <v>144901.04</v>
      </c>
      <c r="I227" s="27" t="b">
        <f aca="false">FALSE()</f>
        <v>0</v>
      </c>
    </row>
    <row r="228" customFormat="false" ht="15" hidden="false" customHeight="false" outlineLevel="0" collapsed="false">
      <c r="A228" s="25" t="n">
        <v>227</v>
      </c>
      <c r="B228" s="25" t="s">
        <v>2517</v>
      </c>
      <c r="C228" s="25" t="s">
        <v>570</v>
      </c>
      <c r="D228" s="25" t="n">
        <v>20240203</v>
      </c>
      <c r="E228" s="25" t="n">
        <v>49</v>
      </c>
      <c r="F228" s="25" t="s">
        <v>2287</v>
      </c>
      <c r="G228" s="25" t="s">
        <v>243</v>
      </c>
      <c r="H228" s="25" t="n">
        <v>169496.51</v>
      </c>
      <c r="I228" s="27" t="b">
        <f aca="false">FALSE()</f>
        <v>0</v>
      </c>
    </row>
    <row r="229" customFormat="false" ht="15" hidden="false" customHeight="false" outlineLevel="0" collapsed="false">
      <c r="A229" s="25" t="n">
        <v>228</v>
      </c>
      <c r="B229" s="25" t="s">
        <v>2518</v>
      </c>
      <c r="C229" s="25" t="s">
        <v>390</v>
      </c>
      <c r="D229" s="25" t="n">
        <v>20250505</v>
      </c>
      <c r="E229" s="25" t="n">
        <v>150</v>
      </c>
      <c r="F229" s="25" t="s">
        <v>2291</v>
      </c>
      <c r="G229" s="25" t="s">
        <v>247</v>
      </c>
      <c r="H229" s="25" t="n">
        <v>18495.35</v>
      </c>
      <c r="I229" s="27" t="b">
        <f aca="false">FALSE()</f>
        <v>0</v>
      </c>
    </row>
    <row r="230" customFormat="false" ht="15" hidden="false" customHeight="false" outlineLevel="0" collapsed="false">
      <c r="A230" s="25" t="n">
        <v>229</v>
      </c>
      <c r="B230" s="25" t="s">
        <v>2519</v>
      </c>
      <c r="C230" s="25" t="s">
        <v>359</v>
      </c>
      <c r="D230" s="25" t="n">
        <v>20240920</v>
      </c>
      <c r="E230" s="25" t="n">
        <v>112</v>
      </c>
      <c r="F230" s="25" t="s">
        <v>2289</v>
      </c>
      <c r="G230" s="25" t="s">
        <v>243</v>
      </c>
      <c r="H230" s="25" t="n">
        <v>72902.75</v>
      </c>
      <c r="I230" s="27" t="b">
        <f aca="false">FALSE()</f>
        <v>0</v>
      </c>
    </row>
    <row r="231" customFormat="false" ht="15" hidden="false" customHeight="false" outlineLevel="0" collapsed="false">
      <c r="A231" s="25" t="n">
        <v>230</v>
      </c>
      <c r="B231" s="25" t="s">
        <v>2520</v>
      </c>
      <c r="C231" s="25" t="s">
        <v>331</v>
      </c>
      <c r="D231" s="25" t="n">
        <v>20241025</v>
      </c>
      <c r="E231" s="25" t="n">
        <v>21</v>
      </c>
      <c r="F231" s="25" t="s">
        <v>2291</v>
      </c>
      <c r="G231" s="25" t="s">
        <v>266</v>
      </c>
      <c r="H231" s="25" t="n">
        <v>132077.56</v>
      </c>
      <c r="I231" s="27" t="b">
        <f aca="false">FALSE()</f>
        <v>0</v>
      </c>
    </row>
    <row r="232" customFormat="false" ht="15" hidden="false" customHeight="false" outlineLevel="0" collapsed="false">
      <c r="A232" s="25" t="n">
        <v>231</v>
      </c>
      <c r="B232" s="25" t="s">
        <v>2521</v>
      </c>
      <c r="C232" s="25" t="s">
        <v>533</v>
      </c>
      <c r="D232" s="25" t="n">
        <v>20250202</v>
      </c>
      <c r="E232" s="25" t="n">
        <v>35</v>
      </c>
      <c r="F232" s="25" t="s">
        <v>2305</v>
      </c>
      <c r="G232" s="25" t="s">
        <v>243</v>
      </c>
      <c r="H232" s="25" t="n">
        <v>113350.93</v>
      </c>
      <c r="I232" s="27" t="b">
        <f aca="false">FALSE()</f>
        <v>0</v>
      </c>
    </row>
    <row r="233" customFormat="false" ht="15" hidden="false" customHeight="false" outlineLevel="0" collapsed="false">
      <c r="A233" s="25" t="n">
        <v>232</v>
      </c>
      <c r="B233" s="25" t="s">
        <v>2522</v>
      </c>
      <c r="C233" s="25" t="s">
        <v>401</v>
      </c>
      <c r="D233" s="25" t="n">
        <v>20241204</v>
      </c>
      <c r="E233" s="25" t="n">
        <v>110</v>
      </c>
      <c r="F233" s="25" t="s">
        <v>2305</v>
      </c>
      <c r="G233" s="25" t="s">
        <v>243</v>
      </c>
      <c r="H233" s="25" t="n">
        <v>85063.37</v>
      </c>
      <c r="I233" s="27" t="b">
        <f aca="false">FALSE()</f>
        <v>0</v>
      </c>
    </row>
    <row r="234" customFormat="false" ht="15" hidden="false" customHeight="false" outlineLevel="0" collapsed="false">
      <c r="A234" s="25" t="n">
        <v>233</v>
      </c>
      <c r="B234" s="25" t="s">
        <v>2523</v>
      </c>
      <c r="C234" s="25" t="s">
        <v>560</v>
      </c>
      <c r="D234" s="25" t="n">
        <v>20240528</v>
      </c>
      <c r="E234" s="25" t="n">
        <v>114</v>
      </c>
      <c r="F234" s="25" t="s">
        <v>2291</v>
      </c>
      <c r="G234" s="25" t="s">
        <v>243</v>
      </c>
      <c r="H234" s="25" t="n">
        <v>73160.26</v>
      </c>
      <c r="I234" s="27" t="b">
        <f aca="false">FALSE()</f>
        <v>0</v>
      </c>
    </row>
    <row r="235" customFormat="false" ht="15" hidden="false" customHeight="false" outlineLevel="0" collapsed="false">
      <c r="A235" s="25" t="n">
        <v>234</v>
      </c>
      <c r="B235" s="25" t="s">
        <v>2524</v>
      </c>
      <c r="C235" s="25" t="s">
        <v>328</v>
      </c>
      <c r="D235" s="25" t="n">
        <v>20240713</v>
      </c>
      <c r="E235" s="25" t="n">
        <v>41</v>
      </c>
      <c r="F235" s="25" t="s">
        <v>2291</v>
      </c>
      <c r="G235" s="25" t="s">
        <v>243</v>
      </c>
      <c r="H235" s="25" t="n">
        <v>9974.29</v>
      </c>
      <c r="I235" s="27" t="b">
        <f aca="false">FALSE()</f>
        <v>0</v>
      </c>
    </row>
    <row r="236" customFormat="false" ht="15" hidden="false" customHeight="false" outlineLevel="0" collapsed="false">
      <c r="A236" s="25" t="n">
        <v>235</v>
      </c>
      <c r="B236" s="25" t="s">
        <v>2525</v>
      </c>
      <c r="C236" s="25" t="s">
        <v>508</v>
      </c>
      <c r="D236" s="25" t="n">
        <v>20240921</v>
      </c>
      <c r="E236" s="25" t="n">
        <v>104</v>
      </c>
      <c r="F236" s="25" t="s">
        <v>2305</v>
      </c>
      <c r="G236" s="25" t="s">
        <v>243</v>
      </c>
      <c r="H236" s="25" t="n">
        <v>56335.52</v>
      </c>
      <c r="I236" s="27" t="b">
        <f aca="false">FALSE()</f>
        <v>0</v>
      </c>
    </row>
    <row r="237" customFormat="false" ht="15" hidden="false" customHeight="false" outlineLevel="0" collapsed="false">
      <c r="A237" s="25" t="n">
        <v>236</v>
      </c>
      <c r="B237" s="25" t="s">
        <v>2526</v>
      </c>
      <c r="C237" s="25" t="s">
        <v>395</v>
      </c>
      <c r="D237" s="25" t="n">
        <v>20240329</v>
      </c>
      <c r="E237" s="25" t="n">
        <v>146</v>
      </c>
      <c r="F237" s="25" t="s">
        <v>2291</v>
      </c>
      <c r="G237" s="25" t="s">
        <v>243</v>
      </c>
      <c r="H237" s="25" t="n">
        <v>73792.99</v>
      </c>
      <c r="I237" s="27" t="b">
        <f aca="false">FALSE()</f>
        <v>0</v>
      </c>
    </row>
    <row r="238" customFormat="false" ht="15" hidden="false" customHeight="false" outlineLevel="0" collapsed="false">
      <c r="A238" s="25" t="n">
        <v>237</v>
      </c>
      <c r="B238" s="25" t="s">
        <v>2527</v>
      </c>
      <c r="C238" s="25" t="s">
        <v>270</v>
      </c>
      <c r="D238" s="25" t="n">
        <v>20240225</v>
      </c>
      <c r="E238" s="25" t="n">
        <v>121</v>
      </c>
      <c r="F238" s="25" t="s">
        <v>2305</v>
      </c>
      <c r="G238" s="25" t="s">
        <v>243</v>
      </c>
      <c r="H238" s="25" t="n">
        <v>130237.17</v>
      </c>
      <c r="I238" s="27" t="b">
        <f aca="false">FALSE()</f>
        <v>0</v>
      </c>
    </row>
    <row r="239" customFormat="false" ht="15" hidden="false" customHeight="false" outlineLevel="0" collapsed="false">
      <c r="A239" s="25" t="n">
        <v>238</v>
      </c>
      <c r="B239" s="25" t="s">
        <v>2528</v>
      </c>
      <c r="C239" s="25" t="s">
        <v>294</v>
      </c>
      <c r="D239" s="25" t="n">
        <v>20250117</v>
      </c>
      <c r="E239" s="25" t="n">
        <v>-1</v>
      </c>
      <c r="F239" s="25" t="s">
        <v>2295</v>
      </c>
      <c r="G239" s="25" t="s">
        <v>243</v>
      </c>
      <c r="H239" s="25" t="n">
        <v>56215.9</v>
      </c>
      <c r="I239" s="27" t="b">
        <f aca="false">FALSE()</f>
        <v>0</v>
      </c>
    </row>
    <row r="240" customFormat="false" ht="15" hidden="false" customHeight="false" outlineLevel="0" collapsed="false">
      <c r="A240" s="25" t="n">
        <v>239</v>
      </c>
      <c r="B240" s="25" t="s">
        <v>2529</v>
      </c>
      <c r="C240" s="25" t="s">
        <v>576</v>
      </c>
      <c r="D240" s="25" t="n">
        <v>20240302</v>
      </c>
      <c r="E240" s="25" t="n">
        <v>-1</v>
      </c>
      <c r="F240" s="25" t="s">
        <v>2291</v>
      </c>
      <c r="G240" s="25" t="s">
        <v>243</v>
      </c>
      <c r="H240" s="25" t="n">
        <v>55486.05</v>
      </c>
      <c r="I240" s="27" t="b">
        <f aca="false">FALSE()</f>
        <v>0</v>
      </c>
    </row>
    <row r="241" customFormat="false" ht="15" hidden="false" customHeight="false" outlineLevel="0" collapsed="false">
      <c r="A241" s="25" t="n">
        <v>240</v>
      </c>
      <c r="B241" s="25" t="s">
        <v>2530</v>
      </c>
      <c r="C241" s="25" t="s">
        <v>486</v>
      </c>
      <c r="D241" s="25" t="n">
        <v>20240924</v>
      </c>
      <c r="E241" s="25" t="n">
        <v>139</v>
      </c>
      <c r="F241" s="25" t="s">
        <v>2305</v>
      </c>
      <c r="G241" s="25" t="s">
        <v>243</v>
      </c>
      <c r="H241" s="25" t="n">
        <v>26835.38</v>
      </c>
      <c r="I241" s="27" t="b">
        <f aca="false">FALSE()</f>
        <v>0</v>
      </c>
    </row>
    <row r="242" customFormat="false" ht="15" hidden="false" customHeight="false" outlineLevel="0" collapsed="false">
      <c r="A242" s="25" t="n">
        <v>241</v>
      </c>
      <c r="B242" s="25" t="s">
        <v>2531</v>
      </c>
      <c r="C242" s="25" t="s">
        <v>481</v>
      </c>
      <c r="D242" s="25" t="n">
        <v>20240227</v>
      </c>
      <c r="E242" s="25" t="n">
        <v>120</v>
      </c>
      <c r="F242" s="25" t="s">
        <v>2287</v>
      </c>
      <c r="G242" s="25" t="s">
        <v>243</v>
      </c>
      <c r="H242" s="25" t="n">
        <v>90962.95</v>
      </c>
      <c r="I242" s="27" t="b">
        <f aca="false">FALSE()</f>
        <v>0</v>
      </c>
    </row>
    <row r="243" customFormat="false" ht="15" hidden="false" customHeight="false" outlineLevel="0" collapsed="false">
      <c r="A243" s="25" t="n">
        <v>242</v>
      </c>
      <c r="B243" s="25" t="s">
        <v>2532</v>
      </c>
      <c r="C243" s="25" t="s">
        <v>545</v>
      </c>
      <c r="D243" s="25" t="n">
        <v>20241202</v>
      </c>
      <c r="E243" s="25" t="n">
        <v>79</v>
      </c>
      <c r="F243" s="25" t="s">
        <v>2295</v>
      </c>
      <c r="G243" s="25" t="s">
        <v>266</v>
      </c>
      <c r="H243" s="25" t="n">
        <v>92108.19</v>
      </c>
      <c r="I243" s="27" t="b">
        <f aca="false">FALSE()</f>
        <v>0</v>
      </c>
    </row>
    <row r="244" customFormat="false" ht="15" hidden="false" customHeight="false" outlineLevel="0" collapsed="false">
      <c r="A244" s="25" t="n">
        <v>243</v>
      </c>
      <c r="B244" s="25" t="s">
        <v>2533</v>
      </c>
      <c r="C244" s="25" t="s">
        <v>575</v>
      </c>
      <c r="D244" s="25" t="n">
        <v>20250206</v>
      </c>
      <c r="E244" s="25" t="n">
        <v>16</v>
      </c>
      <c r="F244" s="25" t="s">
        <v>2289</v>
      </c>
      <c r="G244" s="25" t="s">
        <v>243</v>
      </c>
      <c r="H244" s="25" t="n">
        <v>109892.3</v>
      </c>
      <c r="I244" s="27" t="b">
        <f aca="false">FALSE()</f>
        <v>0</v>
      </c>
    </row>
    <row r="245" customFormat="false" ht="15" hidden="false" customHeight="false" outlineLevel="0" collapsed="false">
      <c r="A245" s="25" t="n">
        <v>244</v>
      </c>
      <c r="B245" s="25" t="s">
        <v>2534</v>
      </c>
      <c r="C245" s="25" t="s">
        <v>485</v>
      </c>
      <c r="D245" s="25" t="n">
        <v>20240328</v>
      </c>
      <c r="E245" s="25" t="n">
        <v>127</v>
      </c>
      <c r="F245" s="25" t="s">
        <v>2289</v>
      </c>
      <c r="G245" s="25" t="s">
        <v>243</v>
      </c>
      <c r="H245" s="25" t="n">
        <v>75948.54</v>
      </c>
      <c r="I245" s="27" t="b">
        <f aca="false">FALSE()</f>
        <v>0</v>
      </c>
    </row>
    <row r="246" customFormat="false" ht="15" hidden="false" customHeight="false" outlineLevel="0" collapsed="false">
      <c r="A246" s="25" t="n">
        <v>245</v>
      </c>
      <c r="B246" s="25" t="s">
        <v>2535</v>
      </c>
      <c r="C246" s="25" t="s">
        <v>295</v>
      </c>
      <c r="D246" s="25" t="n">
        <v>20240331</v>
      </c>
      <c r="E246" s="25" t="n">
        <v>134</v>
      </c>
      <c r="F246" s="25" t="s">
        <v>2289</v>
      </c>
      <c r="G246" s="25" t="s">
        <v>243</v>
      </c>
      <c r="H246" s="25" t="n">
        <v>141569.71</v>
      </c>
      <c r="I246" s="27" t="b">
        <f aca="false">FALSE()</f>
        <v>0</v>
      </c>
    </row>
    <row r="247" customFormat="false" ht="15" hidden="false" customHeight="false" outlineLevel="0" collapsed="false">
      <c r="A247" s="25" t="n">
        <v>246</v>
      </c>
      <c r="B247" s="25" t="s">
        <v>2536</v>
      </c>
      <c r="C247" s="25" t="s">
        <v>464</v>
      </c>
      <c r="D247" s="25" t="n">
        <v>20250901</v>
      </c>
      <c r="E247" s="25" t="n">
        <v>121</v>
      </c>
      <c r="F247" s="25" t="s">
        <v>2295</v>
      </c>
      <c r="G247" s="25" t="s">
        <v>250</v>
      </c>
      <c r="H247" s="25" t="n">
        <v>69278.72</v>
      </c>
      <c r="I247" s="27" t="b">
        <f aca="false">FALSE()</f>
        <v>0</v>
      </c>
    </row>
    <row r="248" customFormat="false" ht="15" hidden="false" customHeight="false" outlineLevel="0" collapsed="false">
      <c r="A248" s="25" t="n">
        <v>247</v>
      </c>
      <c r="B248" s="25" t="s">
        <v>2537</v>
      </c>
      <c r="C248" s="25" t="s">
        <v>437</v>
      </c>
      <c r="D248" s="25" t="n">
        <v>20241122</v>
      </c>
      <c r="E248" s="25" t="n">
        <v>106</v>
      </c>
      <c r="F248" s="25" t="s">
        <v>2289</v>
      </c>
      <c r="G248" s="25" t="s">
        <v>243</v>
      </c>
      <c r="H248" s="25" t="n">
        <v>27649.4</v>
      </c>
      <c r="I248" s="27" t="b">
        <f aca="false">FALSE()</f>
        <v>0</v>
      </c>
    </row>
    <row r="249" customFormat="false" ht="15" hidden="false" customHeight="false" outlineLevel="0" collapsed="false">
      <c r="A249" s="25" t="n">
        <v>248</v>
      </c>
      <c r="B249" s="25" t="s">
        <v>2538</v>
      </c>
      <c r="C249" s="25" t="s">
        <v>580</v>
      </c>
      <c r="D249" s="25" t="n">
        <v>20250313</v>
      </c>
      <c r="E249" s="25" t="n">
        <v>128</v>
      </c>
      <c r="F249" s="25" t="s">
        <v>2287</v>
      </c>
      <c r="G249" s="25" t="s">
        <v>243</v>
      </c>
      <c r="H249" s="25" t="n">
        <v>119933.93</v>
      </c>
      <c r="I249" s="27" t="b">
        <f aca="false">FALSE()</f>
        <v>0</v>
      </c>
    </row>
    <row r="250" customFormat="false" ht="15" hidden="false" customHeight="false" outlineLevel="0" collapsed="false">
      <c r="A250" s="25" t="n">
        <v>249</v>
      </c>
      <c r="B250" s="25" t="s">
        <v>2539</v>
      </c>
      <c r="C250" s="25" t="s">
        <v>564</v>
      </c>
      <c r="D250" s="25" t="n">
        <v>20240511</v>
      </c>
      <c r="E250" s="25" t="n">
        <v>118</v>
      </c>
      <c r="F250" s="25" t="s">
        <v>2305</v>
      </c>
      <c r="G250" s="25" t="s">
        <v>243</v>
      </c>
      <c r="H250" s="25" t="n">
        <v>218638.71</v>
      </c>
      <c r="I250" s="27" t="b">
        <f aca="false">FALSE()</f>
        <v>0</v>
      </c>
    </row>
    <row r="251" customFormat="false" ht="15" hidden="false" customHeight="false" outlineLevel="0" collapsed="false">
      <c r="A251" s="25" t="n">
        <v>250</v>
      </c>
      <c r="B251" s="25" t="s">
        <v>2540</v>
      </c>
      <c r="C251" s="25" t="s">
        <v>436</v>
      </c>
      <c r="D251" s="25" t="n">
        <v>20250216</v>
      </c>
      <c r="E251" s="25" t="n">
        <v>115</v>
      </c>
      <c r="F251" s="25" t="s">
        <v>2295</v>
      </c>
      <c r="G251" s="25" t="s">
        <v>243</v>
      </c>
      <c r="H251" s="25" t="n">
        <v>11175.62</v>
      </c>
      <c r="I251" s="27" t="b">
        <f aca="false">FALSE()</f>
        <v>0</v>
      </c>
    </row>
    <row r="252" customFormat="false" ht="15" hidden="false" customHeight="false" outlineLevel="0" collapsed="false">
      <c r="A252" s="25" t="n">
        <v>251</v>
      </c>
      <c r="B252" s="25" t="s">
        <v>2541</v>
      </c>
      <c r="C252" s="25" t="s">
        <v>397</v>
      </c>
      <c r="D252" s="25" t="n">
        <v>20250507</v>
      </c>
      <c r="E252" s="25" t="n">
        <v>158</v>
      </c>
      <c r="F252" s="25" t="s">
        <v>2287</v>
      </c>
      <c r="G252" s="25" t="s">
        <v>250</v>
      </c>
      <c r="H252" s="25" t="n">
        <v>38187.4</v>
      </c>
      <c r="I252" s="27" t="b">
        <f aca="false">FALSE()</f>
        <v>0</v>
      </c>
    </row>
    <row r="253" customFormat="false" ht="15" hidden="false" customHeight="false" outlineLevel="0" collapsed="false">
      <c r="A253" s="25" t="n">
        <v>252</v>
      </c>
      <c r="B253" s="25" t="s">
        <v>2542</v>
      </c>
      <c r="C253" s="25" t="s">
        <v>541</v>
      </c>
      <c r="D253" s="25" t="n">
        <v>20240613</v>
      </c>
      <c r="E253" s="25" t="n">
        <v>7</v>
      </c>
      <c r="F253" s="25" t="s">
        <v>2291</v>
      </c>
      <c r="G253" s="25" t="s">
        <v>243</v>
      </c>
      <c r="H253" s="25" t="n">
        <v>52033.26</v>
      </c>
      <c r="I253" s="27" t="b">
        <f aca="false">FALSE()</f>
        <v>0</v>
      </c>
    </row>
    <row r="254" customFormat="false" ht="15" hidden="false" customHeight="false" outlineLevel="0" collapsed="false">
      <c r="A254" s="25" t="n">
        <v>253</v>
      </c>
      <c r="B254" s="25" t="s">
        <v>2543</v>
      </c>
      <c r="C254" s="25" t="s">
        <v>523</v>
      </c>
      <c r="D254" s="25" t="n">
        <v>20240218</v>
      </c>
      <c r="E254" s="25" t="n">
        <v>1</v>
      </c>
      <c r="F254" s="25" t="s">
        <v>2291</v>
      </c>
      <c r="G254" s="25" t="s">
        <v>247</v>
      </c>
      <c r="H254" s="25" t="n">
        <v>11178.69</v>
      </c>
      <c r="I254" s="27" t="b">
        <f aca="false">FALSE()</f>
        <v>0</v>
      </c>
    </row>
    <row r="255" customFormat="false" ht="15" hidden="false" customHeight="false" outlineLevel="0" collapsed="false">
      <c r="A255" s="25" t="n">
        <v>254</v>
      </c>
      <c r="B255" s="25" t="s">
        <v>2544</v>
      </c>
      <c r="C255" s="25" t="s">
        <v>365</v>
      </c>
      <c r="D255" s="25" t="n">
        <v>20250604</v>
      </c>
      <c r="E255" s="25" t="n">
        <v>59</v>
      </c>
      <c r="F255" s="25" t="s">
        <v>2305</v>
      </c>
      <c r="G255" s="25" t="s">
        <v>243</v>
      </c>
      <c r="H255" s="25" t="n">
        <v>161566.24</v>
      </c>
      <c r="I255" s="27" t="b">
        <f aca="false">FALSE()</f>
        <v>0</v>
      </c>
    </row>
    <row r="256" customFormat="false" ht="15" hidden="false" customHeight="false" outlineLevel="0" collapsed="false">
      <c r="A256" s="25" t="n">
        <v>255</v>
      </c>
      <c r="B256" s="25" t="s">
        <v>2545</v>
      </c>
      <c r="C256" s="25" t="s">
        <v>384</v>
      </c>
      <c r="D256" s="25" t="n">
        <v>20240408</v>
      </c>
      <c r="E256" s="25" t="n">
        <v>-1</v>
      </c>
      <c r="F256" s="25" t="s">
        <v>2295</v>
      </c>
      <c r="G256" s="25" t="s">
        <v>243</v>
      </c>
      <c r="H256" s="25" t="n">
        <v>169947.46</v>
      </c>
      <c r="I256" s="27" t="b">
        <f aca="false">FALSE()</f>
        <v>0</v>
      </c>
    </row>
    <row r="257" customFormat="false" ht="15" hidden="false" customHeight="false" outlineLevel="0" collapsed="false">
      <c r="A257" s="25" t="n">
        <v>256</v>
      </c>
      <c r="B257" s="25" t="s">
        <v>2546</v>
      </c>
      <c r="C257" s="25" t="s">
        <v>282</v>
      </c>
      <c r="D257" s="25" t="n">
        <v>20250911</v>
      </c>
      <c r="E257" s="25" t="n">
        <v>15</v>
      </c>
      <c r="F257" s="25" t="s">
        <v>2291</v>
      </c>
      <c r="G257" s="25" t="s">
        <v>243</v>
      </c>
      <c r="H257" s="25" t="n">
        <v>74805.15</v>
      </c>
      <c r="I257" s="27" t="b">
        <f aca="false">FALSE()</f>
        <v>0</v>
      </c>
    </row>
    <row r="258" customFormat="false" ht="15" hidden="false" customHeight="false" outlineLevel="0" collapsed="false">
      <c r="A258" s="25" t="n">
        <v>257</v>
      </c>
      <c r="B258" s="25" t="s">
        <v>2547</v>
      </c>
      <c r="C258" s="25" t="s">
        <v>435</v>
      </c>
      <c r="D258" s="25" t="n">
        <v>20240301</v>
      </c>
      <c r="E258" s="25" t="n">
        <v>11</v>
      </c>
      <c r="F258" s="25" t="s">
        <v>2289</v>
      </c>
      <c r="G258" s="25" t="s">
        <v>266</v>
      </c>
      <c r="H258" s="25" t="n">
        <v>137941.77</v>
      </c>
      <c r="I258" s="27" t="b">
        <f aca="false">FALSE()</f>
        <v>0</v>
      </c>
    </row>
    <row r="259" customFormat="false" ht="15" hidden="false" customHeight="false" outlineLevel="0" collapsed="false">
      <c r="A259" s="25" t="n">
        <v>258</v>
      </c>
      <c r="B259" s="25" t="s">
        <v>2548</v>
      </c>
      <c r="C259" s="25" t="s">
        <v>421</v>
      </c>
      <c r="D259" s="25" t="n">
        <v>20250326</v>
      </c>
      <c r="E259" s="25" t="n">
        <v>111</v>
      </c>
      <c r="F259" s="25" t="s">
        <v>2295</v>
      </c>
      <c r="G259" s="25" t="s">
        <v>250</v>
      </c>
      <c r="H259" s="25" t="n">
        <v>12077.44</v>
      </c>
      <c r="I259" s="27" t="b">
        <f aca="false">FALSE()</f>
        <v>0</v>
      </c>
    </row>
    <row r="260" customFormat="false" ht="15" hidden="false" customHeight="false" outlineLevel="0" collapsed="false">
      <c r="A260" s="25" t="n">
        <v>259</v>
      </c>
      <c r="B260" s="25" t="s">
        <v>2549</v>
      </c>
      <c r="C260" s="25" t="s">
        <v>366</v>
      </c>
      <c r="D260" s="25" t="n">
        <v>20241010</v>
      </c>
      <c r="E260" s="25" t="n">
        <v>45</v>
      </c>
      <c r="F260" s="25" t="s">
        <v>2305</v>
      </c>
      <c r="G260" s="25" t="s">
        <v>243</v>
      </c>
      <c r="H260" s="25" t="n">
        <v>107383.73</v>
      </c>
      <c r="I260" s="27" t="b">
        <f aca="false">FALSE()</f>
        <v>0</v>
      </c>
    </row>
    <row r="261" customFormat="false" ht="15" hidden="false" customHeight="false" outlineLevel="0" collapsed="false">
      <c r="A261" s="25" t="n">
        <v>260</v>
      </c>
      <c r="B261" s="25" t="s">
        <v>2550</v>
      </c>
      <c r="C261" s="25" t="s">
        <v>325</v>
      </c>
      <c r="D261" s="25" t="n">
        <v>20240821</v>
      </c>
      <c r="E261" s="25" t="n">
        <v>10</v>
      </c>
      <c r="F261" s="25" t="s">
        <v>2305</v>
      </c>
      <c r="G261" s="25" t="s">
        <v>250</v>
      </c>
      <c r="H261" s="25" t="n">
        <v>68166.97</v>
      </c>
      <c r="I261" s="27" t="b">
        <f aca="false">FALSE()</f>
        <v>0</v>
      </c>
    </row>
    <row r="262" customFormat="false" ht="15" hidden="false" customHeight="false" outlineLevel="0" collapsed="false">
      <c r="A262" s="25" t="n">
        <v>261</v>
      </c>
      <c r="B262" s="25" t="s">
        <v>2551</v>
      </c>
      <c r="C262" s="25" t="s">
        <v>322</v>
      </c>
      <c r="D262" s="25" t="n">
        <v>20240208</v>
      </c>
      <c r="E262" s="25" t="n">
        <v>63</v>
      </c>
      <c r="F262" s="25" t="s">
        <v>2287</v>
      </c>
      <c r="G262" s="25" t="s">
        <v>243</v>
      </c>
      <c r="H262" s="25" t="n">
        <v>55365.37</v>
      </c>
      <c r="I262" s="27" t="b">
        <f aca="false">FALSE()</f>
        <v>0</v>
      </c>
    </row>
    <row r="263" customFormat="false" ht="15" hidden="false" customHeight="false" outlineLevel="0" collapsed="false">
      <c r="A263" s="25" t="n">
        <v>262</v>
      </c>
      <c r="B263" s="25" t="s">
        <v>2552</v>
      </c>
      <c r="C263" s="25" t="s">
        <v>571</v>
      </c>
      <c r="D263" s="25" t="n">
        <v>20250102</v>
      </c>
      <c r="E263" s="25" t="n">
        <v>101</v>
      </c>
      <c r="F263" s="25" t="s">
        <v>2305</v>
      </c>
      <c r="G263" s="25" t="s">
        <v>243</v>
      </c>
      <c r="H263" s="25" t="n">
        <v>157114.48</v>
      </c>
      <c r="I263" s="27" t="b">
        <f aca="false">FALSE()</f>
        <v>0</v>
      </c>
    </row>
    <row r="264" customFormat="false" ht="15" hidden="false" customHeight="false" outlineLevel="0" collapsed="false">
      <c r="A264" s="25" t="n">
        <v>263</v>
      </c>
      <c r="B264" s="25" t="s">
        <v>2553</v>
      </c>
      <c r="C264" s="25" t="s">
        <v>429</v>
      </c>
      <c r="D264" s="25" t="n">
        <v>20240117</v>
      </c>
      <c r="E264" s="25" t="n">
        <v>2</v>
      </c>
      <c r="F264" s="25" t="s">
        <v>2291</v>
      </c>
      <c r="G264" s="25" t="s">
        <v>247</v>
      </c>
      <c r="H264" s="25" t="n">
        <v>174448.4</v>
      </c>
      <c r="I264" s="27" t="b">
        <f aca="false">FALSE()</f>
        <v>0</v>
      </c>
    </row>
    <row r="265" customFormat="false" ht="15" hidden="false" customHeight="false" outlineLevel="0" collapsed="false">
      <c r="A265" s="25" t="n">
        <v>264</v>
      </c>
      <c r="B265" s="25" t="s">
        <v>2554</v>
      </c>
      <c r="C265" s="25" t="s">
        <v>586</v>
      </c>
      <c r="D265" s="25" t="n">
        <v>20240723</v>
      </c>
      <c r="E265" s="25" t="n">
        <v>-1</v>
      </c>
      <c r="F265" s="25" t="s">
        <v>2287</v>
      </c>
      <c r="G265" s="25" t="s">
        <v>243</v>
      </c>
      <c r="H265" s="25" t="n">
        <v>27430.41</v>
      </c>
      <c r="I265" s="27" t="b">
        <f aca="false">TRUE()</f>
        <v>1</v>
      </c>
    </row>
    <row r="266" customFormat="false" ht="15" hidden="false" customHeight="false" outlineLevel="0" collapsed="false">
      <c r="A266" s="25" t="n">
        <v>265</v>
      </c>
      <c r="B266" s="25" t="s">
        <v>2555</v>
      </c>
      <c r="C266" s="25" t="s">
        <v>491</v>
      </c>
      <c r="D266" s="25" t="n">
        <v>20251023</v>
      </c>
      <c r="E266" s="25" t="n">
        <v>76</v>
      </c>
      <c r="F266" s="25" t="s">
        <v>2305</v>
      </c>
      <c r="G266" s="25" t="s">
        <v>247</v>
      </c>
      <c r="H266" s="25" t="n">
        <v>105508.34</v>
      </c>
      <c r="I266" s="27" t="b">
        <f aca="false">FALSE()</f>
        <v>0</v>
      </c>
    </row>
    <row r="267" customFormat="false" ht="15" hidden="false" customHeight="false" outlineLevel="0" collapsed="false">
      <c r="A267" s="25" t="n">
        <v>266</v>
      </c>
      <c r="B267" s="25" t="s">
        <v>2556</v>
      </c>
      <c r="C267" s="25" t="s">
        <v>418</v>
      </c>
      <c r="D267" s="25" t="n">
        <v>20250216</v>
      </c>
      <c r="E267" s="25" t="n">
        <v>92</v>
      </c>
      <c r="F267" s="25" t="s">
        <v>2305</v>
      </c>
      <c r="G267" s="25" t="s">
        <v>243</v>
      </c>
      <c r="H267" s="25" t="n">
        <v>15622.68</v>
      </c>
      <c r="I267" s="27" t="b">
        <f aca="false">FALSE()</f>
        <v>0</v>
      </c>
    </row>
    <row r="268" customFormat="false" ht="15" hidden="false" customHeight="false" outlineLevel="0" collapsed="false">
      <c r="A268" s="25" t="n">
        <v>267</v>
      </c>
      <c r="B268" s="25" t="s">
        <v>2557</v>
      </c>
      <c r="C268" s="25" t="s">
        <v>530</v>
      </c>
      <c r="D268" s="25" t="n">
        <v>20251025</v>
      </c>
      <c r="E268" s="25" t="n">
        <v>61</v>
      </c>
      <c r="F268" s="25" t="s">
        <v>2291</v>
      </c>
      <c r="G268" s="25" t="s">
        <v>243</v>
      </c>
      <c r="H268" s="25" t="n">
        <v>48851.28</v>
      </c>
      <c r="I268" s="27" t="b">
        <f aca="false">FALSE()</f>
        <v>0</v>
      </c>
    </row>
    <row r="269" customFormat="false" ht="15" hidden="false" customHeight="false" outlineLevel="0" collapsed="false">
      <c r="A269" s="25" t="n">
        <v>268</v>
      </c>
      <c r="B269" s="25" t="s">
        <v>2558</v>
      </c>
      <c r="C269" s="25" t="s">
        <v>364</v>
      </c>
      <c r="D269" s="25" t="n">
        <v>20241023</v>
      </c>
      <c r="E269" s="25" t="n">
        <v>108</v>
      </c>
      <c r="F269" s="25" t="s">
        <v>2305</v>
      </c>
      <c r="G269" s="25" t="s">
        <v>243</v>
      </c>
      <c r="H269" s="25" t="n">
        <v>44887.01</v>
      </c>
      <c r="I269" s="27" t="b">
        <f aca="false">FALSE()</f>
        <v>0</v>
      </c>
    </row>
    <row r="270" customFormat="false" ht="15" hidden="false" customHeight="false" outlineLevel="0" collapsed="false">
      <c r="A270" s="25" t="n">
        <v>269</v>
      </c>
      <c r="B270" s="25" t="s">
        <v>2559</v>
      </c>
      <c r="C270" s="25" t="s">
        <v>548</v>
      </c>
      <c r="D270" s="25" t="n">
        <v>20240407</v>
      </c>
      <c r="E270" s="25" t="n">
        <v>76</v>
      </c>
      <c r="F270" s="25" t="s">
        <v>2295</v>
      </c>
      <c r="G270" s="25" t="s">
        <v>247</v>
      </c>
      <c r="H270" s="25" t="n">
        <v>87528.81</v>
      </c>
      <c r="I270" s="27" t="b">
        <f aca="false">FALSE()</f>
        <v>0</v>
      </c>
    </row>
    <row r="271" customFormat="false" ht="15" hidden="false" customHeight="false" outlineLevel="0" collapsed="false">
      <c r="A271" s="25" t="n">
        <v>270</v>
      </c>
      <c r="B271" s="25" t="s">
        <v>2560</v>
      </c>
      <c r="C271" s="25" t="s">
        <v>323</v>
      </c>
      <c r="D271" s="25" t="n">
        <v>20240131</v>
      </c>
      <c r="E271" s="25" t="n">
        <v>154</v>
      </c>
      <c r="F271" s="25" t="s">
        <v>2291</v>
      </c>
      <c r="G271" s="25" t="s">
        <v>250</v>
      </c>
      <c r="H271" s="25" t="n">
        <v>120536.64</v>
      </c>
      <c r="I271" s="27" t="b">
        <f aca="false">FALSE()</f>
        <v>0</v>
      </c>
    </row>
    <row r="272" customFormat="false" ht="15" hidden="false" customHeight="false" outlineLevel="0" collapsed="false">
      <c r="A272" s="25" t="n">
        <v>271</v>
      </c>
      <c r="B272" s="25" t="s">
        <v>2561</v>
      </c>
      <c r="C272" s="25" t="s">
        <v>456</v>
      </c>
      <c r="D272" s="25" t="n">
        <v>20250702</v>
      </c>
      <c r="E272" s="25" t="n">
        <v>10</v>
      </c>
      <c r="F272" s="25" t="s">
        <v>2305</v>
      </c>
      <c r="G272" s="25" t="s">
        <v>243</v>
      </c>
      <c r="H272" s="25" t="n">
        <v>86842.72</v>
      </c>
      <c r="I272" s="27" t="b">
        <f aca="false">FALSE()</f>
        <v>0</v>
      </c>
    </row>
    <row r="273" customFormat="false" ht="15" hidden="false" customHeight="false" outlineLevel="0" collapsed="false">
      <c r="A273" s="25" t="n">
        <v>272</v>
      </c>
      <c r="B273" s="25" t="s">
        <v>2562</v>
      </c>
      <c r="C273" s="25" t="s">
        <v>260</v>
      </c>
      <c r="D273" s="25" t="n">
        <v>20240513</v>
      </c>
      <c r="E273" s="25" t="n">
        <v>118</v>
      </c>
      <c r="F273" s="25" t="s">
        <v>2287</v>
      </c>
      <c r="G273" s="25" t="s">
        <v>243</v>
      </c>
      <c r="H273" s="25" t="n">
        <v>168821.36</v>
      </c>
      <c r="I273" s="27" t="b">
        <f aca="false">FALSE()</f>
        <v>0</v>
      </c>
    </row>
    <row r="274" customFormat="false" ht="15" hidden="false" customHeight="false" outlineLevel="0" collapsed="false">
      <c r="A274" s="25" t="n">
        <v>273</v>
      </c>
      <c r="B274" s="25" t="s">
        <v>2563</v>
      </c>
      <c r="C274" s="25" t="s">
        <v>465</v>
      </c>
      <c r="D274" s="25" t="n">
        <v>20240709</v>
      </c>
      <c r="E274" s="25" t="n">
        <v>71</v>
      </c>
      <c r="F274" s="25" t="s">
        <v>2289</v>
      </c>
      <c r="G274" s="25" t="s">
        <v>266</v>
      </c>
      <c r="H274" s="25" t="n">
        <v>47971.68</v>
      </c>
      <c r="I274" s="27" t="b">
        <f aca="false">FALSE()</f>
        <v>0</v>
      </c>
    </row>
    <row r="275" customFormat="false" ht="15" hidden="false" customHeight="false" outlineLevel="0" collapsed="false">
      <c r="A275" s="25" t="n">
        <v>274</v>
      </c>
      <c r="B275" s="25" t="s">
        <v>2564</v>
      </c>
      <c r="C275" s="25" t="s">
        <v>493</v>
      </c>
      <c r="D275" s="25" t="n">
        <v>20250522</v>
      </c>
      <c r="E275" s="25" t="n">
        <v>37</v>
      </c>
      <c r="F275" s="25" t="s">
        <v>2287</v>
      </c>
      <c r="G275" s="25" t="s">
        <v>243</v>
      </c>
      <c r="H275" s="25" t="n">
        <v>45144.5</v>
      </c>
      <c r="I275" s="27" t="b">
        <f aca="false">FALSE()</f>
        <v>0</v>
      </c>
    </row>
    <row r="276" customFormat="false" ht="15" hidden="false" customHeight="false" outlineLevel="0" collapsed="false">
      <c r="A276" s="25" t="n">
        <v>275</v>
      </c>
      <c r="B276" s="25" t="s">
        <v>2565</v>
      </c>
      <c r="C276" s="25" t="s">
        <v>527</v>
      </c>
      <c r="D276" s="25" t="n">
        <v>20250725</v>
      </c>
      <c r="E276" s="25" t="n">
        <v>102</v>
      </c>
      <c r="F276" s="25" t="s">
        <v>2287</v>
      </c>
      <c r="G276" s="25" t="s">
        <v>243</v>
      </c>
      <c r="H276" s="25" t="n">
        <v>41583.31</v>
      </c>
      <c r="I276" s="27" t="b">
        <f aca="false">FALSE()</f>
        <v>0</v>
      </c>
    </row>
    <row r="277" customFormat="false" ht="15" hidden="false" customHeight="false" outlineLevel="0" collapsed="false">
      <c r="A277" s="25" t="n">
        <v>276</v>
      </c>
      <c r="B277" s="25" t="s">
        <v>2566</v>
      </c>
      <c r="C277" s="25" t="s">
        <v>351</v>
      </c>
      <c r="D277" s="25" t="n">
        <v>20240316</v>
      </c>
      <c r="E277" s="25" t="n">
        <v>81</v>
      </c>
      <c r="F277" s="25" t="s">
        <v>2291</v>
      </c>
      <c r="G277" s="25" t="s">
        <v>247</v>
      </c>
      <c r="H277" s="25" t="n">
        <v>38376.08</v>
      </c>
      <c r="I277" s="27" t="b">
        <f aca="false">FALSE()</f>
        <v>0</v>
      </c>
    </row>
    <row r="278" customFormat="false" ht="15" hidden="false" customHeight="false" outlineLevel="0" collapsed="false">
      <c r="A278" s="25" t="n">
        <v>277</v>
      </c>
      <c r="B278" s="25" t="s">
        <v>2567</v>
      </c>
      <c r="C278" s="25" t="s">
        <v>584</v>
      </c>
      <c r="D278" s="25" t="n">
        <v>20240206</v>
      </c>
      <c r="E278" s="25" t="n">
        <v>-1</v>
      </c>
      <c r="F278" s="25" t="s">
        <v>2295</v>
      </c>
      <c r="G278" s="25" t="s">
        <v>266</v>
      </c>
      <c r="H278" s="25" t="n">
        <v>107841.66</v>
      </c>
      <c r="I278" s="27" t="b">
        <f aca="false">TRUE()</f>
        <v>1</v>
      </c>
    </row>
    <row r="279" customFormat="false" ht="15" hidden="false" customHeight="false" outlineLevel="0" collapsed="false">
      <c r="A279" s="25" t="n">
        <v>278</v>
      </c>
      <c r="B279" s="25" t="s">
        <v>2568</v>
      </c>
      <c r="C279" s="25" t="s">
        <v>406</v>
      </c>
      <c r="D279" s="25" t="n">
        <v>20250927</v>
      </c>
      <c r="E279" s="25" t="n">
        <v>30</v>
      </c>
      <c r="F279" s="25" t="s">
        <v>2287</v>
      </c>
      <c r="G279" s="25" t="s">
        <v>243</v>
      </c>
      <c r="H279" s="25" t="n">
        <v>75190.71</v>
      </c>
      <c r="I279" s="27" t="b">
        <f aca="false">FALSE()</f>
        <v>0</v>
      </c>
    </row>
    <row r="280" customFormat="false" ht="15" hidden="false" customHeight="false" outlineLevel="0" collapsed="false">
      <c r="A280" s="25" t="n">
        <v>279</v>
      </c>
      <c r="B280" s="25" t="s">
        <v>2569</v>
      </c>
      <c r="C280" s="25" t="s">
        <v>565</v>
      </c>
      <c r="D280" s="25" t="n">
        <v>20251209</v>
      </c>
      <c r="E280" s="25" t="n">
        <v>118</v>
      </c>
      <c r="F280" s="25" t="s">
        <v>2305</v>
      </c>
      <c r="G280" s="25" t="s">
        <v>266</v>
      </c>
      <c r="H280" s="25" t="n">
        <v>56711.33</v>
      </c>
      <c r="I280" s="27" t="b">
        <f aca="false">FALSE()</f>
        <v>0</v>
      </c>
    </row>
    <row r="281" customFormat="false" ht="15" hidden="false" customHeight="false" outlineLevel="0" collapsed="false">
      <c r="A281" s="25" t="n">
        <v>280</v>
      </c>
      <c r="B281" s="25" t="s">
        <v>2570</v>
      </c>
      <c r="C281" s="25" t="s">
        <v>492</v>
      </c>
      <c r="D281" s="25" t="n">
        <v>20250508</v>
      </c>
      <c r="E281" s="25" t="n">
        <v>78</v>
      </c>
      <c r="F281" s="25" t="s">
        <v>2287</v>
      </c>
      <c r="G281" s="25" t="s">
        <v>243</v>
      </c>
      <c r="H281" s="25" t="n">
        <v>89899.8</v>
      </c>
      <c r="I281" s="27" t="b">
        <f aca="false">FALSE()</f>
        <v>0</v>
      </c>
    </row>
    <row r="282" customFormat="false" ht="15" hidden="false" customHeight="false" outlineLevel="0" collapsed="false">
      <c r="A282" s="25" t="n">
        <v>281</v>
      </c>
      <c r="B282" s="25" t="s">
        <v>2571</v>
      </c>
      <c r="C282" s="25" t="s">
        <v>281</v>
      </c>
      <c r="D282" s="25" t="n">
        <v>20250703</v>
      </c>
      <c r="E282" s="25" t="n">
        <v>106</v>
      </c>
      <c r="F282" s="25" t="s">
        <v>2291</v>
      </c>
      <c r="G282" s="25" t="s">
        <v>243</v>
      </c>
      <c r="H282" s="25" t="n">
        <v>64052.43</v>
      </c>
      <c r="I282" s="27" t="b">
        <f aca="false">FALSE()</f>
        <v>0</v>
      </c>
    </row>
    <row r="283" customFormat="false" ht="15" hidden="false" customHeight="false" outlineLevel="0" collapsed="false">
      <c r="A283" s="25" t="n">
        <v>282</v>
      </c>
      <c r="B283" s="25" t="s">
        <v>2572</v>
      </c>
      <c r="C283" s="25" t="s">
        <v>304</v>
      </c>
      <c r="D283" s="25" t="n">
        <v>20241001</v>
      </c>
      <c r="E283" s="25" t="n">
        <v>114</v>
      </c>
      <c r="F283" s="25" t="s">
        <v>2291</v>
      </c>
      <c r="G283" s="25" t="s">
        <v>243</v>
      </c>
      <c r="H283" s="25" t="n">
        <v>39842.03</v>
      </c>
      <c r="I283" s="27" t="b">
        <f aca="false">FALSE()</f>
        <v>0</v>
      </c>
    </row>
    <row r="284" customFormat="false" ht="15" hidden="false" customHeight="false" outlineLevel="0" collapsed="false">
      <c r="A284" s="25" t="n">
        <v>283</v>
      </c>
      <c r="B284" s="25" t="s">
        <v>2573</v>
      </c>
      <c r="C284" s="25" t="s">
        <v>372</v>
      </c>
      <c r="D284" s="25" t="n">
        <v>20250904</v>
      </c>
      <c r="E284" s="25" t="n">
        <v>52</v>
      </c>
      <c r="F284" s="25" t="s">
        <v>2291</v>
      </c>
      <c r="G284" s="25" t="s">
        <v>243</v>
      </c>
      <c r="H284" s="25" t="n">
        <v>3774.98</v>
      </c>
      <c r="I284" s="27" t="b">
        <f aca="false">FALSE()</f>
        <v>0</v>
      </c>
    </row>
    <row r="285" customFormat="false" ht="15" hidden="false" customHeight="false" outlineLevel="0" collapsed="false">
      <c r="A285" s="25" t="n">
        <v>284</v>
      </c>
      <c r="B285" s="25" t="s">
        <v>2574</v>
      </c>
      <c r="C285" s="25" t="s">
        <v>518</v>
      </c>
      <c r="D285" s="25" t="n">
        <v>20240315</v>
      </c>
      <c r="E285" s="25" t="n">
        <v>149</v>
      </c>
      <c r="F285" s="25" t="s">
        <v>2289</v>
      </c>
      <c r="G285" s="25" t="s">
        <v>243</v>
      </c>
      <c r="H285" s="25" t="n">
        <v>18066.11</v>
      </c>
      <c r="I285" s="27" t="b">
        <f aca="false">FALSE()</f>
        <v>0</v>
      </c>
    </row>
    <row r="286" customFormat="false" ht="15" hidden="false" customHeight="false" outlineLevel="0" collapsed="false">
      <c r="A286" s="25" t="n">
        <v>285</v>
      </c>
      <c r="B286" s="25" t="s">
        <v>2575</v>
      </c>
      <c r="C286" s="25" t="s">
        <v>263</v>
      </c>
      <c r="D286" s="25" t="n">
        <v>20241028</v>
      </c>
      <c r="E286" s="25" t="n">
        <v>100</v>
      </c>
      <c r="F286" s="25" t="s">
        <v>2289</v>
      </c>
      <c r="G286" s="25" t="s">
        <v>243</v>
      </c>
      <c r="H286" s="25" t="n">
        <v>168178.45</v>
      </c>
      <c r="I286" s="27" t="b">
        <f aca="false">FALSE()</f>
        <v>0</v>
      </c>
    </row>
    <row r="287" customFormat="false" ht="15" hidden="false" customHeight="false" outlineLevel="0" collapsed="false">
      <c r="A287" s="25" t="n">
        <v>286</v>
      </c>
      <c r="B287" s="25" t="s">
        <v>2576</v>
      </c>
      <c r="C287" s="25" t="s">
        <v>504</v>
      </c>
      <c r="D287" s="25" t="n">
        <v>20240116</v>
      </c>
      <c r="E287" s="25" t="n">
        <v>61</v>
      </c>
      <c r="F287" s="25" t="s">
        <v>2291</v>
      </c>
      <c r="G287" s="25" t="s">
        <v>243</v>
      </c>
      <c r="H287" s="25" t="n">
        <v>134606.36</v>
      </c>
      <c r="I287" s="27" t="b">
        <f aca="false">FALSE()</f>
        <v>0</v>
      </c>
    </row>
    <row r="288" customFormat="false" ht="15" hidden="false" customHeight="false" outlineLevel="0" collapsed="false">
      <c r="A288" s="25" t="n">
        <v>287</v>
      </c>
      <c r="B288" s="25" t="s">
        <v>2577</v>
      </c>
      <c r="C288" s="25" t="s">
        <v>340</v>
      </c>
      <c r="D288" s="25" t="n">
        <v>20240520</v>
      </c>
      <c r="E288" s="25" t="n">
        <v>37</v>
      </c>
      <c r="F288" s="25" t="s">
        <v>2305</v>
      </c>
      <c r="G288" s="25" t="s">
        <v>247</v>
      </c>
      <c r="H288" s="25" t="n">
        <v>253734.17</v>
      </c>
      <c r="I288" s="27" t="b">
        <f aca="false">FALSE()</f>
        <v>0</v>
      </c>
    </row>
    <row r="289" customFormat="false" ht="15" hidden="false" customHeight="false" outlineLevel="0" collapsed="false">
      <c r="A289" s="25" t="n">
        <v>288</v>
      </c>
      <c r="B289" s="25" t="s">
        <v>2578</v>
      </c>
      <c r="C289" s="25" t="s">
        <v>482</v>
      </c>
      <c r="D289" s="25" t="n">
        <v>20241226</v>
      </c>
      <c r="E289" s="25" t="n">
        <v>108</v>
      </c>
      <c r="F289" s="25" t="s">
        <v>2287</v>
      </c>
      <c r="G289" s="25" t="s">
        <v>243</v>
      </c>
      <c r="H289" s="25" t="n">
        <v>132799.24</v>
      </c>
      <c r="I289" s="27" t="b">
        <f aca="false">FALSE()</f>
        <v>0</v>
      </c>
    </row>
    <row r="290" customFormat="false" ht="15" hidden="false" customHeight="false" outlineLevel="0" collapsed="false">
      <c r="A290" s="25" t="n">
        <v>289</v>
      </c>
      <c r="B290" s="25" t="s">
        <v>2579</v>
      </c>
      <c r="C290" s="25" t="s">
        <v>309</v>
      </c>
      <c r="D290" s="25" t="n">
        <v>20240516</v>
      </c>
      <c r="E290" s="25" t="n">
        <v>32</v>
      </c>
      <c r="F290" s="25" t="s">
        <v>2295</v>
      </c>
      <c r="G290" s="25" t="s">
        <v>243</v>
      </c>
      <c r="H290" s="25" t="n">
        <v>171095.52</v>
      </c>
      <c r="I290" s="27" t="b">
        <f aca="false">FALSE()</f>
        <v>0</v>
      </c>
    </row>
    <row r="291" customFormat="false" ht="15" hidden="false" customHeight="false" outlineLevel="0" collapsed="false">
      <c r="A291" s="25" t="n">
        <v>290</v>
      </c>
      <c r="B291" s="25" t="s">
        <v>2580</v>
      </c>
      <c r="C291" s="25" t="s">
        <v>539</v>
      </c>
      <c r="D291" s="25" t="n">
        <v>20241216</v>
      </c>
      <c r="E291" s="25" t="n">
        <v>105</v>
      </c>
      <c r="F291" s="25" t="s">
        <v>2305</v>
      </c>
      <c r="G291" s="25" t="s">
        <v>243</v>
      </c>
      <c r="H291" s="25" t="n">
        <v>90751.44</v>
      </c>
      <c r="I291" s="27" t="b">
        <f aca="false">FALSE()</f>
        <v>0</v>
      </c>
    </row>
    <row r="292" customFormat="false" ht="15" hidden="false" customHeight="false" outlineLevel="0" collapsed="false">
      <c r="A292" s="25" t="n">
        <v>291</v>
      </c>
      <c r="B292" s="25" t="s">
        <v>2581</v>
      </c>
      <c r="C292" s="25" t="s">
        <v>424</v>
      </c>
      <c r="D292" s="25" t="n">
        <v>20240622</v>
      </c>
      <c r="E292" s="25" t="n">
        <v>121</v>
      </c>
      <c r="F292" s="25" t="s">
        <v>2305</v>
      </c>
      <c r="G292" s="25" t="s">
        <v>243</v>
      </c>
      <c r="H292" s="25" t="n">
        <v>60641.05</v>
      </c>
      <c r="I292" s="27" t="b">
        <f aca="false">FALSE()</f>
        <v>0</v>
      </c>
    </row>
    <row r="293" customFormat="false" ht="15" hidden="false" customHeight="false" outlineLevel="0" collapsed="false">
      <c r="A293" s="25" t="n">
        <v>292</v>
      </c>
      <c r="B293" s="25" t="s">
        <v>2582</v>
      </c>
      <c r="C293" s="25" t="s">
        <v>425</v>
      </c>
      <c r="D293" s="25" t="n">
        <v>20241119</v>
      </c>
      <c r="E293" s="25" t="n">
        <v>1</v>
      </c>
      <c r="F293" s="25" t="s">
        <v>2295</v>
      </c>
      <c r="G293" s="25" t="s">
        <v>250</v>
      </c>
      <c r="H293" s="25" t="n">
        <v>82375.97</v>
      </c>
      <c r="I293" s="27" t="b">
        <f aca="false">FALSE()</f>
        <v>0</v>
      </c>
    </row>
    <row r="294" customFormat="false" ht="15" hidden="false" customHeight="false" outlineLevel="0" collapsed="false">
      <c r="A294" s="25" t="n">
        <v>293</v>
      </c>
      <c r="B294" s="25" t="s">
        <v>2583</v>
      </c>
      <c r="C294" s="25" t="s">
        <v>444</v>
      </c>
      <c r="D294" s="25" t="n">
        <v>20250504</v>
      </c>
      <c r="E294" s="25" t="n">
        <v>71</v>
      </c>
      <c r="F294" s="25" t="s">
        <v>2289</v>
      </c>
      <c r="G294" s="25" t="s">
        <v>243</v>
      </c>
      <c r="H294" s="25" t="n">
        <v>112048.58</v>
      </c>
      <c r="I294" s="27" t="b">
        <f aca="false">FALSE()</f>
        <v>0</v>
      </c>
    </row>
    <row r="295" customFormat="false" ht="15" hidden="false" customHeight="false" outlineLevel="0" collapsed="false">
      <c r="A295" s="25" t="n">
        <v>294</v>
      </c>
      <c r="B295" s="25" t="s">
        <v>2584</v>
      </c>
      <c r="C295" s="25" t="s">
        <v>581</v>
      </c>
      <c r="D295" s="25" t="n">
        <v>20240404</v>
      </c>
      <c r="E295" s="25" t="n">
        <v>-1</v>
      </c>
      <c r="F295" s="25" t="s">
        <v>2305</v>
      </c>
      <c r="G295" s="25" t="s">
        <v>243</v>
      </c>
      <c r="H295" s="25" t="n">
        <v>224837.1</v>
      </c>
      <c r="I295" s="27" t="b">
        <f aca="false">TRUE()</f>
        <v>1</v>
      </c>
    </row>
    <row r="296" customFormat="false" ht="15" hidden="false" customHeight="false" outlineLevel="0" collapsed="false">
      <c r="A296" s="25" t="n">
        <v>295</v>
      </c>
      <c r="B296" s="25" t="s">
        <v>2585</v>
      </c>
      <c r="C296" s="25" t="s">
        <v>451</v>
      </c>
      <c r="D296" s="25" t="n">
        <v>20250413</v>
      </c>
      <c r="E296" s="25" t="n">
        <v>88</v>
      </c>
      <c r="F296" s="25" t="s">
        <v>2295</v>
      </c>
      <c r="G296" s="25" t="s">
        <v>250</v>
      </c>
      <c r="H296" s="25" t="n">
        <v>13548.3</v>
      </c>
      <c r="I296" s="27" t="b">
        <f aca="false">FALSE()</f>
        <v>0</v>
      </c>
    </row>
    <row r="297" customFormat="false" ht="15" hidden="false" customHeight="false" outlineLevel="0" collapsed="false">
      <c r="A297" s="25" t="n">
        <v>296</v>
      </c>
      <c r="B297" s="25" t="s">
        <v>2586</v>
      </c>
      <c r="C297" s="25" t="s">
        <v>321</v>
      </c>
      <c r="D297" s="25" t="n">
        <v>20240113</v>
      </c>
      <c r="E297" s="25" t="n">
        <v>111</v>
      </c>
      <c r="F297" s="25" t="s">
        <v>2295</v>
      </c>
      <c r="G297" s="25" t="s">
        <v>243</v>
      </c>
      <c r="H297" s="25" t="n">
        <v>103988.9</v>
      </c>
      <c r="I297" s="27" t="b">
        <f aca="false">FALSE()</f>
        <v>0</v>
      </c>
    </row>
    <row r="298" customFormat="false" ht="15" hidden="false" customHeight="false" outlineLevel="0" collapsed="false">
      <c r="A298" s="25" t="n">
        <v>297</v>
      </c>
      <c r="B298" s="25" t="s">
        <v>2587</v>
      </c>
      <c r="C298" s="25" t="s">
        <v>461</v>
      </c>
      <c r="D298" s="25" t="n">
        <v>20250125</v>
      </c>
      <c r="E298" s="25" t="n">
        <v>65</v>
      </c>
      <c r="F298" s="25" t="s">
        <v>2291</v>
      </c>
      <c r="G298" s="25" t="s">
        <v>243</v>
      </c>
      <c r="H298" s="25" t="n">
        <v>69199.48</v>
      </c>
      <c r="I298" s="27" t="b">
        <f aca="false">FALSE()</f>
        <v>0</v>
      </c>
    </row>
    <row r="299" customFormat="false" ht="15" hidden="false" customHeight="false" outlineLevel="0" collapsed="false">
      <c r="A299" s="25" t="n">
        <v>298</v>
      </c>
      <c r="B299" s="25" t="s">
        <v>2588</v>
      </c>
      <c r="C299" s="25" t="s">
        <v>353</v>
      </c>
      <c r="D299" s="25" t="n">
        <v>20250320</v>
      </c>
      <c r="E299" s="25" t="n">
        <v>120</v>
      </c>
      <c r="F299" s="25" t="s">
        <v>2305</v>
      </c>
      <c r="G299" s="25" t="s">
        <v>243</v>
      </c>
      <c r="H299" s="25" t="n">
        <v>19489.51</v>
      </c>
      <c r="I299" s="27" t="b">
        <f aca="false">FALSE()</f>
        <v>0</v>
      </c>
    </row>
    <row r="300" customFormat="false" ht="15" hidden="false" customHeight="false" outlineLevel="0" collapsed="false">
      <c r="A300" s="25" t="n">
        <v>299</v>
      </c>
      <c r="B300" s="25" t="s">
        <v>2589</v>
      </c>
      <c r="C300" s="25" t="s">
        <v>305</v>
      </c>
      <c r="D300" s="25" t="n">
        <v>20240130</v>
      </c>
      <c r="E300" s="25" t="n">
        <v>148</v>
      </c>
      <c r="F300" s="25" t="s">
        <v>2291</v>
      </c>
      <c r="G300" s="25" t="s">
        <v>243</v>
      </c>
      <c r="H300" s="25" t="n">
        <v>80190.59</v>
      </c>
      <c r="I300" s="27" t="b">
        <f aca="false">FALSE()</f>
        <v>0</v>
      </c>
    </row>
    <row r="301" customFormat="false" ht="15" hidden="false" customHeight="false" outlineLevel="0" collapsed="false">
      <c r="A301" s="25" t="n">
        <v>300</v>
      </c>
      <c r="B301" s="25" t="s">
        <v>2590</v>
      </c>
      <c r="C301" s="25" t="s">
        <v>473</v>
      </c>
      <c r="D301" s="25" t="n">
        <v>20240424</v>
      </c>
      <c r="E301" s="25" t="n">
        <v>106</v>
      </c>
      <c r="F301" s="25" t="s">
        <v>2289</v>
      </c>
      <c r="G301" s="25" t="s">
        <v>247</v>
      </c>
      <c r="H301" s="25" t="n">
        <v>12141.58</v>
      </c>
      <c r="I301" s="27" t="b">
        <f aca="false">FALSE()</f>
        <v>0</v>
      </c>
    </row>
    <row r="302" customFormat="false" ht="15" hidden="false" customHeight="false" outlineLevel="0" collapsed="false">
      <c r="A302" s="25" t="n">
        <v>301</v>
      </c>
      <c r="B302" s="25" t="s">
        <v>2591</v>
      </c>
      <c r="C302" s="25" t="s">
        <v>332</v>
      </c>
      <c r="D302" s="25" t="n">
        <v>20240709</v>
      </c>
      <c r="E302" s="25" t="n">
        <v>144</v>
      </c>
      <c r="F302" s="25" t="s">
        <v>2291</v>
      </c>
      <c r="G302" s="25" t="s">
        <v>243</v>
      </c>
      <c r="H302" s="25" t="n">
        <v>8342.49</v>
      </c>
      <c r="I302" s="27" t="b">
        <f aca="false">FALSE()</f>
        <v>0</v>
      </c>
    </row>
    <row r="303" customFormat="false" ht="15" hidden="false" customHeight="false" outlineLevel="0" collapsed="false">
      <c r="A303" s="25" t="n">
        <v>302</v>
      </c>
      <c r="B303" s="25" t="s">
        <v>2592</v>
      </c>
      <c r="C303" s="25" t="s">
        <v>273</v>
      </c>
      <c r="D303" s="25" t="n">
        <v>20250612</v>
      </c>
      <c r="E303" s="25" t="n">
        <v>50</v>
      </c>
      <c r="F303" s="25" t="s">
        <v>2289</v>
      </c>
      <c r="G303" s="25" t="s">
        <v>243</v>
      </c>
      <c r="H303" s="25" t="n">
        <v>131752.7</v>
      </c>
      <c r="I303" s="27" t="b">
        <f aca="false">FALSE()</f>
        <v>0</v>
      </c>
    </row>
    <row r="304" customFormat="false" ht="15" hidden="false" customHeight="false" outlineLevel="0" collapsed="false">
      <c r="A304" s="25" t="n">
        <v>303</v>
      </c>
      <c r="B304" s="25" t="s">
        <v>2593</v>
      </c>
      <c r="C304" s="25" t="s">
        <v>316</v>
      </c>
      <c r="D304" s="25" t="n">
        <v>20250218</v>
      </c>
      <c r="E304" s="25" t="n">
        <v>57</v>
      </c>
      <c r="F304" s="25" t="s">
        <v>2291</v>
      </c>
      <c r="G304" s="25" t="s">
        <v>243</v>
      </c>
      <c r="H304" s="25" t="n">
        <v>4511.74</v>
      </c>
      <c r="I304" s="27" t="b">
        <f aca="false">FALSE()</f>
        <v>0</v>
      </c>
    </row>
    <row r="305" customFormat="false" ht="15" hidden="false" customHeight="false" outlineLevel="0" collapsed="false">
      <c r="A305" s="25" t="n">
        <v>304</v>
      </c>
      <c r="B305" s="25" t="s">
        <v>2594</v>
      </c>
      <c r="C305" s="25" t="s">
        <v>501</v>
      </c>
      <c r="D305" s="25" t="n">
        <v>20240205</v>
      </c>
      <c r="E305" s="25" t="n">
        <v>47</v>
      </c>
      <c r="F305" s="25" t="s">
        <v>2291</v>
      </c>
      <c r="G305" s="25" t="s">
        <v>243</v>
      </c>
      <c r="H305" s="25" t="n">
        <v>88437.15</v>
      </c>
      <c r="I305" s="27" t="b">
        <f aca="false">FALSE()</f>
        <v>0</v>
      </c>
    </row>
    <row r="306" customFormat="false" ht="15" hidden="false" customHeight="false" outlineLevel="0" collapsed="false">
      <c r="A306" s="25" t="n">
        <v>305</v>
      </c>
      <c r="B306" s="25" t="s">
        <v>2595</v>
      </c>
      <c r="C306" s="25" t="s">
        <v>478</v>
      </c>
      <c r="D306" s="25" t="n">
        <v>20250314</v>
      </c>
      <c r="E306" s="25" t="n">
        <v>64</v>
      </c>
      <c r="F306" s="25" t="s">
        <v>2289</v>
      </c>
      <c r="G306" s="25" t="s">
        <v>243</v>
      </c>
      <c r="H306" s="25" t="n">
        <v>135868.77</v>
      </c>
      <c r="I306" s="27" t="b">
        <f aca="false">FALSE()</f>
        <v>0</v>
      </c>
    </row>
    <row r="307" customFormat="false" ht="15" hidden="false" customHeight="false" outlineLevel="0" collapsed="false">
      <c r="A307" s="25" t="n">
        <v>306</v>
      </c>
      <c r="B307" s="25" t="s">
        <v>2596</v>
      </c>
      <c r="C307" s="25" t="s">
        <v>398</v>
      </c>
      <c r="D307" s="25" t="n">
        <v>20240106</v>
      </c>
      <c r="E307" s="25" t="n">
        <v>137</v>
      </c>
      <c r="F307" s="25" t="s">
        <v>2291</v>
      </c>
      <c r="G307" s="25" t="s">
        <v>243</v>
      </c>
      <c r="H307" s="25" t="n">
        <v>92783.24</v>
      </c>
      <c r="I307" s="27" t="b">
        <f aca="false">FALSE()</f>
        <v>0</v>
      </c>
    </row>
    <row r="308" customFormat="false" ht="15" hidden="false" customHeight="false" outlineLevel="0" collapsed="false">
      <c r="A308" s="25" t="n">
        <v>307</v>
      </c>
      <c r="B308" s="25" t="s">
        <v>2597</v>
      </c>
      <c r="C308" s="25" t="s">
        <v>326</v>
      </c>
      <c r="D308" s="25" t="n">
        <v>20240917</v>
      </c>
      <c r="E308" s="25" t="n">
        <v>-1</v>
      </c>
      <c r="F308" s="25" t="s">
        <v>2287</v>
      </c>
      <c r="G308" s="25" t="s">
        <v>243</v>
      </c>
      <c r="H308" s="25" t="n">
        <v>14920.73</v>
      </c>
      <c r="I308" s="27" t="b">
        <f aca="false">FALSE()</f>
        <v>0</v>
      </c>
    </row>
    <row r="309" customFormat="false" ht="15" hidden="false" customHeight="false" outlineLevel="0" collapsed="false">
      <c r="A309" s="25" t="n">
        <v>308</v>
      </c>
      <c r="B309" s="25" t="s">
        <v>2598</v>
      </c>
      <c r="C309" s="25" t="s">
        <v>419</v>
      </c>
      <c r="D309" s="25" t="n">
        <v>20240630</v>
      </c>
      <c r="E309" s="25" t="n">
        <v>116</v>
      </c>
      <c r="F309" s="25" t="s">
        <v>2289</v>
      </c>
      <c r="G309" s="25" t="s">
        <v>243</v>
      </c>
      <c r="H309" s="25" t="n">
        <v>92866.58</v>
      </c>
      <c r="I309" s="27" t="b">
        <f aca="false">FALSE()</f>
        <v>0</v>
      </c>
    </row>
    <row r="310" customFormat="false" ht="15" hidden="false" customHeight="false" outlineLevel="0" collapsed="false">
      <c r="A310" s="25" t="n">
        <v>309</v>
      </c>
      <c r="B310" s="25" t="s">
        <v>2599</v>
      </c>
      <c r="C310" s="25" t="s">
        <v>241</v>
      </c>
      <c r="D310" s="25" t="n">
        <v>20250724</v>
      </c>
      <c r="E310" s="25" t="n">
        <v>33</v>
      </c>
      <c r="F310" s="25" t="s">
        <v>2289</v>
      </c>
      <c r="G310" s="25" t="s">
        <v>243</v>
      </c>
      <c r="H310" s="25" t="n">
        <v>109114.18</v>
      </c>
      <c r="I310" s="27" t="b">
        <f aca="false">FALSE()</f>
        <v>0</v>
      </c>
    </row>
    <row r="311" customFormat="false" ht="15" hidden="false" customHeight="false" outlineLevel="0" collapsed="false">
      <c r="A311" s="25" t="n">
        <v>310</v>
      </c>
      <c r="B311" s="25" t="s">
        <v>2600</v>
      </c>
      <c r="C311" s="25" t="s">
        <v>521</v>
      </c>
      <c r="D311" s="25" t="n">
        <v>-1</v>
      </c>
      <c r="E311" s="25" t="n">
        <v>34</v>
      </c>
      <c r="F311" s="25" t="s">
        <v>2305</v>
      </c>
      <c r="G311" s="25" t="s">
        <v>243</v>
      </c>
      <c r="H311" s="25" t="n">
        <v>65761.25</v>
      </c>
      <c r="I311" s="27" t="b">
        <f aca="false">FALSE()</f>
        <v>0</v>
      </c>
    </row>
    <row r="312" customFormat="false" ht="15" hidden="false" customHeight="false" outlineLevel="0" collapsed="false">
      <c r="A312" s="25" t="n">
        <v>311</v>
      </c>
      <c r="B312" s="25" t="s">
        <v>2601</v>
      </c>
      <c r="C312" s="25" t="s">
        <v>567</v>
      </c>
      <c r="D312" s="25" t="n">
        <v>20250802</v>
      </c>
      <c r="E312" s="25" t="n">
        <v>1</v>
      </c>
      <c r="F312" s="25" t="s">
        <v>2287</v>
      </c>
      <c r="G312" s="25" t="s">
        <v>250</v>
      </c>
      <c r="H312" s="25" t="n">
        <v>66827.26</v>
      </c>
      <c r="I312" s="27" t="b">
        <f aca="false">FALSE()</f>
        <v>0</v>
      </c>
    </row>
    <row r="313" customFormat="false" ht="15" hidden="false" customHeight="false" outlineLevel="0" collapsed="false">
      <c r="A313" s="25" t="n">
        <v>312</v>
      </c>
      <c r="B313" s="25" t="s">
        <v>2602</v>
      </c>
      <c r="C313" s="25" t="s">
        <v>280</v>
      </c>
      <c r="D313" s="25" t="n">
        <v>20240113</v>
      </c>
      <c r="E313" s="25" t="n">
        <v>142</v>
      </c>
      <c r="F313" s="25" t="s">
        <v>2289</v>
      </c>
      <c r="G313" s="25" t="s">
        <v>243</v>
      </c>
      <c r="H313" s="25" t="n">
        <v>98196.55</v>
      </c>
      <c r="I313" s="27" t="b">
        <f aca="false">FALSE()</f>
        <v>0</v>
      </c>
    </row>
    <row r="314" customFormat="false" ht="15" hidden="false" customHeight="false" outlineLevel="0" collapsed="false">
      <c r="A314" s="25" t="n">
        <v>313</v>
      </c>
      <c r="B314" s="25" t="s">
        <v>2603</v>
      </c>
      <c r="C314" s="25" t="s">
        <v>551</v>
      </c>
      <c r="D314" s="25" t="n">
        <v>20250804</v>
      </c>
      <c r="E314" s="25" t="n">
        <v>127</v>
      </c>
      <c r="F314" s="25" t="s">
        <v>2305</v>
      </c>
      <c r="G314" s="25" t="s">
        <v>243</v>
      </c>
      <c r="H314" s="25" t="n">
        <v>159584.58</v>
      </c>
      <c r="I314" s="27" t="b">
        <f aca="false">FALSE()</f>
        <v>0</v>
      </c>
    </row>
    <row r="315" customFormat="false" ht="15" hidden="false" customHeight="false" outlineLevel="0" collapsed="false">
      <c r="A315" s="25" t="n">
        <v>314</v>
      </c>
      <c r="B315" s="25" t="s">
        <v>2604</v>
      </c>
      <c r="C315" s="25" t="s">
        <v>368</v>
      </c>
      <c r="D315" s="25" t="n">
        <v>20251103</v>
      </c>
      <c r="E315" s="25" t="n">
        <v>69</v>
      </c>
      <c r="F315" s="25" t="s">
        <v>2305</v>
      </c>
      <c r="G315" s="25" t="s">
        <v>243</v>
      </c>
      <c r="H315" s="25" t="n">
        <v>113749.58</v>
      </c>
      <c r="I315" s="27" t="b">
        <f aca="false">FALSE()</f>
        <v>0</v>
      </c>
    </row>
    <row r="316" customFormat="false" ht="15" hidden="false" customHeight="false" outlineLevel="0" collapsed="false">
      <c r="A316" s="25" t="n">
        <v>315</v>
      </c>
      <c r="B316" s="25" t="s">
        <v>2605</v>
      </c>
      <c r="C316" s="25" t="s">
        <v>303</v>
      </c>
      <c r="D316" s="25" t="n">
        <v>20240306</v>
      </c>
      <c r="E316" s="25" t="n">
        <v>29</v>
      </c>
      <c r="F316" s="25" t="s">
        <v>2287</v>
      </c>
      <c r="G316" s="25" t="s">
        <v>243</v>
      </c>
      <c r="H316" s="25" t="n">
        <v>70379.66</v>
      </c>
      <c r="I316" s="27" t="b">
        <f aca="false">FALSE()</f>
        <v>0</v>
      </c>
    </row>
    <row r="317" customFormat="false" ht="15" hidden="false" customHeight="false" outlineLevel="0" collapsed="false">
      <c r="A317" s="25" t="n">
        <v>316</v>
      </c>
      <c r="B317" s="25" t="s">
        <v>2606</v>
      </c>
      <c r="C317" s="25" t="s">
        <v>583</v>
      </c>
      <c r="D317" s="25" t="n">
        <v>20241209</v>
      </c>
      <c r="E317" s="25" t="n">
        <v>-1</v>
      </c>
      <c r="F317" s="25" t="s">
        <v>2289</v>
      </c>
      <c r="G317" s="25" t="s">
        <v>243</v>
      </c>
      <c r="H317" s="25" t="n">
        <v>70145.67</v>
      </c>
      <c r="I317" s="27" t="b">
        <f aca="false">TRUE()</f>
        <v>1</v>
      </c>
    </row>
    <row r="318" customFormat="false" ht="15" hidden="false" customHeight="false" outlineLevel="0" collapsed="false">
      <c r="A318" s="25" t="n">
        <v>317</v>
      </c>
      <c r="B318" s="25" t="s">
        <v>2607</v>
      </c>
      <c r="C318" s="25" t="s">
        <v>495</v>
      </c>
      <c r="D318" s="25" t="n">
        <v>20251016</v>
      </c>
      <c r="E318" s="25" t="n">
        <v>58</v>
      </c>
      <c r="F318" s="25" t="s">
        <v>2287</v>
      </c>
      <c r="G318" s="25" t="s">
        <v>243</v>
      </c>
      <c r="H318" s="25" t="n">
        <v>46925.5</v>
      </c>
      <c r="I318" s="27" t="b">
        <f aca="false">FALSE()</f>
        <v>0</v>
      </c>
    </row>
    <row r="319" customFormat="false" ht="15" hidden="false" customHeight="false" outlineLevel="0" collapsed="false">
      <c r="A319" s="25" t="n">
        <v>318</v>
      </c>
      <c r="B319" s="25" t="s">
        <v>2608</v>
      </c>
      <c r="C319" s="25" t="s">
        <v>468</v>
      </c>
      <c r="D319" s="25" t="n">
        <v>20240307</v>
      </c>
      <c r="E319" s="25" t="n">
        <v>44</v>
      </c>
      <c r="F319" s="25" t="s">
        <v>2305</v>
      </c>
      <c r="G319" s="25" t="s">
        <v>243</v>
      </c>
      <c r="H319" s="25" t="n">
        <v>50391.46</v>
      </c>
      <c r="I319" s="27" t="b">
        <f aca="false">FALSE()</f>
        <v>0</v>
      </c>
    </row>
    <row r="320" customFormat="false" ht="15" hidden="false" customHeight="false" outlineLevel="0" collapsed="false">
      <c r="A320" s="25" t="n">
        <v>319</v>
      </c>
      <c r="B320" s="25" t="s">
        <v>2609</v>
      </c>
      <c r="C320" s="25" t="s">
        <v>314</v>
      </c>
      <c r="D320" s="25" t="n">
        <v>20240730</v>
      </c>
      <c r="E320" s="25" t="n">
        <v>158</v>
      </c>
      <c r="F320" s="25" t="s">
        <v>2305</v>
      </c>
      <c r="G320" s="25" t="s">
        <v>266</v>
      </c>
      <c r="H320" s="25" t="n">
        <v>119015.93</v>
      </c>
      <c r="I320" s="27" t="b">
        <f aca="false">FALSE()</f>
        <v>0</v>
      </c>
    </row>
    <row r="321" customFormat="false" ht="15" hidden="false" customHeight="false" outlineLevel="0" collapsed="false">
      <c r="A321" s="25" t="n">
        <v>320</v>
      </c>
      <c r="B321" s="25" t="s">
        <v>2610</v>
      </c>
      <c r="C321" s="25" t="s">
        <v>355</v>
      </c>
      <c r="D321" s="25" t="n">
        <v>20250308</v>
      </c>
      <c r="E321" s="25" t="n">
        <v>46</v>
      </c>
      <c r="F321" s="25" t="s">
        <v>2305</v>
      </c>
      <c r="G321" s="25" t="s">
        <v>266</v>
      </c>
      <c r="H321" s="25" t="n">
        <v>130641.1</v>
      </c>
      <c r="I321" s="27" t="b">
        <f aca="false">FALSE()</f>
        <v>0</v>
      </c>
    </row>
    <row r="322" customFormat="false" ht="15" hidden="false" customHeight="false" outlineLevel="0" collapsed="false">
      <c r="A322" s="25" t="n">
        <v>321</v>
      </c>
      <c r="B322" s="25" t="s">
        <v>2611</v>
      </c>
      <c r="C322" s="25" t="s">
        <v>326</v>
      </c>
      <c r="D322" s="25" t="n">
        <v>20241222</v>
      </c>
      <c r="E322" s="25" t="n">
        <v>-1</v>
      </c>
      <c r="F322" s="25" t="s">
        <v>2305</v>
      </c>
      <c r="G322" s="25" t="s">
        <v>250</v>
      </c>
      <c r="H322" s="25" t="n">
        <v>5968.29</v>
      </c>
      <c r="I322" s="27" t="b">
        <f aca="false">FALSE()</f>
        <v>0</v>
      </c>
    </row>
    <row r="323" customFormat="false" ht="15" hidden="false" customHeight="false" outlineLevel="0" collapsed="false">
      <c r="A323" s="25" t="n">
        <v>322</v>
      </c>
      <c r="B323" s="25" t="s">
        <v>2612</v>
      </c>
      <c r="C323" s="25" t="s">
        <v>411</v>
      </c>
      <c r="D323" s="25" t="n">
        <v>20240405</v>
      </c>
      <c r="E323" s="25" t="n">
        <v>109</v>
      </c>
      <c r="F323" s="25" t="s">
        <v>2305</v>
      </c>
      <c r="G323" s="25" t="s">
        <v>250</v>
      </c>
      <c r="H323" s="25" t="n">
        <v>71707.56</v>
      </c>
      <c r="I323" s="27" t="b">
        <f aca="false">FALSE()</f>
        <v>0</v>
      </c>
    </row>
    <row r="324" customFormat="false" ht="15" hidden="false" customHeight="false" outlineLevel="0" collapsed="false">
      <c r="A324" s="25" t="n">
        <v>323</v>
      </c>
      <c r="B324" s="25" t="s">
        <v>2613</v>
      </c>
      <c r="C324" s="25" t="s">
        <v>555</v>
      </c>
      <c r="D324" s="25" t="n">
        <v>20241201</v>
      </c>
      <c r="E324" s="25" t="n">
        <v>111</v>
      </c>
      <c r="F324" s="25" t="s">
        <v>2305</v>
      </c>
      <c r="G324" s="25" t="s">
        <v>250</v>
      </c>
      <c r="H324" s="25" t="n">
        <v>44738.62</v>
      </c>
      <c r="I324" s="27" t="b">
        <f aca="false">FALSE()</f>
        <v>0</v>
      </c>
    </row>
    <row r="325" customFormat="false" ht="15" hidden="false" customHeight="false" outlineLevel="0" collapsed="false">
      <c r="A325" s="25" t="n">
        <v>324</v>
      </c>
      <c r="B325" s="25" t="s">
        <v>2614</v>
      </c>
      <c r="C325" s="25" t="s">
        <v>300</v>
      </c>
      <c r="D325" s="25" t="n">
        <v>20241102</v>
      </c>
      <c r="E325" s="25" t="n">
        <v>90</v>
      </c>
      <c r="F325" s="25" t="s">
        <v>2305</v>
      </c>
      <c r="G325" s="25" t="s">
        <v>250</v>
      </c>
      <c r="H325" s="25" t="n">
        <v>111631.11</v>
      </c>
      <c r="I325" s="27" t="b">
        <f aca="false">FALSE()</f>
        <v>0</v>
      </c>
    </row>
    <row r="326" customFormat="false" ht="15" hidden="false" customHeight="false" outlineLevel="0" collapsed="false">
      <c r="A326" s="25" t="n">
        <v>325</v>
      </c>
      <c r="B326" s="25" t="s">
        <v>2615</v>
      </c>
      <c r="C326" s="25" t="s">
        <v>511</v>
      </c>
      <c r="D326" s="25" t="n">
        <v>20250912</v>
      </c>
      <c r="E326" s="25" t="n">
        <v>136</v>
      </c>
      <c r="F326" s="25" t="s">
        <v>2305</v>
      </c>
      <c r="G326" s="25" t="s">
        <v>250</v>
      </c>
      <c r="H326" s="25" t="n">
        <v>32603.74</v>
      </c>
      <c r="I326" s="27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30" hidden="false" customHeight="true" outlineLevel="0" collapsed="false">
      <c r="A1" s="10" t="s">
        <v>2616</v>
      </c>
      <c r="B1" s="10" t="s">
        <v>2617</v>
      </c>
      <c r="C1" s="10" t="s">
        <v>2252</v>
      </c>
      <c r="D1" s="10" t="s">
        <v>2618</v>
      </c>
      <c r="E1" s="10" t="s">
        <v>2619</v>
      </c>
      <c r="F1" s="10" t="s">
        <v>2620</v>
      </c>
      <c r="G1" s="10" t="s">
        <v>2621</v>
      </c>
      <c r="H1" s="10" t="s">
        <v>2622</v>
      </c>
    </row>
    <row r="2" customFormat="false" ht="15" hidden="false" customHeight="false" outlineLevel="0" collapsed="false">
      <c r="A2" s="25" t="n">
        <v>1</v>
      </c>
      <c r="B2" s="25" t="s">
        <v>2623</v>
      </c>
      <c r="C2" s="25" t="n">
        <v>677</v>
      </c>
      <c r="D2" s="25" t="n">
        <v>20240115</v>
      </c>
      <c r="E2" s="25" t="s">
        <v>2624</v>
      </c>
      <c r="F2" s="25" t="s">
        <v>2625</v>
      </c>
      <c r="G2" s="25" t="n">
        <v>3268.11</v>
      </c>
      <c r="H2" s="27" t="b">
        <f aca="false">TRUE()</f>
        <v>1</v>
      </c>
    </row>
    <row r="3" customFormat="false" ht="15" hidden="false" customHeight="false" outlineLevel="0" collapsed="false">
      <c r="A3" s="25" t="n">
        <v>2</v>
      </c>
      <c r="B3" s="25" t="s">
        <v>2626</v>
      </c>
      <c r="C3" s="25" t="n">
        <v>525</v>
      </c>
      <c r="D3" s="25" t="n">
        <v>20240618</v>
      </c>
      <c r="E3" s="25" t="s">
        <v>2624</v>
      </c>
      <c r="F3" s="25" t="s">
        <v>2627</v>
      </c>
      <c r="G3" s="25" t="n">
        <v>18753.51</v>
      </c>
      <c r="H3" s="27" t="b">
        <f aca="false">TRUE()</f>
        <v>1</v>
      </c>
    </row>
    <row r="4" customFormat="false" ht="15" hidden="false" customHeight="false" outlineLevel="0" collapsed="false">
      <c r="A4" s="25" t="n">
        <v>3</v>
      </c>
      <c r="B4" s="25" t="s">
        <v>2628</v>
      </c>
      <c r="C4" s="25" t="n">
        <v>729</v>
      </c>
      <c r="D4" s="25" t="n">
        <v>20241228</v>
      </c>
      <c r="E4" s="25" t="s">
        <v>2624</v>
      </c>
      <c r="F4" s="25" t="s">
        <v>2627</v>
      </c>
      <c r="G4" s="25" t="n">
        <v>40668.25</v>
      </c>
      <c r="H4" s="27" t="b">
        <f aca="false">FALSE()</f>
        <v>0</v>
      </c>
    </row>
    <row r="5" customFormat="false" ht="15" hidden="false" customHeight="false" outlineLevel="0" collapsed="false">
      <c r="A5" s="25" t="n">
        <v>4</v>
      </c>
      <c r="B5" s="25" t="s">
        <v>2629</v>
      </c>
      <c r="C5" s="25" t="n">
        <v>404</v>
      </c>
      <c r="D5" s="25" t="n">
        <v>20240816</v>
      </c>
      <c r="E5" s="25" t="s">
        <v>2630</v>
      </c>
      <c r="F5" s="25" t="s">
        <v>250</v>
      </c>
      <c r="G5" s="25" t="n">
        <v>47839.34</v>
      </c>
      <c r="H5" s="27" t="b">
        <f aca="false">TRUE()</f>
        <v>1</v>
      </c>
    </row>
    <row r="6" customFormat="false" ht="15" hidden="false" customHeight="false" outlineLevel="0" collapsed="false">
      <c r="A6" s="25" t="n">
        <v>5</v>
      </c>
      <c r="B6" s="25" t="s">
        <v>2631</v>
      </c>
      <c r="C6" s="25" t="n">
        <v>291</v>
      </c>
      <c r="D6" s="25" t="n">
        <v>20240926</v>
      </c>
      <c r="E6" s="25" t="s">
        <v>2632</v>
      </c>
      <c r="F6" s="25" t="s">
        <v>2625</v>
      </c>
      <c r="G6" s="25"/>
      <c r="H6" s="27" t="b">
        <f aca="false">TRUE()</f>
        <v>1</v>
      </c>
    </row>
    <row r="7" customFormat="false" ht="15" hidden="false" customHeight="false" outlineLevel="0" collapsed="false">
      <c r="A7" s="25" t="n">
        <v>6</v>
      </c>
      <c r="B7" s="25" t="s">
        <v>2633</v>
      </c>
      <c r="C7" s="25" t="n">
        <v>288</v>
      </c>
      <c r="D7" s="25" t="n">
        <v>20230101</v>
      </c>
      <c r="E7" s="25" t="s">
        <v>2624</v>
      </c>
      <c r="F7" s="25" t="s">
        <v>2627</v>
      </c>
      <c r="G7" s="25" t="n">
        <v>75816.05</v>
      </c>
      <c r="H7" s="27" t="b">
        <f aca="false">TRUE()</f>
        <v>1</v>
      </c>
    </row>
    <row r="8" customFormat="false" ht="15" hidden="false" customHeight="false" outlineLevel="0" collapsed="false">
      <c r="A8" s="25" t="n">
        <v>7</v>
      </c>
      <c r="B8" s="25" t="s">
        <v>2634</v>
      </c>
      <c r="C8" s="25" t="n">
        <v>643</v>
      </c>
      <c r="D8" s="25" t="n">
        <v>20240825</v>
      </c>
      <c r="E8" s="25" t="s">
        <v>2630</v>
      </c>
      <c r="F8" s="25" t="s">
        <v>2627</v>
      </c>
      <c r="G8" s="25" t="n">
        <v>20423.44</v>
      </c>
      <c r="H8" s="27" t="b">
        <f aca="false">TRUE()</f>
        <v>1</v>
      </c>
    </row>
    <row r="9" customFormat="false" ht="15" hidden="false" customHeight="false" outlineLevel="0" collapsed="false">
      <c r="A9" s="25" t="n">
        <v>8</v>
      </c>
      <c r="B9" s="25" t="s">
        <v>2635</v>
      </c>
      <c r="C9" s="25" t="n">
        <v>138</v>
      </c>
      <c r="D9" s="25" t="n">
        <v>20240828</v>
      </c>
      <c r="E9" s="25" t="s">
        <v>2624</v>
      </c>
      <c r="F9" s="25" t="s">
        <v>2625</v>
      </c>
      <c r="G9" s="25" t="n">
        <v>110787.58</v>
      </c>
      <c r="H9" s="27" t="b">
        <f aca="false">FALSE()</f>
        <v>0</v>
      </c>
    </row>
    <row r="10" customFormat="false" ht="15" hidden="false" customHeight="false" outlineLevel="0" collapsed="false">
      <c r="A10" s="25" t="n">
        <v>9</v>
      </c>
      <c r="B10" s="25" t="s">
        <v>2636</v>
      </c>
      <c r="C10" s="25" t="n">
        <v>150</v>
      </c>
      <c r="D10" s="25" t="n">
        <v>20250303</v>
      </c>
      <c r="E10" s="25" t="s">
        <v>2637</v>
      </c>
      <c r="F10" s="25" t="s">
        <v>2627</v>
      </c>
      <c r="G10" s="25" t="n">
        <v>17236.27</v>
      </c>
      <c r="H10" s="27" t="b">
        <f aca="false">TRUE()</f>
        <v>1</v>
      </c>
    </row>
    <row r="11" customFormat="false" ht="15" hidden="false" customHeight="false" outlineLevel="0" collapsed="false">
      <c r="A11" s="25" t="n">
        <v>10</v>
      </c>
      <c r="B11" s="25" t="s">
        <v>2638</v>
      </c>
      <c r="C11" s="25" t="n">
        <v>657</v>
      </c>
      <c r="D11" s="25" t="n">
        <v>20251031</v>
      </c>
      <c r="E11" s="25" t="s">
        <v>2630</v>
      </c>
      <c r="F11" s="25" t="s">
        <v>2625</v>
      </c>
      <c r="G11" s="25" t="n">
        <v>19412.51</v>
      </c>
      <c r="H11" s="27" t="b">
        <f aca="false">FALSE()</f>
        <v>0</v>
      </c>
    </row>
    <row r="12" customFormat="false" ht="15" hidden="false" customHeight="false" outlineLevel="0" collapsed="false">
      <c r="A12" s="25" t="n">
        <v>11</v>
      </c>
      <c r="B12" s="25" t="s">
        <v>2639</v>
      </c>
      <c r="C12" s="25" t="n">
        <v>689</v>
      </c>
      <c r="D12" s="25" t="n">
        <v>20241208</v>
      </c>
      <c r="E12" s="25" t="s">
        <v>2632</v>
      </c>
      <c r="F12" s="25" t="s">
        <v>2625</v>
      </c>
      <c r="G12" s="25" t="n">
        <v>5659.73</v>
      </c>
      <c r="H12" s="27" t="b">
        <f aca="false">FALSE()</f>
        <v>0</v>
      </c>
    </row>
    <row r="13" customFormat="false" ht="15" hidden="false" customHeight="false" outlineLevel="0" collapsed="false">
      <c r="A13" s="25" t="n">
        <v>12</v>
      </c>
      <c r="B13" s="25" t="s">
        <v>2640</v>
      </c>
      <c r="C13" s="25" t="n">
        <v>82</v>
      </c>
      <c r="D13" s="25" t="n">
        <v>20230101</v>
      </c>
      <c r="E13" s="25" t="s">
        <v>2624</v>
      </c>
      <c r="F13" s="25" t="s">
        <v>2627</v>
      </c>
      <c r="G13" s="25" t="n">
        <v>62797.05</v>
      </c>
      <c r="H13" s="27" t="b">
        <f aca="false">TRUE()</f>
        <v>1</v>
      </c>
    </row>
    <row r="14" customFormat="false" ht="15" hidden="false" customHeight="false" outlineLevel="0" collapsed="false">
      <c r="A14" s="25" t="n">
        <v>13</v>
      </c>
      <c r="B14" s="25" t="s">
        <v>2641</v>
      </c>
      <c r="C14" s="25" t="n">
        <v>479</v>
      </c>
      <c r="D14" s="25" t="n">
        <v>20250304</v>
      </c>
      <c r="E14" s="25" t="s">
        <v>2624</v>
      </c>
      <c r="F14" s="25" t="s">
        <v>250</v>
      </c>
      <c r="G14" s="25" t="n">
        <v>40241.54</v>
      </c>
      <c r="H14" s="27" t="b">
        <f aca="false">FALSE()</f>
        <v>0</v>
      </c>
    </row>
    <row r="15" customFormat="false" ht="15" hidden="false" customHeight="false" outlineLevel="0" collapsed="false">
      <c r="A15" s="25" t="n">
        <v>14</v>
      </c>
      <c r="B15" s="25" t="s">
        <v>2642</v>
      </c>
      <c r="C15" s="25" t="n">
        <v>178</v>
      </c>
      <c r="D15" s="25" t="n">
        <v>20250824</v>
      </c>
      <c r="E15" s="25" t="s">
        <v>2632</v>
      </c>
      <c r="F15" s="25" t="s">
        <v>2625</v>
      </c>
      <c r="G15" s="25" t="n">
        <v>81985.66</v>
      </c>
      <c r="H15" s="27" t="b">
        <f aca="false">TRUE()</f>
        <v>1</v>
      </c>
    </row>
    <row r="16" customFormat="false" ht="15" hidden="false" customHeight="false" outlineLevel="0" collapsed="false">
      <c r="A16" s="25" t="n">
        <v>15</v>
      </c>
      <c r="B16" s="25" t="s">
        <v>2643</v>
      </c>
      <c r="C16" s="25" t="n">
        <v>470</v>
      </c>
      <c r="D16" s="25" t="n">
        <v>20250901</v>
      </c>
      <c r="E16" s="25" t="s">
        <v>2644</v>
      </c>
      <c r="F16" s="25" t="s">
        <v>2627</v>
      </c>
      <c r="G16" s="25" t="n">
        <v>59773.61</v>
      </c>
      <c r="H16" s="27" t="b">
        <f aca="false">FALSE()</f>
        <v>0</v>
      </c>
    </row>
    <row r="17" customFormat="false" ht="15" hidden="false" customHeight="false" outlineLevel="0" collapsed="false">
      <c r="A17" s="25" t="n">
        <v>16</v>
      </c>
      <c r="B17" s="25" t="s">
        <v>2645</v>
      </c>
      <c r="C17" s="25" t="n">
        <v>611</v>
      </c>
      <c r="D17" s="25" t="n">
        <v>20250711</v>
      </c>
      <c r="E17" s="25" t="s">
        <v>2632</v>
      </c>
      <c r="F17" s="25" t="s">
        <v>2627</v>
      </c>
      <c r="G17" s="25" t="n">
        <v>62001.57</v>
      </c>
      <c r="H17" s="27" t="b">
        <f aca="false">FALSE()</f>
        <v>0</v>
      </c>
    </row>
    <row r="18" customFormat="false" ht="15" hidden="false" customHeight="false" outlineLevel="0" collapsed="false">
      <c r="A18" s="25" t="n">
        <v>17</v>
      </c>
      <c r="B18" s="25" t="s">
        <v>2646</v>
      </c>
      <c r="C18" s="25" t="n">
        <v>505</v>
      </c>
      <c r="D18" s="25" t="n">
        <v>20240121</v>
      </c>
      <c r="E18" s="25" t="s">
        <v>2630</v>
      </c>
      <c r="F18" s="25" t="s">
        <v>2627</v>
      </c>
      <c r="G18" s="25" t="n">
        <v>18739.92</v>
      </c>
      <c r="H18" s="27" t="b">
        <f aca="false">TRUE()</f>
        <v>1</v>
      </c>
    </row>
    <row r="19" customFormat="false" ht="15" hidden="false" customHeight="false" outlineLevel="0" collapsed="false">
      <c r="A19" s="25" t="n">
        <v>18</v>
      </c>
      <c r="B19" s="25" t="s">
        <v>2647</v>
      </c>
      <c r="C19" s="25" t="n">
        <v>290</v>
      </c>
      <c r="D19" s="25" t="n">
        <v>20250114</v>
      </c>
      <c r="E19" s="25" t="s">
        <v>2624</v>
      </c>
      <c r="F19" s="25" t="s">
        <v>250</v>
      </c>
      <c r="G19" s="25"/>
      <c r="H19" s="27" t="b">
        <f aca="false">TRUE()</f>
        <v>1</v>
      </c>
    </row>
    <row r="20" customFormat="false" ht="15" hidden="false" customHeight="false" outlineLevel="0" collapsed="false">
      <c r="A20" s="25" t="n">
        <v>19</v>
      </c>
      <c r="B20" s="25" t="s">
        <v>2648</v>
      </c>
      <c r="C20" s="25" t="n">
        <v>18</v>
      </c>
      <c r="D20" s="25" t="n">
        <v>20241007</v>
      </c>
      <c r="E20" s="25" t="s">
        <v>2630</v>
      </c>
      <c r="F20" s="25" t="s">
        <v>2625</v>
      </c>
      <c r="G20" s="25" t="n">
        <v>26892.27</v>
      </c>
      <c r="H20" s="27" t="b">
        <f aca="false">TRUE()</f>
        <v>1</v>
      </c>
    </row>
    <row r="21" customFormat="false" ht="15" hidden="false" customHeight="false" outlineLevel="0" collapsed="false">
      <c r="A21" s="25" t="n">
        <v>20</v>
      </c>
      <c r="B21" s="25" t="s">
        <v>2649</v>
      </c>
      <c r="C21" s="25" t="n">
        <v>608</v>
      </c>
      <c r="D21" s="25" t="n">
        <v>20230101</v>
      </c>
      <c r="E21" s="25" t="s">
        <v>2644</v>
      </c>
      <c r="F21" s="25" t="s">
        <v>2627</v>
      </c>
      <c r="G21" s="25" t="n">
        <v>23398.87</v>
      </c>
      <c r="H21" s="27" t="b">
        <f aca="false">TRUE()</f>
        <v>1</v>
      </c>
    </row>
    <row r="22" customFormat="false" ht="15" hidden="false" customHeight="false" outlineLevel="0" collapsed="false">
      <c r="A22" s="25" t="n">
        <v>21</v>
      </c>
      <c r="B22" s="25" t="s">
        <v>2650</v>
      </c>
      <c r="C22" s="25" t="n">
        <v>145</v>
      </c>
      <c r="D22" s="25" t="n">
        <v>20230101</v>
      </c>
      <c r="E22" s="25" t="s">
        <v>2632</v>
      </c>
      <c r="F22" s="25" t="s">
        <v>2625</v>
      </c>
      <c r="G22" s="25" t="n">
        <v>63852.01</v>
      </c>
      <c r="H22" s="27" t="b">
        <f aca="false">TRUE()</f>
        <v>1</v>
      </c>
    </row>
    <row r="23" customFormat="false" ht="15" hidden="false" customHeight="false" outlineLevel="0" collapsed="false">
      <c r="A23" s="25" t="n">
        <v>22</v>
      </c>
      <c r="B23" s="25" t="s">
        <v>2651</v>
      </c>
      <c r="C23" s="25" t="n">
        <v>152</v>
      </c>
      <c r="D23" s="25" t="n">
        <v>20240103</v>
      </c>
      <c r="E23" s="25" t="s">
        <v>2632</v>
      </c>
      <c r="F23" s="25" t="s">
        <v>2625</v>
      </c>
      <c r="G23" s="25" t="n">
        <v>48644.66</v>
      </c>
      <c r="H23" s="27" t="b">
        <f aca="false">TRUE()</f>
        <v>1</v>
      </c>
    </row>
    <row r="24" customFormat="false" ht="15" hidden="false" customHeight="false" outlineLevel="0" collapsed="false">
      <c r="A24" s="25" t="n">
        <v>23</v>
      </c>
      <c r="B24" s="25" t="s">
        <v>2652</v>
      </c>
      <c r="C24" s="25" t="n">
        <v>382</v>
      </c>
      <c r="D24" s="25" t="n">
        <v>20240918</v>
      </c>
      <c r="E24" s="25" t="s">
        <v>2624</v>
      </c>
      <c r="F24" s="25" t="s">
        <v>2627</v>
      </c>
      <c r="G24" s="25" t="n">
        <v>86054.34</v>
      </c>
      <c r="H24" s="27" t="b">
        <f aca="false">FALSE()</f>
        <v>0</v>
      </c>
    </row>
    <row r="25" customFormat="false" ht="15" hidden="false" customHeight="false" outlineLevel="0" collapsed="false">
      <c r="A25" s="25" t="n">
        <v>24</v>
      </c>
      <c r="B25" s="25" t="s">
        <v>2653</v>
      </c>
      <c r="C25" s="25" t="n">
        <v>292</v>
      </c>
      <c r="D25" s="25" t="n">
        <v>20251019</v>
      </c>
      <c r="E25" s="25" t="s">
        <v>2632</v>
      </c>
      <c r="F25" s="25" t="s">
        <v>2627</v>
      </c>
      <c r="G25" s="25" t="n">
        <v>60115.27</v>
      </c>
      <c r="H25" s="27" t="b">
        <f aca="false">FALSE()</f>
        <v>0</v>
      </c>
    </row>
    <row r="26" customFormat="false" ht="15" hidden="false" customHeight="false" outlineLevel="0" collapsed="false">
      <c r="A26" s="25" t="n">
        <v>25</v>
      </c>
      <c r="B26" s="25" t="s">
        <v>2654</v>
      </c>
      <c r="C26" s="25" t="n">
        <v>634</v>
      </c>
      <c r="D26" s="25" t="n">
        <v>20250222</v>
      </c>
      <c r="E26" s="25" t="s">
        <v>2632</v>
      </c>
      <c r="F26" s="25" t="s">
        <v>250</v>
      </c>
      <c r="G26" s="25" t="n">
        <v>20843.86</v>
      </c>
      <c r="H26" s="27" t="b">
        <f aca="false">TRUE()</f>
        <v>1</v>
      </c>
    </row>
    <row r="27" customFormat="false" ht="15" hidden="false" customHeight="false" outlineLevel="0" collapsed="false">
      <c r="A27" s="25" t="n">
        <v>26</v>
      </c>
      <c r="B27" s="25" t="s">
        <v>2655</v>
      </c>
      <c r="C27" s="25" t="n">
        <v>712</v>
      </c>
      <c r="D27" s="25" t="n">
        <v>20250303</v>
      </c>
      <c r="E27" s="25" t="s">
        <v>2630</v>
      </c>
      <c r="F27" s="25" t="s">
        <v>250</v>
      </c>
      <c r="G27" s="25" t="n">
        <v>20262.14</v>
      </c>
      <c r="H27" s="27" t="b">
        <f aca="false">FALSE()</f>
        <v>0</v>
      </c>
    </row>
    <row r="28" customFormat="false" ht="15" hidden="false" customHeight="false" outlineLevel="0" collapsed="false">
      <c r="A28" s="25" t="n">
        <v>27</v>
      </c>
      <c r="B28" s="25" t="s">
        <v>2656</v>
      </c>
      <c r="C28" s="25" t="n">
        <v>2</v>
      </c>
      <c r="D28" s="25" t="n">
        <v>20240604</v>
      </c>
      <c r="E28" s="25" t="s">
        <v>2624</v>
      </c>
      <c r="F28" s="25" t="s">
        <v>2627</v>
      </c>
      <c r="G28" s="25" t="n">
        <v>41619.4</v>
      </c>
      <c r="H28" s="27" t="b">
        <f aca="false">FALSE()</f>
        <v>0</v>
      </c>
    </row>
    <row r="29" customFormat="false" ht="15" hidden="false" customHeight="false" outlineLevel="0" collapsed="false">
      <c r="A29" s="25" t="n">
        <v>28</v>
      </c>
      <c r="B29" s="25" t="s">
        <v>2657</v>
      </c>
      <c r="C29" s="25" t="n">
        <v>556</v>
      </c>
      <c r="D29" s="25" t="n">
        <v>20240613</v>
      </c>
      <c r="E29" s="25" t="s">
        <v>2624</v>
      </c>
      <c r="F29" s="25" t="s">
        <v>2627</v>
      </c>
      <c r="G29" s="25" t="n">
        <v>3762.23</v>
      </c>
      <c r="H29" s="27" t="b">
        <f aca="false">FALSE()</f>
        <v>0</v>
      </c>
    </row>
    <row r="30" customFormat="false" ht="15" hidden="false" customHeight="false" outlineLevel="0" collapsed="false">
      <c r="A30" s="25" t="n">
        <v>29</v>
      </c>
      <c r="B30" s="25" t="s">
        <v>2658</v>
      </c>
      <c r="C30" s="25" t="n">
        <v>467</v>
      </c>
      <c r="D30" s="25" t="n">
        <v>20240414</v>
      </c>
      <c r="E30" s="25" t="s">
        <v>2630</v>
      </c>
      <c r="F30" s="25" t="s">
        <v>2625</v>
      </c>
      <c r="G30" s="25" t="n">
        <v>14407.22</v>
      </c>
      <c r="H30" s="27" t="b">
        <f aca="false">TRUE()</f>
        <v>1</v>
      </c>
    </row>
    <row r="31" customFormat="false" ht="15" hidden="false" customHeight="false" outlineLevel="0" collapsed="false">
      <c r="A31" s="25" t="n">
        <v>30</v>
      </c>
      <c r="B31" s="25" t="s">
        <v>2659</v>
      </c>
      <c r="C31" s="25" t="n">
        <v>167</v>
      </c>
      <c r="D31" s="25" t="n">
        <v>20251025</v>
      </c>
      <c r="E31" s="25" t="s">
        <v>2624</v>
      </c>
      <c r="F31" s="25" t="s">
        <v>2627</v>
      </c>
      <c r="G31" s="25" t="n">
        <v>41664.34</v>
      </c>
      <c r="H31" s="27" t="b">
        <f aca="false">FALSE()</f>
        <v>0</v>
      </c>
    </row>
    <row r="32" customFormat="false" ht="15" hidden="false" customHeight="false" outlineLevel="0" collapsed="false">
      <c r="A32" s="25" t="n">
        <v>31</v>
      </c>
      <c r="B32" s="25" t="s">
        <v>2660</v>
      </c>
      <c r="C32" s="25" t="n">
        <v>52</v>
      </c>
      <c r="D32" s="25" t="n">
        <v>20250914</v>
      </c>
      <c r="E32" s="25" t="s">
        <v>2644</v>
      </c>
      <c r="F32" s="25" t="s">
        <v>2625</v>
      </c>
      <c r="G32" s="25" t="n">
        <v>43021.01</v>
      </c>
      <c r="H32" s="27" t="b">
        <f aca="false">FALSE()</f>
        <v>0</v>
      </c>
    </row>
    <row r="33" customFormat="false" ht="15" hidden="false" customHeight="false" outlineLevel="0" collapsed="false">
      <c r="A33" s="25" t="n">
        <v>32</v>
      </c>
      <c r="B33" s="25" t="s">
        <v>2661</v>
      </c>
      <c r="C33" s="25" t="n">
        <v>444</v>
      </c>
      <c r="D33" s="25" t="n">
        <v>20250501</v>
      </c>
      <c r="E33" s="25" t="s">
        <v>2624</v>
      </c>
      <c r="F33" s="25" t="s">
        <v>250</v>
      </c>
      <c r="G33" s="25" t="n">
        <v>20370.24</v>
      </c>
      <c r="H33" s="27" t="b">
        <f aca="false">TRUE()</f>
        <v>1</v>
      </c>
    </row>
    <row r="34" customFormat="false" ht="15" hidden="false" customHeight="false" outlineLevel="0" collapsed="false">
      <c r="A34" s="25" t="n">
        <v>33</v>
      </c>
      <c r="B34" s="25" t="s">
        <v>2662</v>
      </c>
      <c r="C34" s="25" t="n">
        <v>256</v>
      </c>
      <c r="D34" s="25" t="n">
        <v>20240521</v>
      </c>
      <c r="E34" s="25" t="s">
        <v>2624</v>
      </c>
      <c r="F34" s="25" t="s">
        <v>2627</v>
      </c>
      <c r="G34" s="25" t="n">
        <v>18739.4</v>
      </c>
      <c r="H34" s="27" t="b">
        <f aca="false">TRUE()</f>
        <v>1</v>
      </c>
    </row>
    <row r="35" customFormat="false" ht="15" hidden="false" customHeight="false" outlineLevel="0" collapsed="false">
      <c r="A35" s="25" t="n">
        <v>34</v>
      </c>
      <c r="B35" s="25" t="s">
        <v>2663</v>
      </c>
      <c r="C35" s="25" t="n">
        <v>691</v>
      </c>
      <c r="D35" s="25" t="n">
        <v>20240404</v>
      </c>
      <c r="E35" s="25" t="s">
        <v>2644</v>
      </c>
      <c r="F35" s="25" t="s">
        <v>2627</v>
      </c>
      <c r="G35" s="25" t="n">
        <v>20754.81</v>
      </c>
      <c r="H35" s="27" t="b">
        <f aca="false">TRUE()</f>
        <v>1</v>
      </c>
    </row>
    <row r="36" customFormat="false" ht="15" hidden="false" customHeight="false" outlineLevel="0" collapsed="false">
      <c r="A36" s="25" t="n">
        <v>35</v>
      </c>
      <c r="B36" s="25" t="s">
        <v>2664</v>
      </c>
      <c r="C36" s="25" t="n">
        <v>740</v>
      </c>
      <c r="D36" s="25" t="n">
        <v>20250501</v>
      </c>
      <c r="E36" s="25" t="s">
        <v>2630</v>
      </c>
      <c r="F36" s="25" t="s">
        <v>250</v>
      </c>
      <c r="G36" s="25" t="n">
        <v>34020.93</v>
      </c>
      <c r="H36" s="27" t="b">
        <f aca="false">FALSE()</f>
        <v>0</v>
      </c>
    </row>
    <row r="37" customFormat="false" ht="15" hidden="false" customHeight="false" outlineLevel="0" collapsed="false">
      <c r="A37" s="25" t="n">
        <v>36</v>
      </c>
      <c r="B37" s="25" t="s">
        <v>2665</v>
      </c>
      <c r="C37" s="25" t="n">
        <v>571</v>
      </c>
      <c r="D37" s="25" t="n">
        <v>20250107</v>
      </c>
      <c r="E37" s="25" t="s">
        <v>2630</v>
      </c>
      <c r="F37" s="25" t="s">
        <v>2625</v>
      </c>
      <c r="G37" s="25" t="n">
        <v>8500.09</v>
      </c>
      <c r="H37" s="27" t="b">
        <f aca="false">TRUE()</f>
        <v>1</v>
      </c>
    </row>
    <row r="38" customFormat="false" ht="15" hidden="false" customHeight="false" outlineLevel="0" collapsed="false">
      <c r="A38" s="25" t="n">
        <v>37</v>
      </c>
      <c r="B38" s="25" t="s">
        <v>2666</v>
      </c>
      <c r="C38" s="25" t="n">
        <v>17</v>
      </c>
      <c r="D38" s="25" t="n">
        <v>20250813</v>
      </c>
      <c r="E38" s="25" t="s">
        <v>2632</v>
      </c>
      <c r="F38" s="25" t="s">
        <v>2627</v>
      </c>
      <c r="G38" s="25" t="n">
        <v>108702.96</v>
      </c>
      <c r="H38" s="27" t="b">
        <f aca="false">FALSE()</f>
        <v>0</v>
      </c>
    </row>
    <row r="39" customFormat="false" ht="15" hidden="false" customHeight="false" outlineLevel="0" collapsed="false">
      <c r="A39" s="25" t="n">
        <v>38</v>
      </c>
      <c r="B39" s="25" t="s">
        <v>2667</v>
      </c>
      <c r="C39" s="25" t="n">
        <v>35</v>
      </c>
      <c r="D39" s="25" t="n">
        <v>20240730</v>
      </c>
      <c r="E39" s="25" t="s">
        <v>2630</v>
      </c>
      <c r="F39" s="25" t="s">
        <v>2627</v>
      </c>
      <c r="G39" s="25" t="n">
        <v>34576.69</v>
      </c>
      <c r="H39" s="27" t="b">
        <f aca="false">TRUE()</f>
        <v>1</v>
      </c>
    </row>
    <row r="40" customFormat="false" ht="15" hidden="false" customHeight="false" outlineLevel="0" collapsed="false">
      <c r="A40" s="25" t="n">
        <v>39</v>
      </c>
      <c r="B40" s="25" t="s">
        <v>2668</v>
      </c>
      <c r="C40" s="25" t="n">
        <v>26</v>
      </c>
      <c r="D40" s="25" t="n">
        <v>20250427</v>
      </c>
      <c r="E40" s="25" t="s">
        <v>2632</v>
      </c>
      <c r="F40" s="25" t="s">
        <v>2627</v>
      </c>
      <c r="G40" s="25" t="n">
        <v>10324.63</v>
      </c>
      <c r="H40" s="27" t="b">
        <f aca="false">FALSE()</f>
        <v>0</v>
      </c>
    </row>
    <row r="41" customFormat="false" ht="15" hidden="false" customHeight="false" outlineLevel="0" collapsed="false">
      <c r="A41" s="25" t="n">
        <v>40</v>
      </c>
      <c r="B41" s="25" t="s">
        <v>2669</v>
      </c>
      <c r="C41" s="25" t="n">
        <v>79</v>
      </c>
      <c r="D41" s="25" t="n">
        <v>20241224</v>
      </c>
      <c r="E41" s="25" t="s">
        <v>2632</v>
      </c>
      <c r="F41" s="25" t="s">
        <v>2625</v>
      </c>
      <c r="G41" s="25" t="n">
        <v>39878.02</v>
      </c>
      <c r="H41" s="27" t="b">
        <f aca="false">FALSE()</f>
        <v>0</v>
      </c>
    </row>
    <row r="42" customFormat="false" ht="15" hidden="false" customHeight="false" outlineLevel="0" collapsed="false">
      <c r="A42" s="25" t="n">
        <v>41</v>
      </c>
      <c r="B42" s="25" t="s">
        <v>2670</v>
      </c>
      <c r="C42" s="25" t="n">
        <v>618</v>
      </c>
      <c r="D42" s="25" t="n">
        <v>20240402</v>
      </c>
      <c r="E42" s="25" t="s">
        <v>2630</v>
      </c>
      <c r="F42" s="25" t="s">
        <v>2625</v>
      </c>
      <c r="G42" s="25" t="n">
        <v>25783.29</v>
      </c>
      <c r="H42" s="27" t="b">
        <f aca="false">TRUE()</f>
        <v>1</v>
      </c>
    </row>
    <row r="43" customFormat="false" ht="15" hidden="false" customHeight="false" outlineLevel="0" collapsed="false">
      <c r="A43" s="25" t="n">
        <v>42</v>
      </c>
      <c r="B43" s="25" t="s">
        <v>2671</v>
      </c>
      <c r="C43" s="25" t="n">
        <v>598</v>
      </c>
      <c r="D43" s="25" t="n">
        <v>20251211</v>
      </c>
      <c r="E43" s="25" t="s">
        <v>2632</v>
      </c>
      <c r="F43" s="25" t="s">
        <v>2627</v>
      </c>
      <c r="G43" s="25" t="n">
        <v>6474.73</v>
      </c>
      <c r="H43" s="27" t="b">
        <f aca="false">FALSE()</f>
        <v>0</v>
      </c>
    </row>
    <row r="44" customFormat="false" ht="15" hidden="false" customHeight="false" outlineLevel="0" collapsed="false">
      <c r="A44" s="25" t="n">
        <v>43</v>
      </c>
      <c r="B44" s="25" t="s">
        <v>2672</v>
      </c>
      <c r="C44" s="25" t="n">
        <v>113</v>
      </c>
      <c r="D44" s="25" t="n">
        <v>20251029</v>
      </c>
      <c r="E44" s="25" t="s">
        <v>2630</v>
      </c>
      <c r="F44" s="25" t="s">
        <v>2627</v>
      </c>
      <c r="G44" s="25" t="n">
        <v>74184.94</v>
      </c>
      <c r="H44" s="27" t="b">
        <f aca="false">FALSE()</f>
        <v>0</v>
      </c>
    </row>
    <row r="45" customFormat="false" ht="15" hidden="false" customHeight="false" outlineLevel="0" collapsed="false">
      <c r="A45" s="25" t="n">
        <v>44</v>
      </c>
      <c r="B45" s="25" t="s">
        <v>2673</v>
      </c>
      <c r="C45" s="25" t="n">
        <v>757</v>
      </c>
      <c r="D45" s="25" t="n">
        <v>20240904</v>
      </c>
      <c r="E45" s="25" t="s">
        <v>2644</v>
      </c>
      <c r="F45" s="25" t="s">
        <v>250</v>
      </c>
      <c r="G45" s="25" t="n">
        <v>63225.26</v>
      </c>
      <c r="H45" s="27" t="b">
        <f aca="false">FALSE()</f>
        <v>0</v>
      </c>
    </row>
    <row r="46" customFormat="false" ht="15" hidden="false" customHeight="false" outlineLevel="0" collapsed="false">
      <c r="A46" s="25" t="n">
        <v>45</v>
      </c>
      <c r="B46" s="25" t="s">
        <v>2674</v>
      </c>
      <c r="C46" s="25" t="n">
        <v>362</v>
      </c>
      <c r="D46" s="25" t="n">
        <v>20230101</v>
      </c>
      <c r="E46" s="25" t="s">
        <v>2630</v>
      </c>
      <c r="F46" s="25" t="s">
        <v>2625</v>
      </c>
      <c r="G46" s="25" t="n">
        <v>11703.26</v>
      </c>
      <c r="H46" s="27" t="b">
        <f aca="false">TRUE()</f>
        <v>1</v>
      </c>
    </row>
    <row r="47" customFormat="false" ht="15" hidden="false" customHeight="false" outlineLevel="0" collapsed="false">
      <c r="A47" s="25" t="n">
        <v>46</v>
      </c>
      <c r="B47" s="25" t="s">
        <v>2675</v>
      </c>
      <c r="C47" s="25" t="n">
        <v>619</v>
      </c>
      <c r="D47" s="25" t="n">
        <v>20240508</v>
      </c>
      <c r="E47" s="25" t="s">
        <v>2630</v>
      </c>
      <c r="F47" s="25" t="s">
        <v>2625</v>
      </c>
      <c r="G47" s="25" t="n">
        <v>9727.89</v>
      </c>
      <c r="H47" s="27" t="b">
        <f aca="false">TRUE()</f>
        <v>1</v>
      </c>
    </row>
    <row r="48" customFormat="false" ht="15" hidden="false" customHeight="false" outlineLevel="0" collapsed="false">
      <c r="A48" s="25" t="n">
        <v>47</v>
      </c>
      <c r="B48" s="25" t="s">
        <v>2676</v>
      </c>
      <c r="C48" s="25" t="n">
        <v>300</v>
      </c>
      <c r="D48" s="25" t="n">
        <v>20250116</v>
      </c>
      <c r="E48" s="25" t="s">
        <v>2644</v>
      </c>
      <c r="F48" s="25" t="s">
        <v>2627</v>
      </c>
      <c r="G48" s="25" t="n">
        <v>19128.89</v>
      </c>
      <c r="H48" s="27" t="b">
        <f aca="false">FALSE()</f>
        <v>0</v>
      </c>
    </row>
    <row r="49" customFormat="false" ht="15" hidden="false" customHeight="false" outlineLevel="0" collapsed="false">
      <c r="A49" s="25" t="n">
        <v>48</v>
      </c>
      <c r="B49" s="25" t="s">
        <v>2677</v>
      </c>
      <c r="C49" s="25" t="n">
        <v>201</v>
      </c>
      <c r="D49" s="25" t="n">
        <v>20251010</v>
      </c>
      <c r="E49" s="25" t="s">
        <v>2630</v>
      </c>
      <c r="F49" s="25" t="s">
        <v>2625</v>
      </c>
      <c r="G49" s="25" t="n">
        <v>8184.16</v>
      </c>
      <c r="H49" s="27" t="b">
        <f aca="false">TRUE()</f>
        <v>1</v>
      </c>
    </row>
    <row r="50" customFormat="false" ht="15" hidden="false" customHeight="false" outlineLevel="0" collapsed="false">
      <c r="A50" s="25" t="n">
        <v>49</v>
      </c>
      <c r="B50" s="25" t="s">
        <v>2678</v>
      </c>
      <c r="C50" s="25" t="n">
        <v>44</v>
      </c>
      <c r="D50" s="25" t="n">
        <v>20240321</v>
      </c>
      <c r="E50" s="25" t="s">
        <v>2630</v>
      </c>
      <c r="F50" s="25" t="s">
        <v>2627</v>
      </c>
      <c r="G50" s="25"/>
      <c r="H50" s="27" t="b">
        <f aca="false">TRUE()</f>
        <v>1</v>
      </c>
    </row>
    <row r="51" customFormat="false" ht="15" hidden="false" customHeight="false" outlineLevel="0" collapsed="false">
      <c r="A51" s="25" t="n">
        <v>50</v>
      </c>
      <c r="B51" s="25" t="s">
        <v>2679</v>
      </c>
      <c r="C51" s="25" t="n">
        <v>260</v>
      </c>
      <c r="D51" s="25" t="n">
        <v>20240508</v>
      </c>
      <c r="E51" s="25" t="s">
        <v>2637</v>
      </c>
      <c r="F51" s="25" t="s">
        <v>2627</v>
      </c>
      <c r="G51" s="25" t="n">
        <v>78750.76</v>
      </c>
      <c r="H51" s="27" t="b">
        <f aca="false">TRUE()</f>
        <v>1</v>
      </c>
    </row>
    <row r="52" customFormat="false" ht="15" hidden="false" customHeight="false" outlineLevel="0" collapsed="false">
      <c r="A52" s="25" t="n">
        <v>51</v>
      </c>
      <c r="B52" s="25" t="s">
        <v>2680</v>
      </c>
      <c r="C52" s="25" t="n">
        <v>84</v>
      </c>
      <c r="D52" s="25" t="n">
        <v>20250824</v>
      </c>
      <c r="E52" s="25" t="s">
        <v>2637</v>
      </c>
      <c r="F52" s="25" t="s">
        <v>2625</v>
      </c>
      <c r="G52" s="25" t="n">
        <v>4429.86</v>
      </c>
      <c r="H52" s="27" t="b">
        <f aca="false">FALSE()</f>
        <v>0</v>
      </c>
    </row>
    <row r="53" customFormat="false" ht="15" hidden="false" customHeight="false" outlineLevel="0" collapsed="false">
      <c r="A53" s="25" t="n">
        <v>52</v>
      </c>
      <c r="B53" s="25" t="s">
        <v>2681</v>
      </c>
      <c r="C53" s="25" t="n">
        <v>305</v>
      </c>
      <c r="D53" s="25" t="n">
        <v>20251205</v>
      </c>
      <c r="E53" s="25" t="s">
        <v>2632</v>
      </c>
      <c r="F53" s="25" t="s">
        <v>250</v>
      </c>
      <c r="G53" s="25" t="n">
        <v>10327.76</v>
      </c>
      <c r="H53" s="27" t="b">
        <f aca="false">FALSE()</f>
        <v>0</v>
      </c>
    </row>
    <row r="54" customFormat="false" ht="15" hidden="false" customHeight="false" outlineLevel="0" collapsed="false">
      <c r="A54" s="25" t="n">
        <v>53</v>
      </c>
      <c r="B54" s="25" t="s">
        <v>2682</v>
      </c>
      <c r="C54" s="25" t="n">
        <v>166</v>
      </c>
      <c r="D54" s="25" t="n">
        <v>20250607</v>
      </c>
      <c r="E54" s="25" t="s">
        <v>2624</v>
      </c>
      <c r="F54" s="25" t="s">
        <v>2625</v>
      </c>
      <c r="G54" s="25" t="n">
        <v>4892.22</v>
      </c>
      <c r="H54" s="27" t="b">
        <f aca="false">FALSE()</f>
        <v>0</v>
      </c>
    </row>
    <row r="55" customFormat="false" ht="15" hidden="false" customHeight="false" outlineLevel="0" collapsed="false">
      <c r="A55" s="25" t="n">
        <v>54</v>
      </c>
      <c r="B55" s="25" t="s">
        <v>2683</v>
      </c>
      <c r="C55" s="25" t="n">
        <v>351</v>
      </c>
      <c r="D55" s="25" t="n">
        <v>20250825</v>
      </c>
      <c r="E55" s="25" t="s">
        <v>2637</v>
      </c>
      <c r="F55" s="25" t="s">
        <v>2625</v>
      </c>
      <c r="G55" s="25" t="n">
        <v>74191.07</v>
      </c>
      <c r="H55" s="27" t="b">
        <f aca="false">FALSE()</f>
        <v>0</v>
      </c>
    </row>
    <row r="56" customFormat="false" ht="15" hidden="false" customHeight="false" outlineLevel="0" collapsed="false">
      <c r="A56" s="25" t="n">
        <v>55</v>
      </c>
      <c r="B56" s="25" t="s">
        <v>2684</v>
      </c>
      <c r="C56" s="25" t="n">
        <v>547</v>
      </c>
      <c r="D56" s="25" t="n">
        <v>20241010</v>
      </c>
      <c r="E56" s="25" t="s">
        <v>2644</v>
      </c>
      <c r="F56" s="25" t="s">
        <v>2627</v>
      </c>
      <c r="G56" s="25" t="n">
        <v>10420.55</v>
      </c>
      <c r="H56" s="27" t="b">
        <f aca="false">TRUE()</f>
        <v>1</v>
      </c>
    </row>
    <row r="57" customFormat="false" ht="15" hidden="false" customHeight="false" outlineLevel="0" collapsed="false">
      <c r="A57" s="25" t="n">
        <v>56</v>
      </c>
      <c r="B57" s="25" t="s">
        <v>2685</v>
      </c>
      <c r="C57" s="25" t="n">
        <v>481</v>
      </c>
      <c r="D57" s="25" t="n">
        <v>20241030</v>
      </c>
      <c r="E57" s="25" t="s">
        <v>2632</v>
      </c>
      <c r="F57" s="25" t="s">
        <v>2625</v>
      </c>
      <c r="G57" s="25"/>
      <c r="H57" s="27" t="b">
        <f aca="false">FALSE()</f>
        <v>0</v>
      </c>
    </row>
    <row r="58" customFormat="false" ht="15" hidden="false" customHeight="false" outlineLevel="0" collapsed="false">
      <c r="A58" s="25" t="n">
        <v>57</v>
      </c>
      <c r="B58" s="25" t="s">
        <v>2686</v>
      </c>
      <c r="C58" s="25" t="n">
        <v>761</v>
      </c>
      <c r="D58" s="25" t="n">
        <v>20250930</v>
      </c>
      <c r="E58" s="25" t="s">
        <v>2624</v>
      </c>
      <c r="F58" s="25" t="s">
        <v>2627</v>
      </c>
      <c r="G58" s="25" t="n">
        <v>59302.19</v>
      </c>
      <c r="H58" s="27" t="b">
        <f aca="false">FALSE()</f>
        <v>0</v>
      </c>
    </row>
    <row r="59" customFormat="false" ht="15" hidden="false" customHeight="false" outlineLevel="0" collapsed="false">
      <c r="A59" s="25" t="n">
        <v>58</v>
      </c>
      <c r="B59" s="25" t="s">
        <v>2687</v>
      </c>
      <c r="C59" s="25" t="n">
        <v>334</v>
      </c>
      <c r="D59" s="25" t="n">
        <v>20250309</v>
      </c>
      <c r="E59" s="25" t="s">
        <v>2644</v>
      </c>
      <c r="F59" s="25" t="s">
        <v>2625</v>
      </c>
      <c r="G59" s="25" t="n">
        <v>13543.13</v>
      </c>
      <c r="H59" s="27" t="b">
        <f aca="false">FALSE()</f>
        <v>0</v>
      </c>
    </row>
    <row r="60" customFormat="false" ht="15" hidden="false" customHeight="false" outlineLevel="0" collapsed="false">
      <c r="A60" s="25" t="n">
        <v>59</v>
      </c>
      <c r="B60" s="25" t="s">
        <v>2688</v>
      </c>
      <c r="C60" s="25" t="n">
        <v>669</v>
      </c>
      <c r="D60" s="25" t="n">
        <v>20250930</v>
      </c>
      <c r="E60" s="25" t="s">
        <v>2644</v>
      </c>
      <c r="F60" s="25" t="s">
        <v>2627</v>
      </c>
      <c r="G60" s="25" t="n">
        <v>36219.09</v>
      </c>
      <c r="H60" s="27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2026-10-24T11:49:36Z</dcterms:created>
  <dc:creator>openpyxl</dc:creator>
  <dc:description/>
  <dc:language>en-US</dc:language>
  <cp:lastModifiedBy/>
  <dcterms:modified xsi:type="dcterms:W3CDTF">2026-10-24T11:49:41Z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